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/>
  <workbookPr/>
  <mc:AlternateContent xmlns:mc="http://schemas.openxmlformats.org/markup-compatibility/2006">
    <mc:Choice Requires="x15">
      <x15ac:absPath xmlns:x15ac="http://schemas.microsoft.com/office/spreadsheetml/2010/11/ac" url="G:\My Drive\Local\APC Silvertip\Data\"/>
    </mc:Choice>
  </mc:AlternateContent>
  <xr:revisionPtr revIDLastSave="0" documentId="8_{273F1121-BEA4-4635-B918-9D237D1DAA54}" xr6:coauthVersionLast="43" xr6:coauthVersionMax="43" xr10:uidLastSave="{00000000-0000-0000-0000-000000000000}"/>
  <bookViews>
    <workbookView xWindow="28680" yWindow="-120" windowWidth="29040" windowHeight="15840" activeTab="1" xr2:uid="{00000000-000D-0000-FFFF-FFFF00000000}"/>
  </bookViews>
  <sheets>
    <sheet name="Charts" sheetId="13" r:id="rId1"/>
    <sheet name="Silvertip A 1H" sheetId="1" r:id="rId2"/>
    <sheet name="Silvertip A 2H" sheetId="2" r:id="rId3"/>
    <sheet name="Silvertip A 3H" sheetId="3" r:id="rId4"/>
    <sheet name="Silvertip A 4H" sheetId="4" r:id="rId5"/>
    <sheet name="Silvertip A 5H" sheetId="5" r:id="rId6"/>
    <sheet name="Silvertip A 6H" sheetId="6" r:id="rId7"/>
    <sheet name="Silvertip A 7H" sheetId="7" r:id="rId8"/>
    <sheet name="Silvertip A 8H" sheetId="8" r:id="rId9"/>
    <sheet name="Silvertip A 9H" sheetId="9" r:id="rId10"/>
    <sheet name="Silvertip A 10H" sheetId="10" r:id="rId11"/>
    <sheet name="Silvertip B 2H" sheetId="11" r:id="rId12"/>
    <sheet name="Silvertip B 3H" sheetId="12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calcPr calcId="191029" concurrentManual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P53" i="12" l="1"/>
  <c r="B53" i="12"/>
  <c r="AP52" i="12"/>
  <c r="B52" i="12"/>
  <c r="A51" i="12"/>
  <c r="AP51" i="12"/>
  <c r="B51" i="12"/>
  <c r="A50" i="12"/>
  <c r="AP50" i="12"/>
  <c r="B50" i="12"/>
  <c r="A49" i="12"/>
  <c r="AP49" i="12"/>
  <c r="B49" i="12"/>
  <c r="A48" i="12"/>
  <c r="AP48" i="12"/>
  <c r="B48" i="12"/>
  <c r="A47" i="12"/>
  <c r="AP47" i="12"/>
  <c r="B47" i="12"/>
  <c r="A46" i="12"/>
  <c r="AP46" i="12"/>
  <c r="B46" i="12"/>
  <c r="AP45" i="12"/>
  <c r="B45" i="12"/>
  <c r="AP44" i="12"/>
  <c r="B44" i="12"/>
  <c r="AP43" i="12"/>
  <c r="B43" i="12"/>
  <c r="AP42" i="12"/>
  <c r="B42" i="12"/>
  <c r="AP41" i="12"/>
  <c r="B41" i="12"/>
  <c r="AP40" i="12"/>
  <c r="B40" i="12"/>
  <c r="AP39" i="12"/>
  <c r="B39" i="12"/>
  <c r="A39" i="12"/>
  <c r="A44" i="12" s="1"/>
  <c r="AP38" i="12"/>
  <c r="B38" i="12"/>
  <c r="A38" i="12"/>
  <c r="A43" i="12" s="1"/>
  <c r="AP37" i="12"/>
  <c r="B37" i="12"/>
  <c r="A36" i="12"/>
  <c r="A41" i="12" s="1"/>
  <c r="AP36" i="12"/>
  <c r="B36" i="12"/>
  <c r="AP35" i="12"/>
  <c r="B35" i="12"/>
  <c r="AP34" i="12"/>
  <c r="B34" i="12"/>
  <c r="A33" i="12"/>
  <c r="AP33" i="12"/>
  <c r="B33" i="12"/>
  <c r="A32" i="12"/>
  <c r="AP32" i="12"/>
  <c r="B32" i="12"/>
  <c r="A31" i="12"/>
  <c r="AP31" i="12"/>
  <c r="B31" i="12"/>
  <c r="B30" i="12"/>
  <c r="B29" i="12"/>
  <c r="B28" i="12"/>
  <c r="B27" i="12"/>
  <c r="B26" i="12"/>
  <c r="B25" i="12"/>
  <c r="B24" i="12"/>
  <c r="B23" i="12"/>
  <c r="B22" i="12"/>
  <c r="B21" i="12"/>
  <c r="B18" i="12"/>
  <c r="B17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D11" i="12"/>
  <c r="C11" i="12"/>
  <c r="AO10" i="12"/>
  <c r="AO14" i="12" s="1"/>
  <c r="AN10" i="12"/>
  <c r="AN14" i="12" s="1"/>
  <c r="AM10" i="12"/>
  <c r="AM14" i="12" s="1"/>
  <c r="AL10" i="12"/>
  <c r="AL14" i="12" s="1"/>
  <c r="AK10" i="12"/>
  <c r="AK14" i="12" s="1"/>
  <c r="AJ10" i="12"/>
  <c r="AJ14" i="12" s="1"/>
  <c r="AI10" i="12"/>
  <c r="AI14" i="12" s="1"/>
  <c r="AH10" i="12"/>
  <c r="AH14" i="12" s="1"/>
  <c r="AG10" i="12"/>
  <c r="AG14" i="12" s="1"/>
  <c r="AF10" i="12"/>
  <c r="AF14" i="12" s="1"/>
  <c r="AE10" i="12"/>
  <c r="AE14" i="12" s="1"/>
  <c r="AD10" i="12"/>
  <c r="AD14" i="12" s="1"/>
  <c r="AC10" i="12"/>
  <c r="AC14" i="12" s="1"/>
  <c r="AB10" i="12"/>
  <c r="AB14" i="12" s="1"/>
  <c r="AA10" i="12"/>
  <c r="AA14" i="12" s="1"/>
  <c r="Z10" i="12"/>
  <c r="Z14" i="12" s="1"/>
  <c r="Y10" i="12"/>
  <c r="Y14" i="12" s="1"/>
  <c r="X10" i="12"/>
  <c r="X14" i="12" s="1"/>
  <c r="W10" i="12"/>
  <c r="W14" i="12" s="1"/>
  <c r="V10" i="12"/>
  <c r="V14" i="12" s="1"/>
  <c r="U10" i="12"/>
  <c r="U14" i="12" s="1"/>
  <c r="T10" i="12"/>
  <c r="T14" i="12" s="1"/>
  <c r="S10" i="12"/>
  <c r="S14" i="12" s="1"/>
  <c r="R10" i="12"/>
  <c r="R14" i="12" s="1"/>
  <c r="Q10" i="12"/>
  <c r="Q14" i="12" s="1"/>
  <c r="P10" i="12"/>
  <c r="P14" i="12" s="1"/>
  <c r="O10" i="12"/>
  <c r="O14" i="12" s="1"/>
  <c r="N10" i="12"/>
  <c r="N14" i="12" s="1"/>
  <c r="M10" i="12"/>
  <c r="M14" i="12" s="1"/>
  <c r="L10" i="12"/>
  <c r="L14" i="12" s="1"/>
  <c r="K10" i="12"/>
  <c r="K14" i="12" s="1"/>
  <c r="J10" i="12"/>
  <c r="J14" i="12" s="1"/>
  <c r="I10" i="12"/>
  <c r="I14" i="12" s="1"/>
  <c r="H10" i="12"/>
  <c r="H14" i="12" s="1"/>
  <c r="G10" i="12"/>
  <c r="G14" i="12" s="1"/>
  <c r="F10" i="12"/>
  <c r="F14" i="12" s="1"/>
  <c r="E10" i="12"/>
  <c r="E14" i="12" s="1"/>
  <c r="D10" i="12"/>
  <c r="D14" i="12" s="1"/>
  <c r="C10" i="12"/>
  <c r="C14" i="12" s="1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C9" i="12"/>
  <c r="AO8" i="12"/>
  <c r="AO13" i="12" s="1"/>
  <c r="AN8" i="12"/>
  <c r="AN13" i="12" s="1"/>
  <c r="AM8" i="12"/>
  <c r="AM13" i="12" s="1"/>
  <c r="AL8" i="12"/>
  <c r="AL13" i="12" s="1"/>
  <c r="AK8" i="12"/>
  <c r="AK13" i="12" s="1"/>
  <c r="AJ8" i="12"/>
  <c r="AJ13" i="12" s="1"/>
  <c r="AI8" i="12"/>
  <c r="AI13" i="12" s="1"/>
  <c r="AH8" i="12"/>
  <c r="AH13" i="12" s="1"/>
  <c r="AG8" i="12"/>
  <c r="AG13" i="12" s="1"/>
  <c r="AF8" i="12"/>
  <c r="AF13" i="12" s="1"/>
  <c r="AE8" i="12"/>
  <c r="AE13" i="12" s="1"/>
  <c r="AD8" i="12"/>
  <c r="AD13" i="12" s="1"/>
  <c r="AC8" i="12"/>
  <c r="AC13" i="12" s="1"/>
  <c r="AB8" i="12"/>
  <c r="AB13" i="12" s="1"/>
  <c r="AA8" i="12"/>
  <c r="AA13" i="12" s="1"/>
  <c r="Z8" i="12"/>
  <c r="Z13" i="12" s="1"/>
  <c r="Y8" i="12"/>
  <c r="Y13" i="12" s="1"/>
  <c r="X8" i="12"/>
  <c r="X13" i="12" s="1"/>
  <c r="W8" i="12"/>
  <c r="W13" i="12" s="1"/>
  <c r="V8" i="12"/>
  <c r="V13" i="12" s="1"/>
  <c r="U8" i="12"/>
  <c r="U13" i="12" s="1"/>
  <c r="T8" i="12"/>
  <c r="T13" i="12" s="1"/>
  <c r="S8" i="12"/>
  <c r="S13" i="12" s="1"/>
  <c r="R8" i="12"/>
  <c r="R13" i="12" s="1"/>
  <c r="Q8" i="12"/>
  <c r="Q13" i="12" s="1"/>
  <c r="P8" i="12"/>
  <c r="P13" i="12" s="1"/>
  <c r="O8" i="12"/>
  <c r="O13" i="12" s="1"/>
  <c r="N8" i="12"/>
  <c r="N13" i="12" s="1"/>
  <c r="M8" i="12"/>
  <c r="M13" i="12" s="1"/>
  <c r="L8" i="12"/>
  <c r="L13" i="12" s="1"/>
  <c r="K8" i="12"/>
  <c r="K13" i="12" s="1"/>
  <c r="J8" i="12"/>
  <c r="J13" i="12" s="1"/>
  <c r="I8" i="12"/>
  <c r="I13" i="12" s="1"/>
  <c r="H8" i="12"/>
  <c r="H13" i="12" s="1"/>
  <c r="G8" i="12"/>
  <c r="G13" i="12" s="1"/>
  <c r="F8" i="12"/>
  <c r="F13" i="12" s="1"/>
  <c r="E8" i="12"/>
  <c r="E13" i="12" s="1"/>
  <c r="D8" i="12"/>
  <c r="D13" i="12" s="1"/>
  <c r="C8" i="12"/>
  <c r="C13" i="12" s="1"/>
  <c r="AO7" i="12"/>
  <c r="AO12" i="12" s="1"/>
  <c r="AN7" i="12"/>
  <c r="AN12" i="12" s="1"/>
  <c r="AM7" i="12"/>
  <c r="AM12" i="12" s="1"/>
  <c r="AL7" i="12"/>
  <c r="AL12" i="12" s="1"/>
  <c r="AK7" i="12"/>
  <c r="AK12" i="12" s="1"/>
  <c r="AJ7" i="12"/>
  <c r="AJ12" i="12" s="1"/>
  <c r="AI7" i="12"/>
  <c r="AI12" i="12" s="1"/>
  <c r="AH7" i="12"/>
  <c r="AH12" i="12" s="1"/>
  <c r="AG7" i="12"/>
  <c r="AG12" i="12" s="1"/>
  <c r="AF7" i="12"/>
  <c r="AF12" i="12" s="1"/>
  <c r="AE7" i="12"/>
  <c r="AE12" i="12" s="1"/>
  <c r="AD7" i="12"/>
  <c r="AD12" i="12" s="1"/>
  <c r="AC7" i="12"/>
  <c r="AC12" i="12" s="1"/>
  <c r="AB7" i="12"/>
  <c r="AB12" i="12" s="1"/>
  <c r="AA7" i="12"/>
  <c r="AA12" i="12" s="1"/>
  <c r="Z7" i="12"/>
  <c r="Z12" i="12" s="1"/>
  <c r="Y7" i="12"/>
  <c r="Y12" i="12" s="1"/>
  <c r="X7" i="12"/>
  <c r="X12" i="12" s="1"/>
  <c r="W7" i="12"/>
  <c r="W12" i="12" s="1"/>
  <c r="V7" i="12"/>
  <c r="V12" i="12" s="1"/>
  <c r="U7" i="12"/>
  <c r="U12" i="12" s="1"/>
  <c r="T7" i="12"/>
  <c r="T12" i="12" s="1"/>
  <c r="S7" i="12"/>
  <c r="S12" i="12" s="1"/>
  <c r="R7" i="12"/>
  <c r="R12" i="12" s="1"/>
  <c r="Q7" i="12"/>
  <c r="Q12" i="12" s="1"/>
  <c r="P7" i="12"/>
  <c r="P12" i="12" s="1"/>
  <c r="O7" i="12"/>
  <c r="O12" i="12" s="1"/>
  <c r="N7" i="12"/>
  <c r="N12" i="12" s="1"/>
  <c r="M7" i="12"/>
  <c r="M12" i="12" s="1"/>
  <c r="L7" i="12"/>
  <c r="L12" i="12" s="1"/>
  <c r="K7" i="12"/>
  <c r="K12" i="12" s="1"/>
  <c r="J7" i="12"/>
  <c r="J12" i="12" s="1"/>
  <c r="I7" i="12"/>
  <c r="I12" i="12" s="1"/>
  <c r="H7" i="12"/>
  <c r="H12" i="12" s="1"/>
  <c r="G7" i="12"/>
  <c r="G12" i="12" s="1"/>
  <c r="F7" i="12"/>
  <c r="F12" i="12" s="1"/>
  <c r="E7" i="12"/>
  <c r="E12" i="12" s="1"/>
  <c r="D7" i="12"/>
  <c r="D12" i="12" s="1"/>
  <c r="C7" i="12"/>
  <c r="C12" i="12" s="1"/>
  <c r="I5" i="12"/>
  <c r="F5" i="12"/>
  <c r="B5" i="12"/>
  <c r="K4" i="12"/>
  <c r="J4" i="12"/>
  <c r="I4" i="12"/>
  <c r="H4" i="12"/>
  <c r="F4" i="12"/>
  <c r="B4" i="12"/>
  <c r="K3" i="12"/>
  <c r="J3" i="12"/>
  <c r="I3" i="12"/>
  <c r="H3" i="12"/>
  <c r="F3" i="12"/>
  <c r="B3" i="12"/>
  <c r="K2" i="12"/>
  <c r="J2" i="12"/>
  <c r="I2" i="12"/>
  <c r="H2" i="12"/>
  <c r="F2" i="12"/>
  <c r="B2" i="12"/>
  <c r="K1" i="12"/>
  <c r="J1" i="12"/>
  <c r="I1" i="12"/>
  <c r="H1" i="12"/>
  <c r="F1" i="12"/>
  <c r="B1" i="12"/>
  <c r="BZ57" i="11"/>
  <c r="B57" i="11"/>
  <c r="BZ56" i="11"/>
  <c r="B56" i="11"/>
  <c r="A56" i="11"/>
  <c r="BZ55" i="11"/>
  <c r="B55" i="11"/>
  <c r="A55" i="11"/>
  <c r="BZ54" i="11"/>
  <c r="B54" i="11"/>
  <c r="A54" i="11"/>
  <c r="BZ53" i="11"/>
  <c r="B53" i="11"/>
  <c r="BZ52" i="11"/>
  <c r="B52" i="11"/>
  <c r="BZ51" i="11"/>
  <c r="B51" i="11"/>
  <c r="BZ50" i="11"/>
  <c r="B50" i="11"/>
  <c r="BZ49" i="11"/>
  <c r="B49" i="11"/>
  <c r="BZ48" i="11"/>
  <c r="B48" i="11"/>
  <c r="BZ47" i="11"/>
  <c r="B47" i="11"/>
  <c r="BZ46" i="11"/>
  <c r="B46" i="11"/>
  <c r="BZ45" i="11"/>
  <c r="B45" i="11"/>
  <c r="BZ44" i="11"/>
  <c r="B44" i="11"/>
  <c r="BZ43" i="11"/>
  <c r="B43" i="11"/>
  <c r="BZ42" i="11"/>
  <c r="B42" i="11"/>
  <c r="BZ41" i="11"/>
  <c r="B41" i="11"/>
  <c r="BZ40" i="11"/>
  <c r="B40" i="11"/>
  <c r="BZ39" i="11"/>
  <c r="B39" i="11"/>
  <c r="A39" i="11"/>
  <c r="A44" i="11" s="1"/>
  <c r="BZ38" i="11"/>
  <c r="B38" i="11"/>
  <c r="A38" i="11"/>
  <c r="A43" i="11" s="1"/>
  <c r="BZ37" i="11"/>
  <c r="B37" i="11"/>
  <c r="A36" i="11"/>
  <c r="A41" i="11" s="1"/>
  <c r="BZ36" i="11"/>
  <c r="B36" i="11"/>
  <c r="BZ35" i="11"/>
  <c r="B35" i="11"/>
  <c r="BZ34" i="11"/>
  <c r="B34" i="11"/>
  <c r="A33" i="11"/>
  <c r="BZ33" i="11"/>
  <c r="B33" i="11"/>
  <c r="A32" i="11"/>
  <c r="BZ32" i="11"/>
  <c r="B32" i="11"/>
  <c r="A31" i="11"/>
  <c r="BZ31" i="11"/>
  <c r="B31" i="11"/>
  <c r="B30" i="11"/>
  <c r="B29" i="11"/>
  <c r="B28" i="11"/>
  <c r="B27" i="11"/>
  <c r="B26" i="11"/>
  <c r="B25" i="11"/>
  <c r="B24" i="11"/>
  <c r="B23" i="11"/>
  <c r="B22" i="11"/>
  <c r="B21" i="11"/>
  <c r="B18" i="11"/>
  <c r="B17" i="11"/>
  <c r="BY11" i="11"/>
  <c r="BX11" i="11"/>
  <c r="BW11" i="11"/>
  <c r="BV11" i="11"/>
  <c r="BU11" i="11"/>
  <c r="BT11" i="11"/>
  <c r="BS11" i="11"/>
  <c r="BR11" i="11"/>
  <c r="BQ11" i="11"/>
  <c r="BP11" i="11"/>
  <c r="BO11" i="11"/>
  <c r="BN11" i="11"/>
  <c r="BM11" i="11"/>
  <c r="BL11" i="11"/>
  <c r="BK11" i="11"/>
  <c r="BJ11" i="11"/>
  <c r="BI11" i="11"/>
  <c r="BH11" i="11"/>
  <c r="BG11" i="11"/>
  <c r="BF11" i="11"/>
  <c r="BE11" i="11"/>
  <c r="BD11" i="11"/>
  <c r="BC11" i="11"/>
  <c r="BB11" i="11"/>
  <c r="BA11" i="11"/>
  <c r="AZ11" i="11"/>
  <c r="AY11" i="11"/>
  <c r="AX11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Y10" i="11"/>
  <c r="BY14" i="11" s="1"/>
  <c r="BX10" i="11"/>
  <c r="BX14" i="11" s="1"/>
  <c r="BW10" i="11"/>
  <c r="BW14" i="11" s="1"/>
  <c r="BV10" i="11"/>
  <c r="BV14" i="11" s="1"/>
  <c r="BU10" i="11"/>
  <c r="BU14" i="11" s="1"/>
  <c r="BT10" i="11"/>
  <c r="BT14" i="11" s="1"/>
  <c r="BS10" i="11"/>
  <c r="BS14" i="11" s="1"/>
  <c r="BR10" i="11"/>
  <c r="BR14" i="11" s="1"/>
  <c r="BQ10" i="11"/>
  <c r="BQ14" i="11" s="1"/>
  <c r="BP10" i="11"/>
  <c r="BP14" i="11" s="1"/>
  <c r="BO10" i="11"/>
  <c r="BO14" i="11" s="1"/>
  <c r="BN10" i="11"/>
  <c r="BN14" i="11" s="1"/>
  <c r="BM10" i="11"/>
  <c r="BM14" i="11" s="1"/>
  <c r="BL10" i="11"/>
  <c r="BL14" i="11" s="1"/>
  <c r="BK10" i="11"/>
  <c r="BK14" i="11" s="1"/>
  <c r="BJ10" i="11"/>
  <c r="BJ14" i="11" s="1"/>
  <c r="BI10" i="11"/>
  <c r="BI14" i="11" s="1"/>
  <c r="BH10" i="11"/>
  <c r="BH14" i="11" s="1"/>
  <c r="BG10" i="11"/>
  <c r="BG14" i="11" s="1"/>
  <c r="BF10" i="11"/>
  <c r="BF14" i="11" s="1"/>
  <c r="BE10" i="11"/>
  <c r="BE14" i="11" s="1"/>
  <c r="BD10" i="11"/>
  <c r="BD14" i="11" s="1"/>
  <c r="BC10" i="11"/>
  <c r="BC14" i="11" s="1"/>
  <c r="BB10" i="11"/>
  <c r="BB14" i="11" s="1"/>
  <c r="BA10" i="11"/>
  <c r="BA14" i="11" s="1"/>
  <c r="AZ10" i="11"/>
  <c r="AZ14" i="11" s="1"/>
  <c r="AY10" i="11"/>
  <c r="AY14" i="11" s="1"/>
  <c r="AX10" i="11"/>
  <c r="AX14" i="11" s="1"/>
  <c r="AW10" i="11"/>
  <c r="AW14" i="11" s="1"/>
  <c r="AV10" i="11"/>
  <c r="AV14" i="11" s="1"/>
  <c r="AU10" i="11"/>
  <c r="AU14" i="11" s="1"/>
  <c r="AT10" i="11"/>
  <c r="AT14" i="11" s="1"/>
  <c r="AS10" i="11"/>
  <c r="AS14" i="11" s="1"/>
  <c r="AR10" i="11"/>
  <c r="AR14" i="11" s="1"/>
  <c r="AQ10" i="11"/>
  <c r="AQ14" i="11" s="1"/>
  <c r="AP10" i="11"/>
  <c r="AP14" i="11" s="1"/>
  <c r="AO10" i="11"/>
  <c r="AO14" i="11" s="1"/>
  <c r="AN10" i="11"/>
  <c r="AN14" i="11" s="1"/>
  <c r="AM10" i="11"/>
  <c r="AM14" i="11" s="1"/>
  <c r="AL10" i="11"/>
  <c r="AL14" i="11" s="1"/>
  <c r="AK10" i="11"/>
  <c r="AK14" i="11" s="1"/>
  <c r="AJ10" i="11"/>
  <c r="AJ14" i="11" s="1"/>
  <c r="AI10" i="11"/>
  <c r="AI14" i="11" s="1"/>
  <c r="AH10" i="11"/>
  <c r="AH14" i="11" s="1"/>
  <c r="AG10" i="11"/>
  <c r="AG14" i="11" s="1"/>
  <c r="AF10" i="11"/>
  <c r="AF14" i="11" s="1"/>
  <c r="AE10" i="11"/>
  <c r="AE14" i="11" s="1"/>
  <c r="AD10" i="11"/>
  <c r="AD14" i="11" s="1"/>
  <c r="AC10" i="11"/>
  <c r="AC14" i="11" s="1"/>
  <c r="AB10" i="11"/>
  <c r="AB14" i="11" s="1"/>
  <c r="AA10" i="11"/>
  <c r="AA14" i="11" s="1"/>
  <c r="Z10" i="11"/>
  <c r="Z14" i="11" s="1"/>
  <c r="Y10" i="11"/>
  <c r="Y14" i="11" s="1"/>
  <c r="X10" i="11"/>
  <c r="X14" i="11" s="1"/>
  <c r="W10" i="11"/>
  <c r="W14" i="11" s="1"/>
  <c r="V10" i="11"/>
  <c r="V14" i="11" s="1"/>
  <c r="U10" i="11"/>
  <c r="U14" i="11" s="1"/>
  <c r="T10" i="11"/>
  <c r="T14" i="11" s="1"/>
  <c r="S10" i="11"/>
  <c r="S14" i="11" s="1"/>
  <c r="R10" i="11"/>
  <c r="R14" i="11" s="1"/>
  <c r="Q10" i="11"/>
  <c r="Q14" i="11" s="1"/>
  <c r="P10" i="11"/>
  <c r="P14" i="11" s="1"/>
  <c r="O10" i="11"/>
  <c r="O14" i="11" s="1"/>
  <c r="N10" i="11"/>
  <c r="N14" i="11" s="1"/>
  <c r="M10" i="11"/>
  <c r="M14" i="11" s="1"/>
  <c r="L10" i="11"/>
  <c r="L14" i="11" s="1"/>
  <c r="K10" i="11"/>
  <c r="K14" i="11" s="1"/>
  <c r="J10" i="11"/>
  <c r="J14" i="11" s="1"/>
  <c r="I10" i="11"/>
  <c r="I14" i="11" s="1"/>
  <c r="H10" i="11"/>
  <c r="H14" i="11" s="1"/>
  <c r="G10" i="11"/>
  <c r="G14" i="11" s="1"/>
  <c r="F10" i="11"/>
  <c r="F14" i="11" s="1"/>
  <c r="E10" i="11"/>
  <c r="E14" i="11" s="1"/>
  <c r="D10" i="11"/>
  <c r="D14" i="11" s="1"/>
  <c r="C10" i="11"/>
  <c r="C14" i="11" s="1"/>
  <c r="BY9" i="11"/>
  <c r="BX9" i="11"/>
  <c r="BW9" i="11"/>
  <c r="BV9" i="11"/>
  <c r="BU9" i="11"/>
  <c r="BT9" i="11"/>
  <c r="BS9" i="11"/>
  <c r="BR9" i="11"/>
  <c r="BQ9" i="11"/>
  <c r="BP9" i="11"/>
  <c r="BO9" i="11"/>
  <c r="BN9" i="11"/>
  <c r="BM9" i="11"/>
  <c r="BL9" i="11"/>
  <c r="BK9" i="11"/>
  <c r="BJ9" i="11"/>
  <c r="BI9" i="11"/>
  <c r="BH9" i="11"/>
  <c r="BG9" i="11"/>
  <c r="BF9" i="11"/>
  <c r="BE9" i="11"/>
  <c r="BD9" i="11"/>
  <c r="BC9" i="11"/>
  <c r="BB9" i="11"/>
  <c r="BA9" i="11"/>
  <c r="AZ9" i="11"/>
  <c r="AY9" i="11"/>
  <c r="AX9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Y8" i="11"/>
  <c r="BY13" i="11" s="1"/>
  <c r="BX8" i="11"/>
  <c r="BX13" i="11" s="1"/>
  <c r="BW8" i="11"/>
  <c r="BW13" i="11" s="1"/>
  <c r="BV8" i="11"/>
  <c r="BV13" i="11" s="1"/>
  <c r="BU8" i="11"/>
  <c r="BU13" i="11" s="1"/>
  <c r="BT8" i="11"/>
  <c r="BT13" i="11" s="1"/>
  <c r="BS8" i="11"/>
  <c r="BS13" i="11" s="1"/>
  <c r="BR8" i="11"/>
  <c r="BR13" i="11" s="1"/>
  <c r="BQ8" i="11"/>
  <c r="BQ13" i="11" s="1"/>
  <c r="BP8" i="11"/>
  <c r="BP13" i="11" s="1"/>
  <c r="BO8" i="11"/>
  <c r="BO13" i="11" s="1"/>
  <c r="BN8" i="11"/>
  <c r="BN13" i="11" s="1"/>
  <c r="BM8" i="11"/>
  <c r="BM13" i="11" s="1"/>
  <c r="BL8" i="11"/>
  <c r="BL13" i="11" s="1"/>
  <c r="BK8" i="11"/>
  <c r="BK13" i="11" s="1"/>
  <c r="BJ8" i="11"/>
  <c r="BJ13" i="11" s="1"/>
  <c r="BI8" i="11"/>
  <c r="BI13" i="11" s="1"/>
  <c r="BH8" i="11"/>
  <c r="BH13" i="11" s="1"/>
  <c r="BG8" i="11"/>
  <c r="BG13" i="11" s="1"/>
  <c r="BF8" i="11"/>
  <c r="BF13" i="11" s="1"/>
  <c r="BE8" i="11"/>
  <c r="BE13" i="11" s="1"/>
  <c r="BD8" i="11"/>
  <c r="BD13" i="11" s="1"/>
  <c r="BC8" i="11"/>
  <c r="BC13" i="11" s="1"/>
  <c r="BB8" i="11"/>
  <c r="BB13" i="11" s="1"/>
  <c r="BA8" i="11"/>
  <c r="BA13" i="11" s="1"/>
  <c r="AZ8" i="11"/>
  <c r="AZ13" i="11" s="1"/>
  <c r="AY8" i="11"/>
  <c r="AY13" i="11" s="1"/>
  <c r="AX8" i="11"/>
  <c r="AX13" i="11" s="1"/>
  <c r="AW8" i="11"/>
  <c r="AW13" i="11" s="1"/>
  <c r="AV8" i="11"/>
  <c r="AV13" i="11" s="1"/>
  <c r="AU8" i="11"/>
  <c r="AU13" i="11" s="1"/>
  <c r="AT8" i="11"/>
  <c r="AT13" i="11" s="1"/>
  <c r="AS8" i="11"/>
  <c r="AS13" i="11" s="1"/>
  <c r="AR8" i="11"/>
  <c r="AR13" i="11" s="1"/>
  <c r="AQ8" i="11"/>
  <c r="AQ13" i="11" s="1"/>
  <c r="AP8" i="11"/>
  <c r="AP13" i="11" s="1"/>
  <c r="AO8" i="11"/>
  <c r="AO13" i="11" s="1"/>
  <c r="AN8" i="11"/>
  <c r="AN13" i="11" s="1"/>
  <c r="AM8" i="11"/>
  <c r="AM13" i="11" s="1"/>
  <c r="AL8" i="11"/>
  <c r="AL13" i="11" s="1"/>
  <c r="AK8" i="11"/>
  <c r="AK13" i="11" s="1"/>
  <c r="AJ8" i="11"/>
  <c r="AJ13" i="11" s="1"/>
  <c r="AI8" i="11"/>
  <c r="AI13" i="11" s="1"/>
  <c r="AH8" i="11"/>
  <c r="AH13" i="11" s="1"/>
  <c r="AG8" i="11"/>
  <c r="AG13" i="11" s="1"/>
  <c r="AF8" i="11"/>
  <c r="AF13" i="11" s="1"/>
  <c r="AE8" i="11"/>
  <c r="AE13" i="11" s="1"/>
  <c r="AD8" i="11"/>
  <c r="AD13" i="11" s="1"/>
  <c r="AC8" i="11"/>
  <c r="AC13" i="11" s="1"/>
  <c r="AB8" i="11"/>
  <c r="AB13" i="11" s="1"/>
  <c r="AA8" i="11"/>
  <c r="AA13" i="11" s="1"/>
  <c r="Z8" i="11"/>
  <c r="Z13" i="11" s="1"/>
  <c r="Y8" i="11"/>
  <c r="Y13" i="11" s="1"/>
  <c r="X8" i="11"/>
  <c r="X13" i="11" s="1"/>
  <c r="W8" i="11"/>
  <c r="W13" i="11" s="1"/>
  <c r="V8" i="11"/>
  <c r="V13" i="11" s="1"/>
  <c r="U8" i="11"/>
  <c r="U13" i="11" s="1"/>
  <c r="T8" i="11"/>
  <c r="T13" i="11" s="1"/>
  <c r="S8" i="11"/>
  <c r="S13" i="11" s="1"/>
  <c r="R8" i="11"/>
  <c r="R13" i="11" s="1"/>
  <c r="Q8" i="11"/>
  <c r="Q13" i="11" s="1"/>
  <c r="P8" i="11"/>
  <c r="P13" i="11" s="1"/>
  <c r="O8" i="11"/>
  <c r="O13" i="11" s="1"/>
  <c r="N8" i="11"/>
  <c r="N13" i="11" s="1"/>
  <c r="M8" i="11"/>
  <c r="M13" i="11" s="1"/>
  <c r="L8" i="11"/>
  <c r="L13" i="11" s="1"/>
  <c r="K8" i="11"/>
  <c r="K13" i="11" s="1"/>
  <c r="J8" i="11"/>
  <c r="J13" i="11" s="1"/>
  <c r="I8" i="11"/>
  <c r="I13" i="11" s="1"/>
  <c r="H8" i="11"/>
  <c r="H13" i="11" s="1"/>
  <c r="G8" i="11"/>
  <c r="G13" i="11" s="1"/>
  <c r="F8" i="11"/>
  <c r="F13" i="11" s="1"/>
  <c r="E8" i="11"/>
  <c r="E13" i="11" s="1"/>
  <c r="D8" i="11"/>
  <c r="D13" i="11" s="1"/>
  <c r="C8" i="11"/>
  <c r="C13" i="11" s="1"/>
  <c r="BY7" i="11"/>
  <c r="BY12" i="11" s="1"/>
  <c r="BX7" i="11"/>
  <c r="BX12" i="11" s="1"/>
  <c r="BW7" i="11"/>
  <c r="BW12" i="11" s="1"/>
  <c r="BV7" i="11"/>
  <c r="BV12" i="11" s="1"/>
  <c r="BU7" i="11"/>
  <c r="BU12" i="11" s="1"/>
  <c r="BT7" i="11"/>
  <c r="BT12" i="11" s="1"/>
  <c r="BS7" i="11"/>
  <c r="BS12" i="11" s="1"/>
  <c r="BR7" i="11"/>
  <c r="BR12" i="11" s="1"/>
  <c r="BQ7" i="11"/>
  <c r="BQ12" i="11" s="1"/>
  <c r="BP7" i="11"/>
  <c r="BP12" i="11" s="1"/>
  <c r="BO7" i="11"/>
  <c r="BO12" i="11" s="1"/>
  <c r="BN7" i="11"/>
  <c r="BN12" i="11" s="1"/>
  <c r="BM7" i="11"/>
  <c r="BM12" i="11" s="1"/>
  <c r="BL7" i="11"/>
  <c r="BL12" i="11" s="1"/>
  <c r="BK7" i="11"/>
  <c r="BK12" i="11" s="1"/>
  <c r="BJ7" i="11"/>
  <c r="BJ12" i="11" s="1"/>
  <c r="BI7" i="11"/>
  <c r="BI12" i="11" s="1"/>
  <c r="BH7" i="11"/>
  <c r="BH12" i="11" s="1"/>
  <c r="BG7" i="11"/>
  <c r="BG12" i="11" s="1"/>
  <c r="BF7" i="11"/>
  <c r="BF12" i="11" s="1"/>
  <c r="BE7" i="11"/>
  <c r="BE12" i="11" s="1"/>
  <c r="BD7" i="11"/>
  <c r="BD12" i="11" s="1"/>
  <c r="BC7" i="11"/>
  <c r="BC12" i="11" s="1"/>
  <c r="BB7" i="11"/>
  <c r="BB12" i="11" s="1"/>
  <c r="BA7" i="11"/>
  <c r="BA12" i="11" s="1"/>
  <c r="AZ7" i="11"/>
  <c r="AZ12" i="11" s="1"/>
  <c r="AY7" i="11"/>
  <c r="AY12" i="11" s="1"/>
  <c r="AX7" i="11"/>
  <c r="AX12" i="11" s="1"/>
  <c r="AW7" i="11"/>
  <c r="AW12" i="11" s="1"/>
  <c r="AV7" i="11"/>
  <c r="AV12" i="11" s="1"/>
  <c r="AU7" i="11"/>
  <c r="AU12" i="11" s="1"/>
  <c r="AT7" i="11"/>
  <c r="AT12" i="11" s="1"/>
  <c r="AS7" i="11"/>
  <c r="AS12" i="11" s="1"/>
  <c r="AR7" i="11"/>
  <c r="AR12" i="11" s="1"/>
  <c r="AQ7" i="11"/>
  <c r="AQ12" i="11" s="1"/>
  <c r="AP7" i="11"/>
  <c r="AP12" i="11" s="1"/>
  <c r="AO7" i="11"/>
  <c r="AO12" i="11" s="1"/>
  <c r="AN7" i="11"/>
  <c r="AN12" i="11" s="1"/>
  <c r="AM7" i="11"/>
  <c r="AM12" i="11" s="1"/>
  <c r="AL7" i="11"/>
  <c r="AL12" i="11" s="1"/>
  <c r="AK7" i="11"/>
  <c r="AK12" i="11" s="1"/>
  <c r="AJ7" i="11"/>
  <c r="AJ12" i="11" s="1"/>
  <c r="AI7" i="11"/>
  <c r="AI12" i="11" s="1"/>
  <c r="AH7" i="11"/>
  <c r="AH12" i="11" s="1"/>
  <c r="AG7" i="11"/>
  <c r="AG12" i="11" s="1"/>
  <c r="AF7" i="11"/>
  <c r="AF12" i="11" s="1"/>
  <c r="AE7" i="11"/>
  <c r="AE12" i="11" s="1"/>
  <c r="AD7" i="11"/>
  <c r="AD12" i="11" s="1"/>
  <c r="AC7" i="11"/>
  <c r="AC12" i="11" s="1"/>
  <c r="AB7" i="11"/>
  <c r="AB12" i="11" s="1"/>
  <c r="AA7" i="11"/>
  <c r="AA12" i="11" s="1"/>
  <c r="Z7" i="11"/>
  <c r="Z12" i="11" s="1"/>
  <c r="Y7" i="11"/>
  <c r="Y12" i="11" s="1"/>
  <c r="X7" i="11"/>
  <c r="X12" i="11" s="1"/>
  <c r="W7" i="11"/>
  <c r="W12" i="11" s="1"/>
  <c r="V7" i="11"/>
  <c r="V12" i="11" s="1"/>
  <c r="U7" i="11"/>
  <c r="U12" i="11" s="1"/>
  <c r="T7" i="11"/>
  <c r="T12" i="11" s="1"/>
  <c r="S7" i="11"/>
  <c r="S12" i="11" s="1"/>
  <c r="R7" i="11"/>
  <c r="R12" i="11" s="1"/>
  <c r="Q7" i="11"/>
  <c r="Q12" i="11" s="1"/>
  <c r="P7" i="11"/>
  <c r="P12" i="11" s="1"/>
  <c r="O7" i="11"/>
  <c r="O12" i="11" s="1"/>
  <c r="N7" i="11"/>
  <c r="N12" i="11" s="1"/>
  <c r="M7" i="11"/>
  <c r="M12" i="11" s="1"/>
  <c r="L7" i="11"/>
  <c r="L12" i="11" s="1"/>
  <c r="K7" i="11"/>
  <c r="K12" i="11" s="1"/>
  <c r="J7" i="11"/>
  <c r="J12" i="11" s="1"/>
  <c r="I7" i="11"/>
  <c r="I12" i="11" s="1"/>
  <c r="H7" i="11"/>
  <c r="H12" i="11" s="1"/>
  <c r="G7" i="11"/>
  <c r="G12" i="11" s="1"/>
  <c r="F7" i="11"/>
  <c r="F12" i="11" s="1"/>
  <c r="E7" i="11"/>
  <c r="E12" i="11" s="1"/>
  <c r="D7" i="11"/>
  <c r="D12" i="11" s="1"/>
  <c r="C7" i="11"/>
  <c r="C12" i="11" s="1"/>
  <c r="I5" i="11"/>
  <c r="F5" i="11"/>
  <c r="B5" i="11"/>
  <c r="K4" i="11"/>
  <c r="J4" i="11"/>
  <c r="I4" i="11"/>
  <c r="H4" i="11"/>
  <c r="F4" i="11"/>
  <c r="B4" i="11"/>
  <c r="K3" i="11"/>
  <c r="J3" i="11"/>
  <c r="I3" i="11"/>
  <c r="H3" i="11"/>
  <c r="F3" i="11"/>
  <c r="B3" i="11"/>
  <c r="K2" i="11"/>
  <c r="J2" i="11"/>
  <c r="I2" i="11"/>
  <c r="H2" i="11"/>
  <c r="F2" i="11"/>
  <c r="B2" i="11"/>
  <c r="K1" i="11"/>
  <c r="J1" i="11"/>
  <c r="I1" i="11"/>
  <c r="H1" i="11"/>
  <c r="F1" i="11"/>
  <c r="B1" i="11"/>
  <c r="BZ58" i="10"/>
  <c r="B58" i="10"/>
  <c r="A58" i="10"/>
  <c r="BZ57" i="10"/>
  <c r="B57" i="10"/>
  <c r="A57" i="10"/>
  <c r="BZ56" i="10"/>
  <c r="B56" i="10"/>
  <c r="A56" i="10"/>
  <c r="BZ55" i="10"/>
  <c r="B55" i="10"/>
  <c r="A55" i="10"/>
  <c r="BZ54" i="10"/>
  <c r="B54" i="10"/>
  <c r="A54" i="10"/>
  <c r="BZ53" i="10"/>
  <c r="B53" i="10"/>
  <c r="A53" i="10"/>
  <c r="BZ52" i="10"/>
  <c r="B52" i="10"/>
  <c r="A52" i="10"/>
  <c r="BZ51" i="10"/>
  <c r="B51" i="10"/>
  <c r="A51" i="10"/>
  <c r="BZ50" i="10"/>
  <c r="B50" i="10"/>
  <c r="A50" i="10"/>
  <c r="BZ49" i="10"/>
  <c r="B49" i="10"/>
  <c r="A49" i="10"/>
  <c r="BZ48" i="10"/>
  <c r="B48" i="10"/>
  <c r="A48" i="10"/>
  <c r="BZ47" i="10"/>
  <c r="B47" i="10"/>
  <c r="A47" i="10"/>
  <c r="BZ46" i="10"/>
  <c r="B46" i="10"/>
  <c r="BZ45" i="10"/>
  <c r="B45" i="10"/>
  <c r="BZ44" i="10"/>
  <c r="B44" i="10"/>
  <c r="BZ43" i="10"/>
  <c r="B43" i="10"/>
  <c r="BZ42" i="10"/>
  <c r="B42" i="10"/>
  <c r="BZ41" i="10"/>
  <c r="B41" i="10"/>
  <c r="BZ40" i="10"/>
  <c r="B40" i="10"/>
  <c r="A40" i="10"/>
  <c r="A45" i="10" s="1"/>
  <c r="BZ39" i="10"/>
  <c r="B39" i="10"/>
  <c r="A39" i="10"/>
  <c r="A44" i="10" s="1"/>
  <c r="BZ38" i="10"/>
  <c r="B38" i="10"/>
  <c r="A38" i="10"/>
  <c r="A43" i="10" s="1"/>
  <c r="BZ37" i="10"/>
  <c r="B37" i="10"/>
  <c r="A37" i="10"/>
  <c r="A42" i="10" s="1"/>
  <c r="BZ36" i="10"/>
  <c r="B36" i="10"/>
  <c r="BZ35" i="10"/>
  <c r="B35" i="10"/>
  <c r="A35" i="10"/>
  <c r="BZ34" i="10"/>
  <c r="B34" i="10"/>
  <c r="A34" i="10"/>
  <c r="BZ33" i="10"/>
  <c r="B33" i="10"/>
  <c r="A33" i="10"/>
  <c r="BZ32" i="10"/>
  <c r="B32" i="10"/>
  <c r="A32" i="10"/>
  <c r="B31" i="10"/>
  <c r="B30" i="10"/>
  <c r="B29" i="10"/>
  <c r="B28" i="10"/>
  <c r="B27" i="10"/>
  <c r="B26" i="10"/>
  <c r="B25" i="10"/>
  <c r="B24" i="10"/>
  <c r="B23" i="10"/>
  <c r="B22" i="10"/>
  <c r="B19" i="10"/>
  <c r="B18" i="10"/>
  <c r="BY12" i="10"/>
  <c r="BX12" i="10"/>
  <c r="BW12" i="10"/>
  <c r="BV12" i="10"/>
  <c r="BU12" i="10"/>
  <c r="BT12" i="10"/>
  <c r="BS12" i="10"/>
  <c r="BR12" i="10"/>
  <c r="BQ12" i="10"/>
  <c r="BP12" i="10"/>
  <c r="BO12" i="10"/>
  <c r="BN12" i="10"/>
  <c r="BM12" i="10"/>
  <c r="BL12" i="10"/>
  <c r="BK12" i="10"/>
  <c r="BJ12" i="10"/>
  <c r="BI12" i="10"/>
  <c r="BH12" i="10"/>
  <c r="BG12" i="10"/>
  <c r="BF12" i="10"/>
  <c r="BE12" i="10"/>
  <c r="BD12" i="10"/>
  <c r="BC12" i="10"/>
  <c r="BB12" i="10"/>
  <c r="BA12" i="10"/>
  <c r="AZ12" i="10"/>
  <c r="AY12" i="10"/>
  <c r="AX12" i="10"/>
  <c r="AW12" i="10"/>
  <c r="AV12" i="10"/>
  <c r="AU12" i="10"/>
  <c r="AT12" i="10"/>
  <c r="AS12" i="10"/>
  <c r="AR12" i="10"/>
  <c r="AQ12" i="10"/>
  <c r="AP12" i="10"/>
  <c r="AO12" i="10"/>
  <c r="AN12" i="10"/>
  <c r="AM12" i="10"/>
  <c r="AL12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BY11" i="10"/>
  <c r="BY15" i="10" s="1"/>
  <c r="BX11" i="10"/>
  <c r="BX15" i="10" s="1"/>
  <c r="BW11" i="10"/>
  <c r="BW15" i="10" s="1"/>
  <c r="BV11" i="10"/>
  <c r="BV15" i="10" s="1"/>
  <c r="BU11" i="10"/>
  <c r="BU15" i="10" s="1"/>
  <c r="BT11" i="10"/>
  <c r="BT15" i="10" s="1"/>
  <c r="BS11" i="10"/>
  <c r="BS15" i="10" s="1"/>
  <c r="BR11" i="10"/>
  <c r="BR15" i="10" s="1"/>
  <c r="BQ11" i="10"/>
  <c r="BQ15" i="10" s="1"/>
  <c r="BP11" i="10"/>
  <c r="BP15" i="10" s="1"/>
  <c r="BO11" i="10"/>
  <c r="BO15" i="10" s="1"/>
  <c r="BN11" i="10"/>
  <c r="BN15" i="10" s="1"/>
  <c r="BM11" i="10"/>
  <c r="BM15" i="10" s="1"/>
  <c r="BL11" i="10"/>
  <c r="BL15" i="10" s="1"/>
  <c r="BK11" i="10"/>
  <c r="BK15" i="10" s="1"/>
  <c r="BJ11" i="10"/>
  <c r="BJ15" i="10" s="1"/>
  <c r="BI11" i="10"/>
  <c r="BI15" i="10" s="1"/>
  <c r="BH11" i="10"/>
  <c r="BH15" i="10" s="1"/>
  <c r="BG11" i="10"/>
  <c r="BG15" i="10" s="1"/>
  <c r="BF11" i="10"/>
  <c r="BF15" i="10" s="1"/>
  <c r="BE11" i="10"/>
  <c r="BE15" i="10" s="1"/>
  <c r="BD11" i="10"/>
  <c r="BD15" i="10" s="1"/>
  <c r="BC11" i="10"/>
  <c r="BC15" i="10" s="1"/>
  <c r="BB11" i="10"/>
  <c r="BB15" i="10" s="1"/>
  <c r="BA11" i="10"/>
  <c r="BA15" i="10" s="1"/>
  <c r="AZ11" i="10"/>
  <c r="AZ15" i="10" s="1"/>
  <c r="AY11" i="10"/>
  <c r="AY15" i="10" s="1"/>
  <c r="AX11" i="10"/>
  <c r="AX15" i="10" s="1"/>
  <c r="AW11" i="10"/>
  <c r="AW15" i="10" s="1"/>
  <c r="AV11" i="10"/>
  <c r="AV15" i="10" s="1"/>
  <c r="AU11" i="10"/>
  <c r="AU15" i="10" s="1"/>
  <c r="AT11" i="10"/>
  <c r="AT15" i="10" s="1"/>
  <c r="AS11" i="10"/>
  <c r="AS15" i="10" s="1"/>
  <c r="AR11" i="10"/>
  <c r="AR15" i="10" s="1"/>
  <c r="AQ11" i="10"/>
  <c r="AQ15" i="10" s="1"/>
  <c r="AP11" i="10"/>
  <c r="AP15" i="10" s="1"/>
  <c r="AO11" i="10"/>
  <c r="AO15" i="10" s="1"/>
  <c r="AN11" i="10"/>
  <c r="AN15" i="10" s="1"/>
  <c r="AM11" i="10"/>
  <c r="AM15" i="10" s="1"/>
  <c r="AL11" i="10"/>
  <c r="AL15" i="10" s="1"/>
  <c r="AK11" i="10"/>
  <c r="AK15" i="10" s="1"/>
  <c r="AJ11" i="10"/>
  <c r="AJ15" i="10" s="1"/>
  <c r="AI11" i="10"/>
  <c r="AI15" i="10" s="1"/>
  <c r="AH11" i="10"/>
  <c r="AH15" i="10" s="1"/>
  <c r="AG11" i="10"/>
  <c r="AG15" i="10" s="1"/>
  <c r="AF11" i="10"/>
  <c r="AF15" i="10" s="1"/>
  <c r="AE11" i="10"/>
  <c r="AE15" i="10" s="1"/>
  <c r="AD11" i="10"/>
  <c r="AD15" i="10" s="1"/>
  <c r="AC11" i="10"/>
  <c r="AC15" i="10" s="1"/>
  <c r="AB11" i="10"/>
  <c r="AB15" i="10" s="1"/>
  <c r="AA11" i="10"/>
  <c r="AA15" i="10" s="1"/>
  <c r="Z11" i="10"/>
  <c r="Z15" i="10" s="1"/>
  <c r="Y11" i="10"/>
  <c r="Y15" i="10" s="1"/>
  <c r="X11" i="10"/>
  <c r="X15" i="10" s="1"/>
  <c r="W11" i="10"/>
  <c r="W15" i="10" s="1"/>
  <c r="V11" i="10"/>
  <c r="V15" i="10" s="1"/>
  <c r="U11" i="10"/>
  <c r="U15" i="10" s="1"/>
  <c r="T11" i="10"/>
  <c r="T15" i="10" s="1"/>
  <c r="S11" i="10"/>
  <c r="S15" i="10" s="1"/>
  <c r="R11" i="10"/>
  <c r="R15" i="10" s="1"/>
  <c r="Q11" i="10"/>
  <c r="Q15" i="10" s="1"/>
  <c r="P11" i="10"/>
  <c r="P15" i="10" s="1"/>
  <c r="O11" i="10"/>
  <c r="O15" i="10" s="1"/>
  <c r="N11" i="10"/>
  <c r="N15" i="10" s="1"/>
  <c r="M11" i="10"/>
  <c r="M15" i="10" s="1"/>
  <c r="L11" i="10"/>
  <c r="L15" i="10" s="1"/>
  <c r="K11" i="10"/>
  <c r="K15" i="10" s="1"/>
  <c r="J11" i="10"/>
  <c r="J15" i="10" s="1"/>
  <c r="I11" i="10"/>
  <c r="I15" i="10" s="1"/>
  <c r="H11" i="10"/>
  <c r="H15" i="10" s="1"/>
  <c r="G11" i="10"/>
  <c r="G15" i="10" s="1"/>
  <c r="F11" i="10"/>
  <c r="F15" i="10" s="1"/>
  <c r="E11" i="10"/>
  <c r="E15" i="10" s="1"/>
  <c r="D11" i="10"/>
  <c r="D15" i="10" s="1"/>
  <c r="C11" i="10"/>
  <c r="C15" i="10" s="1"/>
  <c r="BY10" i="10"/>
  <c r="BX10" i="10"/>
  <c r="BW10" i="10"/>
  <c r="BV10" i="10"/>
  <c r="BU10" i="10"/>
  <c r="BT10" i="10"/>
  <c r="BS10" i="10"/>
  <c r="BR10" i="10"/>
  <c r="BQ10" i="10"/>
  <c r="BP10" i="10"/>
  <c r="BO10" i="10"/>
  <c r="BN10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D10" i="10"/>
  <c r="C10" i="10"/>
  <c r="BY9" i="10"/>
  <c r="BY14" i="10" s="1"/>
  <c r="BX9" i="10"/>
  <c r="BX14" i="10" s="1"/>
  <c r="BW9" i="10"/>
  <c r="BW14" i="10" s="1"/>
  <c r="BV9" i="10"/>
  <c r="BV14" i="10" s="1"/>
  <c r="BU9" i="10"/>
  <c r="BU14" i="10" s="1"/>
  <c r="BT9" i="10"/>
  <c r="BT14" i="10" s="1"/>
  <c r="BS9" i="10"/>
  <c r="BS14" i="10" s="1"/>
  <c r="BR9" i="10"/>
  <c r="BR14" i="10" s="1"/>
  <c r="BQ9" i="10"/>
  <c r="BQ14" i="10" s="1"/>
  <c r="BP9" i="10"/>
  <c r="BP14" i="10" s="1"/>
  <c r="BO9" i="10"/>
  <c r="BO14" i="10" s="1"/>
  <c r="BN9" i="10"/>
  <c r="BN14" i="10" s="1"/>
  <c r="BM9" i="10"/>
  <c r="BM14" i="10" s="1"/>
  <c r="BL9" i="10"/>
  <c r="BL14" i="10" s="1"/>
  <c r="BK9" i="10"/>
  <c r="BK14" i="10" s="1"/>
  <c r="BJ9" i="10"/>
  <c r="BJ14" i="10" s="1"/>
  <c r="BI9" i="10"/>
  <c r="BI14" i="10" s="1"/>
  <c r="BH9" i="10"/>
  <c r="BH14" i="10" s="1"/>
  <c r="BG9" i="10"/>
  <c r="BG14" i="10" s="1"/>
  <c r="BF9" i="10"/>
  <c r="BF14" i="10" s="1"/>
  <c r="BE9" i="10"/>
  <c r="BE14" i="10" s="1"/>
  <c r="BD9" i="10"/>
  <c r="BD14" i="10" s="1"/>
  <c r="BC9" i="10"/>
  <c r="BC14" i="10" s="1"/>
  <c r="BB9" i="10"/>
  <c r="BB14" i="10" s="1"/>
  <c r="BA9" i="10"/>
  <c r="BA14" i="10" s="1"/>
  <c r="AZ9" i="10"/>
  <c r="AZ14" i="10" s="1"/>
  <c r="AY9" i="10"/>
  <c r="AY14" i="10" s="1"/>
  <c r="AX9" i="10"/>
  <c r="AX14" i="10" s="1"/>
  <c r="AW9" i="10"/>
  <c r="AW14" i="10" s="1"/>
  <c r="AV9" i="10"/>
  <c r="AV14" i="10" s="1"/>
  <c r="AU9" i="10"/>
  <c r="AU14" i="10" s="1"/>
  <c r="AT9" i="10"/>
  <c r="AT14" i="10" s="1"/>
  <c r="AS9" i="10"/>
  <c r="AS14" i="10" s="1"/>
  <c r="AR9" i="10"/>
  <c r="AR14" i="10" s="1"/>
  <c r="AQ9" i="10"/>
  <c r="AQ14" i="10" s="1"/>
  <c r="AP9" i="10"/>
  <c r="AP14" i="10" s="1"/>
  <c r="AO9" i="10"/>
  <c r="AO14" i="10" s="1"/>
  <c r="AN9" i="10"/>
  <c r="AN14" i="10" s="1"/>
  <c r="AM9" i="10"/>
  <c r="AM14" i="10" s="1"/>
  <c r="AL9" i="10"/>
  <c r="AL14" i="10" s="1"/>
  <c r="AK9" i="10"/>
  <c r="AK14" i="10" s="1"/>
  <c r="AJ9" i="10"/>
  <c r="AJ14" i="10" s="1"/>
  <c r="AI9" i="10"/>
  <c r="AI14" i="10" s="1"/>
  <c r="AH9" i="10"/>
  <c r="AH14" i="10" s="1"/>
  <c r="AG9" i="10"/>
  <c r="AG14" i="10" s="1"/>
  <c r="AF9" i="10"/>
  <c r="AF14" i="10" s="1"/>
  <c r="AE9" i="10"/>
  <c r="AE14" i="10" s="1"/>
  <c r="AD9" i="10"/>
  <c r="AD14" i="10" s="1"/>
  <c r="AC9" i="10"/>
  <c r="AC14" i="10" s="1"/>
  <c r="AB9" i="10"/>
  <c r="AB14" i="10" s="1"/>
  <c r="AA9" i="10"/>
  <c r="AA14" i="10" s="1"/>
  <c r="Z9" i="10"/>
  <c r="Z14" i="10" s="1"/>
  <c r="Y9" i="10"/>
  <c r="Y14" i="10" s="1"/>
  <c r="X9" i="10"/>
  <c r="X14" i="10" s="1"/>
  <c r="W9" i="10"/>
  <c r="W14" i="10" s="1"/>
  <c r="V9" i="10"/>
  <c r="V14" i="10" s="1"/>
  <c r="U9" i="10"/>
  <c r="U14" i="10" s="1"/>
  <c r="T9" i="10"/>
  <c r="T14" i="10" s="1"/>
  <c r="S9" i="10"/>
  <c r="S14" i="10" s="1"/>
  <c r="R9" i="10"/>
  <c r="R14" i="10" s="1"/>
  <c r="Q9" i="10"/>
  <c r="Q14" i="10" s="1"/>
  <c r="P9" i="10"/>
  <c r="P14" i="10" s="1"/>
  <c r="O9" i="10"/>
  <c r="O14" i="10" s="1"/>
  <c r="N9" i="10"/>
  <c r="N14" i="10" s="1"/>
  <c r="M9" i="10"/>
  <c r="M14" i="10" s="1"/>
  <c r="L9" i="10"/>
  <c r="L14" i="10" s="1"/>
  <c r="K9" i="10"/>
  <c r="K14" i="10" s="1"/>
  <c r="J9" i="10"/>
  <c r="J14" i="10" s="1"/>
  <c r="I9" i="10"/>
  <c r="I14" i="10" s="1"/>
  <c r="H9" i="10"/>
  <c r="H14" i="10" s="1"/>
  <c r="G9" i="10"/>
  <c r="G14" i="10" s="1"/>
  <c r="F9" i="10"/>
  <c r="F14" i="10" s="1"/>
  <c r="E9" i="10"/>
  <c r="E14" i="10" s="1"/>
  <c r="D9" i="10"/>
  <c r="D14" i="10" s="1"/>
  <c r="C9" i="10"/>
  <c r="C14" i="10" s="1"/>
  <c r="BY8" i="10"/>
  <c r="BY13" i="10" s="1"/>
  <c r="BX8" i="10"/>
  <c r="BX13" i="10" s="1"/>
  <c r="BW8" i="10"/>
  <c r="BW13" i="10" s="1"/>
  <c r="BV8" i="10"/>
  <c r="BV13" i="10" s="1"/>
  <c r="BU8" i="10"/>
  <c r="BU13" i="10" s="1"/>
  <c r="BT8" i="10"/>
  <c r="BT13" i="10" s="1"/>
  <c r="BS8" i="10"/>
  <c r="BS13" i="10" s="1"/>
  <c r="BR8" i="10"/>
  <c r="BR13" i="10" s="1"/>
  <c r="BQ8" i="10"/>
  <c r="BQ13" i="10" s="1"/>
  <c r="BP8" i="10"/>
  <c r="BP13" i="10" s="1"/>
  <c r="BO8" i="10"/>
  <c r="BO13" i="10" s="1"/>
  <c r="BN8" i="10"/>
  <c r="BN13" i="10" s="1"/>
  <c r="BM8" i="10"/>
  <c r="BM13" i="10" s="1"/>
  <c r="BL8" i="10"/>
  <c r="BL13" i="10" s="1"/>
  <c r="BK8" i="10"/>
  <c r="BK13" i="10" s="1"/>
  <c r="BJ8" i="10"/>
  <c r="BJ13" i="10" s="1"/>
  <c r="BI8" i="10"/>
  <c r="BI13" i="10" s="1"/>
  <c r="BH8" i="10"/>
  <c r="BH13" i="10" s="1"/>
  <c r="BG8" i="10"/>
  <c r="BG13" i="10" s="1"/>
  <c r="BF8" i="10"/>
  <c r="BF13" i="10" s="1"/>
  <c r="BE8" i="10"/>
  <c r="BE13" i="10" s="1"/>
  <c r="BD8" i="10"/>
  <c r="BD13" i="10" s="1"/>
  <c r="BC8" i="10"/>
  <c r="BC13" i="10" s="1"/>
  <c r="BB8" i="10"/>
  <c r="BB13" i="10" s="1"/>
  <c r="BA8" i="10"/>
  <c r="BA13" i="10" s="1"/>
  <c r="AZ8" i="10"/>
  <c r="AZ13" i="10" s="1"/>
  <c r="AY8" i="10"/>
  <c r="AY13" i="10" s="1"/>
  <c r="AX8" i="10"/>
  <c r="AX13" i="10" s="1"/>
  <c r="AW8" i="10"/>
  <c r="AW13" i="10" s="1"/>
  <c r="AV8" i="10"/>
  <c r="AV13" i="10" s="1"/>
  <c r="AU8" i="10"/>
  <c r="AU13" i="10" s="1"/>
  <c r="AT8" i="10"/>
  <c r="AT13" i="10" s="1"/>
  <c r="AS8" i="10"/>
  <c r="AS13" i="10" s="1"/>
  <c r="AR8" i="10"/>
  <c r="AR13" i="10" s="1"/>
  <c r="AQ8" i="10"/>
  <c r="AQ13" i="10" s="1"/>
  <c r="AP8" i="10"/>
  <c r="AP13" i="10" s="1"/>
  <c r="AO8" i="10"/>
  <c r="AO13" i="10" s="1"/>
  <c r="AN8" i="10"/>
  <c r="AN13" i="10" s="1"/>
  <c r="AM8" i="10"/>
  <c r="AM13" i="10" s="1"/>
  <c r="AL8" i="10"/>
  <c r="AL13" i="10" s="1"/>
  <c r="AK8" i="10"/>
  <c r="AK13" i="10" s="1"/>
  <c r="AJ8" i="10"/>
  <c r="AJ13" i="10" s="1"/>
  <c r="AI8" i="10"/>
  <c r="AI13" i="10" s="1"/>
  <c r="AH8" i="10"/>
  <c r="AH13" i="10" s="1"/>
  <c r="AG8" i="10"/>
  <c r="AG13" i="10" s="1"/>
  <c r="AF8" i="10"/>
  <c r="AF13" i="10" s="1"/>
  <c r="AE8" i="10"/>
  <c r="AE13" i="10" s="1"/>
  <c r="AD8" i="10"/>
  <c r="AD13" i="10" s="1"/>
  <c r="AC8" i="10"/>
  <c r="AC13" i="10" s="1"/>
  <c r="AB8" i="10"/>
  <c r="AB13" i="10" s="1"/>
  <c r="AA8" i="10"/>
  <c r="AA13" i="10" s="1"/>
  <c r="Z8" i="10"/>
  <c r="Z13" i="10" s="1"/>
  <c r="Y8" i="10"/>
  <c r="Y13" i="10" s="1"/>
  <c r="X8" i="10"/>
  <c r="X13" i="10" s="1"/>
  <c r="W8" i="10"/>
  <c r="W13" i="10" s="1"/>
  <c r="V8" i="10"/>
  <c r="V13" i="10" s="1"/>
  <c r="U8" i="10"/>
  <c r="U13" i="10" s="1"/>
  <c r="T8" i="10"/>
  <c r="T13" i="10" s="1"/>
  <c r="S8" i="10"/>
  <c r="S13" i="10" s="1"/>
  <c r="R8" i="10"/>
  <c r="R13" i="10" s="1"/>
  <c r="Q8" i="10"/>
  <c r="Q13" i="10" s="1"/>
  <c r="P8" i="10"/>
  <c r="P13" i="10" s="1"/>
  <c r="O8" i="10"/>
  <c r="O13" i="10" s="1"/>
  <c r="N8" i="10"/>
  <c r="N13" i="10" s="1"/>
  <c r="M8" i="10"/>
  <c r="M13" i="10" s="1"/>
  <c r="L8" i="10"/>
  <c r="L13" i="10" s="1"/>
  <c r="K8" i="10"/>
  <c r="K13" i="10" s="1"/>
  <c r="J8" i="10"/>
  <c r="J13" i="10" s="1"/>
  <c r="I8" i="10"/>
  <c r="I13" i="10" s="1"/>
  <c r="H8" i="10"/>
  <c r="H13" i="10" s="1"/>
  <c r="G8" i="10"/>
  <c r="G13" i="10" s="1"/>
  <c r="F8" i="10"/>
  <c r="F13" i="10" s="1"/>
  <c r="E8" i="10"/>
  <c r="E13" i="10" s="1"/>
  <c r="D8" i="10"/>
  <c r="D13" i="10" s="1"/>
  <c r="C8" i="10"/>
  <c r="C13" i="10" s="1"/>
  <c r="I6" i="10"/>
  <c r="F6" i="10"/>
  <c r="B6" i="10"/>
  <c r="K5" i="10"/>
  <c r="J5" i="10"/>
  <c r="I5" i="10"/>
  <c r="H5" i="10"/>
  <c r="F5" i="10"/>
  <c r="B5" i="10"/>
  <c r="K4" i="10"/>
  <c r="J4" i="10"/>
  <c r="I4" i="10"/>
  <c r="H4" i="10"/>
  <c r="F4" i="10"/>
  <c r="B4" i="10"/>
  <c r="K3" i="10"/>
  <c r="J3" i="10"/>
  <c r="I3" i="10"/>
  <c r="H3" i="10"/>
  <c r="F3" i="10"/>
  <c r="B3" i="10"/>
  <c r="K2" i="10"/>
  <c r="J2" i="10"/>
  <c r="I2" i="10"/>
  <c r="H2" i="10"/>
  <c r="F2" i="10"/>
  <c r="B2" i="10"/>
  <c r="BZ57" i="9"/>
  <c r="B57" i="9"/>
  <c r="BZ56" i="9"/>
  <c r="B56" i="9"/>
  <c r="A56" i="9"/>
  <c r="BZ55" i="9"/>
  <c r="B55" i="9"/>
  <c r="A55" i="9"/>
  <c r="BZ54" i="9"/>
  <c r="B54" i="9"/>
  <c r="A54" i="9"/>
  <c r="BZ53" i="9"/>
  <c r="B53" i="9"/>
  <c r="BZ52" i="9"/>
  <c r="B52" i="9"/>
  <c r="BZ51" i="9"/>
  <c r="B51" i="9"/>
  <c r="BZ50" i="9"/>
  <c r="B50" i="9"/>
  <c r="BZ49" i="9"/>
  <c r="B49" i="9"/>
  <c r="BZ48" i="9"/>
  <c r="B48" i="9"/>
  <c r="BZ47" i="9"/>
  <c r="B47" i="9"/>
  <c r="BZ46" i="9"/>
  <c r="B46" i="9"/>
  <c r="BZ45" i="9"/>
  <c r="B45" i="9"/>
  <c r="BZ44" i="9"/>
  <c r="B44" i="9"/>
  <c r="BZ43" i="9"/>
  <c r="B43" i="9"/>
  <c r="BZ42" i="9"/>
  <c r="B42" i="9"/>
  <c r="BZ41" i="9"/>
  <c r="B41" i="9"/>
  <c r="BZ40" i="9"/>
  <c r="B40" i="9"/>
  <c r="BZ39" i="9"/>
  <c r="B39" i="9"/>
  <c r="A39" i="9"/>
  <c r="A44" i="9" s="1"/>
  <c r="BZ38" i="9"/>
  <c r="B38" i="9"/>
  <c r="A38" i="9"/>
  <c r="A43" i="9" s="1"/>
  <c r="BZ37" i="9"/>
  <c r="B37" i="9"/>
  <c r="A36" i="9"/>
  <c r="A41" i="9" s="1"/>
  <c r="BZ36" i="9"/>
  <c r="B36" i="9"/>
  <c r="BZ35" i="9"/>
  <c r="B35" i="9"/>
  <c r="BZ34" i="9"/>
  <c r="B34" i="9"/>
  <c r="A33" i="9"/>
  <c r="BZ33" i="9"/>
  <c r="B33" i="9"/>
  <c r="A32" i="9"/>
  <c r="BZ32" i="9"/>
  <c r="B32" i="9"/>
  <c r="A31" i="9"/>
  <c r="BZ31" i="9"/>
  <c r="B31" i="9"/>
  <c r="B30" i="9"/>
  <c r="B29" i="9"/>
  <c r="B28" i="9"/>
  <c r="B27" i="9"/>
  <c r="B26" i="9"/>
  <c r="B25" i="9"/>
  <c r="B24" i="9"/>
  <c r="B23" i="9"/>
  <c r="B22" i="9"/>
  <c r="B21" i="9"/>
  <c r="B18" i="9"/>
  <c r="B17" i="9"/>
  <c r="BY11" i="9"/>
  <c r="BX11" i="9"/>
  <c r="BW11" i="9"/>
  <c r="BV11" i="9"/>
  <c r="BU11" i="9"/>
  <c r="BT11" i="9"/>
  <c r="BS11" i="9"/>
  <c r="BR11" i="9"/>
  <c r="BQ11" i="9"/>
  <c r="BP11" i="9"/>
  <c r="BO11" i="9"/>
  <c r="BN11" i="9"/>
  <c r="BM11" i="9"/>
  <c r="BL11" i="9"/>
  <c r="BK11" i="9"/>
  <c r="BJ11" i="9"/>
  <c r="BI11" i="9"/>
  <c r="BH11" i="9"/>
  <c r="BG11" i="9"/>
  <c r="BF11" i="9"/>
  <c r="BE11" i="9"/>
  <c r="BD11" i="9"/>
  <c r="BC11" i="9"/>
  <c r="BB11" i="9"/>
  <c r="BA11" i="9"/>
  <c r="AZ11" i="9"/>
  <c r="AY11" i="9"/>
  <c r="AX11" i="9"/>
  <c r="AW11" i="9"/>
  <c r="AV11" i="9"/>
  <c r="AU11" i="9"/>
  <c r="AT11" i="9"/>
  <c r="AS11" i="9"/>
  <c r="AR11" i="9"/>
  <c r="AQ11" i="9"/>
  <c r="AP11" i="9"/>
  <c r="AO11" i="9"/>
  <c r="AN11" i="9"/>
  <c r="AM11" i="9"/>
  <c r="AL11" i="9"/>
  <c r="AK11" i="9"/>
  <c r="AJ11" i="9"/>
  <c r="AI11" i="9"/>
  <c r="AH11" i="9"/>
  <c r="AG11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Y10" i="9"/>
  <c r="BY14" i="9" s="1"/>
  <c r="BX10" i="9"/>
  <c r="BX14" i="9" s="1"/>
  <c r="BW10" i="9"/>
  <c r="BW14" i="9" s="1"/>
  <c r="BV10" i="9"/>
  <c r="BV14" i="9" s="1"/>
  <c r="BU10" i="9"/>
  <c r="BU14" i="9" s="1"/>
  <c r="BT10" i="9"/>
  <c r="BT14" i="9" s="1"/>
  <c r="BS10" i="9"/>
  <c r="BS14" i="9" s="1"/>
  <c r="BR10" i="9"/>
  <c r="BR14" i="9" s="1"/>
  <c r="BQ10" i="9"/>
  <c r="BQ14" i="9" s="1"/>
  <c r="BP10" i="9"/>
  <c r="BP14" i="9" s="1"/>
  <c r="BO10" i="9"/>
  <c r="BO14" i="9" s="1"/>
  <c r="BN10" i="9"/>
  <c r="BN14" i="9" s="1"/>
  <c r="BM10" i="9"/>
  <c r="BM14" i="9" s="1"/>
  <c r="BL10" i="9"/>
  <c r="BL14" i="9" s="1"/>
  <c r="BK10" i="9"/>
  <c r="BK14" i="9" s="1"/>
  <c r="BJ10" i="9"/>
  <c r="BJ14" i="9" s="1"/>
  <c r="BI10" i="9"/>
  <c r="BI14" i="9" s="1"/>
  <c r="BH10" i="9"/>
  <c r="BH14" i="9" s="1"/>
  <c r="BG10" i="9"/>
  <c r="BG14" i="9" s="1"/>
  <c r="BF10" i="9"/>
  <c r="BF14" i="9" s="1"/>
  <c r="BE10" i="9"/>
  <c r="BE14" i="9" s="1"/>
  <c r="BD10" i="9"/>
  <c r="BD14" i="9" s="1"/>
  <c r="BC10" i="9"/>
  <c r="BC14" i="9" s="1"/>
  <c r="BB10" i="9"/>
  <c r="BB14" i="9" s="1"/>
  <c r="BA10" i="9"/>
  <c r="BA14" i="9" s="1"/>
  <c r="AZ10" i="9"/>
  <c r="AZ14" i="9" s="1"/>
  <c r="AY10" i="9"/>
  <c r="AY14" i="9" s="1"/>
  <c r="AX10" i="9"/>
  <c r="AX14" i="9" s="1"/>
  <c r="AW10" i="9"/>
  <c r="AW14" i="9" s="1"/>
  <c r="AV10" i="9"/>
  <c r="AV14" i="9" s="1"/>
  <c r="AU10" i="9"/>
  <c r="AU14" i="9" s="1"/>
  <c r="AT10" i="9"/>
  <c r="AT14" i="9" s="1"/>
  <c r="AS10" i="9"/>
  <c r="AS14" i="9" s="1"/>
  <c r="AR10" i="9"/>
  <c r="AR14" i="9" s="1"/>
  <c r="AQ10" i="9"/>
  <c r="AQ14" i="9" s="1"/>
  <c r="AP10" i="9"/>
  <c r="AP14" i="9" s="1"/>
  <c r="AO10" i="9"/>
  <c r="AO14" i="9" s="1"/>
  <c r="AN10" i="9"/>
  <c r="AN14" i="9" s="1"/>
  <c r="AM10" i="9"/>
  <c r="AM14" i="9" s="1"/>
  <c r="AL10" i="9"/>
  <c r="AL14" i="9" s="1"/>
  <c r="AK10" i="9"/>
  <c r="AK14" i="9" s="1"/>
  <c r="AJ10" i="9"/>
  <c r="AJ14" i="9" s="1"/>
  <c r="AI10" i="9"/>
  <c r="AI14" i="9" s="1"/>
  <c r="AH10" i="9"/>
  <c r="AH14" i="9" s="1"/>
  <c r="AG10" i="9"/>
  <c r="AG14" i="9" s="1"/>
  <c r="AF10" i="9"/>
  <c r="AF14" i="9" s="1"/>
  <c r="AE10" i="9"/>
  <c r="AE14" i="9" s="1"/>
  <c r="AD10" i="9"/>
  <c r="AD14" i="9" s="1"/>
  <c r="AC10" i="9"/>
  <c r="AC14" i="9" s="1"/>
  <c r="AB10" i="9"/>
  <c r="AB14" i="9" s="1"/>
  <c r="AA10" i="9"/>
  <c r="AA14" i="9" s="1"/>
  <c r="Z10" i="9"/>
  <c r="Z14" i="9" s="1"/>
  <c r="Y10" i="9"/>
  <c r="Y14" i="9" s="1"/>
  <c r="X10" i="9"/>
  <c r="X14" i="9" s="1"/>
  <c r="W10" i="9"/>
  <c r="W14" i="9" s="1"/>
  <c r="V10" i="9"/>
  <c r="V14" i="9" s="1"/>
  <c r="U10" i="9"/>
  <c r="U14" i="9" s="1"/>
  <c r="T10" i="9"/>
  <c r="T14" i="9" s="1"/>
  <c r="S10" i="9"/>
  <c r="S14" i="9" s="1"/>
  <c r="R10" i="9"/>
  <c r="R14" i="9" s="1"/>
  <c r="Q10" i="9"/>
  <c r="Q14" i="9" s="1"/>
  <c r="P10" i="9"/>
  <c r="P14" i="9" s="1"/>
  <c r="O10" i="9"/>
  <c r="O14" i="9" s="1"/>
  <c r="N10" i="9"/>
  <c r="N14" i="9" s="1"/>
  <c r="M10" i="9"/>
  <c r="M14" i="9" s="1"/>
  <c r="L10" i="9"/>
  <c r="L14" i="9" s="1"/>
  <c r="K10" i="9"/>
  <c r="K14" i="9" s="1"/>
  <c r="J10" i="9"/>
  <c r="J14" i="9" s="1"/>
  <c r="I10" i="9"/>
  <c r="I14" i="9" s="1"/>
  <c r="H10" i="9"/>
  <c r="H14" i="9" s="1"/>
  <c r="G10" i="9"/>
  <c r="G14" i="9" s="1"/>
  <c r="F10" i="9"/>
  <c r="F14" i="9" s="1"/>
  <c r="E10" i="9"/>
  <c r="E14" i="9" s="1"/>
  <c r="D10" i="9"/>
  <c r="D14" i="9" s="1"/>
  <c r="C10" i="9"/>
  <c r="C14" i="9" s="1"/>
  <c r="BY9" i="9"/>
  <c r="BX9" i="9"/>
  <c r="BW9" i="9"/>
  <c r="BV9" i="9"/>
  <c r="BU9" i="9"/>
  <c r="BT9" i="9"/>
  <c r="BS9" i="9"/>
  <c r="BR9" i="9"/>
  <c r="BQ9" i="9"/>
  <c r="BP9" i="9"/>
  <c r="BO9" i="9"/>
  <c r="BN9" i="9"/>
  <c r="BM9" i="9"/>
  <c r="BL9" i="9"/>
  <c r="BK9" i="9"/>
  <c r="BJ9" i="9"/>
  <c r="BI9" i="9"/>
  <c r="BH9" i="9"/>
  <c r="BG9" i="9"/>
  <c r="BF9" i="9"/>
  <c r="BE9" i="9"/>
  <c r="BD9" i="9"/>
  <c r="BC9" i="9"/>
  <c r="BB9" i="9"/>
  <c r="BA9" i="9"/>
  <c r="AZ9" i="9"/>
  <c r="AY9" i="9"/>
  <c r="AX9" i="9"/>
  <c r="AW9" i="9"/>
  <c r="AV9" i="9"/>
  <c r="AU9" i="9"/>
  <c r="AT9" i="9"/>
  <c r="AS9" i="9"/>
  <c r="AR9" i="9"/>
  <c r="AQ9" i="9"/>
  <c r="AP9" i="9"/>
  <c r="AO9" i="9"/>
  <c r="AN9" i="9"/>
  <c r="AM9" i="9"/>
  <c r="AL9" i="9"/>
  <c r="AK9" i="9"/>
  <c r="AJ9" i="9"/>
  <c r="AI9" i="9"/>
  <c r="AH9" i="9"/>
  <c r="AG9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Y8" i="9"/>
  <c r="BY13" i="9" s="1"/>
  <c r="BX8" i="9"/>
  <c r="BX13" i="9" s="1"/>
  <c r="BW8" i="9"/>
  <c r="BW13" i="9" s="1"/>
  <c r="BV8" i="9"/>
  <c r="BV13" i="9" s="1"/>
  <c r="BU8" i="9"/>
  <c r="BU13" i="9" s="1"/>
  <c r="BT8" i="9"/>
  <c r="BT13" i="9" s="1"/>
  <c r="BS8" i="9"/>
  <c r="BS13" i="9" s="1"/>
  <c r="BR8" i="9"/>
  <c r="BR13" i="9" s="1"/>
  <c r="BQ8" i="9"/>
  <c r="BQ13" i="9" s="1"/>
  <c r="BP8" i="9"/>
  <c r="BP13" i="9" s="1"/>
  <c r="BO8" i="9"/>
  <c r="BO13" i="9" s="1"/>
  <c r="BN8" i="9"/>
  <c r="BN13" i="9" s="1"/>
  <c r="BM8" i="9"/>
  <c r="BM13" i="9" s="1"/>
  <c r="BL8" i="9"/>
  <c r="BL13" i="9" s="1"/>
  <c r="BK8" i="9"/>
  <c r="BK13" i="9" s="1"/>
  <c r="BJ8" i="9"/>
  <c r="BJ13" i="9" s="1"/>
  <c r="BI8" i="9"/>
  <c r="BI13" i="9" s="1"/>
  <c r="BH8" i="9"/>
  <c r="BH13" i="9" s="1"/>
  <c r="BG8" i="9"/>
  <c r="BG13" i="9" s="1"/>
  <c r="BF8" i="9"/>
  <c r="BF13" i="9" s="1"/>
  <c r="BE8" i="9"/>
  <c r="BE13" i="9" s="1"/>
  <c r="BD8" i="9"/>
  <c r="BD13" i="9" s="1"/>
  <c r="BC8" i="9"/>
  <c r="BC13" i="9" s="1"/>
  <c r="BB8" i="9"/>
  <c r="BB13" i="9" s="1"/>
  <c r="BA8" i="9"/>
  <c r="BA13" i="9" s="1"/>
  <c r="AZ8" i="9"/>
  <c r="AZ13" i="9" s="1"/>
  <c r="AY8" i="9"/>
  <c r="AY13" i="9" s="1"/>
  <c r="AX8" i="9"/>
  <c r="AX13" i="9" s="1"/>
  <c r="AW8" i="9"/>
  <c r="AW13" i="9" s="1"/>
  <c r="AV8" i="9"/>
  <c r="AV13" i="9" s="1"/>
  <c r="AU8" i="9"/>
  <c r="AU13" i="9" s="1"/>
  <c r="AT8" i="9"/>
  <c r="AT13" i="9" s="1"/>
  <c r="AS8" i="9"/>
  <c r="AS13" i="9" s="1"/>
  <c r="AR8" i="9"/>
  <c r="AR13" i="9" s="1"/>
  <c r="AQ8" i="9"/>
  <c r="AQ13" i="9" s="1"/>
  <c r="AP8" i="9"/>
  <c r="AP13" i="9" s="1"/>
  <c r="AO8" i="9"/>
  <c r="AO13" i="9" s="1"/>
  <c r="AN8" i="9"/>
  <c r="AN13" i="9" s="1"/>
  <c r="AM8" i="9"/>
  <c r="AM13" i="9" s="1"/>
  <c r="AL8" i="9"/>
  <c r="AL13" i="9" s="1"/>
  <c r="AK8" i="9"/>
  <c r="AK13" i="9" s="1"/>
  <c r="AJ8" i="9"/>
  <c r="AJ13" i="9" s="1"/>
  <c r="AI8" i="9"/>
  <c r="AI13" i="9" s="1"/>
  <c r="AH8" i="9"/>
  <c r="AH13" i="9" s="1"/>
  <c r="AG8" i="9"/>
  <c r="AG13" i="9" s="1"/>
  <c r="AF8" i="9"/>
  <c r="AF13" i="9" s="1"/>
  <c r="AE8" i="9"/>
  <c r="AE13" i="9" s="1"/>
  <c r="AD8" i="9"/>
  <c r="AD13" i="9" s="1"/>
  <c r="AC8" i="9"/>
  <c r="AC13" i="9" s="1"/>
  <c r="AB8" i="9"/>
  <c r="AB13" i="9" s="1"/>
  <c r="AA8" i="9"/>
  <c r="AA13" i="9" s="1"/>
  <c r="Z8" i="9"/>
  <c r="Z13" i="9" s="1"/>
  <c r="Y8" i="9"/>
  <c r="Y13" i="9" s="1"/>
  <c r="X8" i="9"/>
  <c r="X13" i="9" s="1"/>
  <c r="W8" i="9"/>
  <c r="W13" i="9" s="1"/>
  <c r="V8" i="9"/>
  <c r="V13" i="9" s="1"/>
  <c r="U8" i="9"/>
  <c r="U13" i="9" s="1"/>
  <c r="T8" i="9"/>
  <c r="T13" i="9" s="1"/>
  <c r="S8" i="9"/>
  <c r="S13" i="9" s="1"/>
  <c r="R8" i="9"/>
  <c r="R13" i="9" s="1"/>
  <c r="Q8" i="9"/>
  <c r="Q13" i="9" s="1"/>
  <c r="P8" i="9"/>
  <c r="P13" i="9" s="1"/>
  <c r="O8" i="9"/>
  <c r="O13" i="9" s="1"/>
  <c r="N8" i="9"/>
  <c r="N13" i="9" s="1"/>
  <c r="M8" i="9"/>
  <c r="M13" i="9" s="1"/>
  <c r="L8" i="9"/>
  <c r="L13" i="9" s="1"/>
  <c r="K8" i="9"/>
  <c r="K13" i="9" s="1"/>
  <c r="J8" i="9"/>
  <c r="J13" i="9" s="1"/>
  <c r="I8" i="9"/>
  <c r="I13" i="9" s="1"/>
  <c r="H8" i="9"/>
  <c r="H13" i="9" s="1"/>
  <c r="G8" i="9"/>
  <c r="G13" i="9" s="1"/>
  <c r="F8" i="9"/>
  <c r="F13" i="9" s="1"/>
  <c r="E8" i="9"/>
  <c r="E13" i="9" s="1"/>
  <c r="D8" i="9"/>
  <c r="D13" i="9" s="1"/>
  <c r="C8" i="9"/>
  <c r="C13" i="9" s="1"/>
  <c r="BY7" i="9"/>
  <c r="BY12" i="9" s="1"/>
  <c r="BX7" i="9"/>
  <c r="BX12" i="9" s="1"/>
  <c r="BW7" i="9"/>
  <c r="BW12" i="9" s="1"/>
  <c r="BV7" i="9"/>
  <c r="BV12" i="9" s="1"/>
  <c r="BU7" i="9"/>
  <c r="BU12" i="9" s="1"/>
  <c r="BT7" i="9"/>
  <c r="BT12" i="9" s="1"/>
  <c r="BS7" i="9"/>
  <c r="BS12" i="9" s="1"/>
  <c r="BR7" i="9"/>
  <c r="BR12" i="9" s="1"/>
  <c r="BQ7" i="9"/>
  <c r="BQ12" i="9" s="1"/>
  <c r="BP7" i="9"/>
  <c r="BP12" i="9" s="1"/>
  <c r="BO7" i="9"/>
  <c r="BO12" i="9" s="1"/>
  <c r="BN7" i="9"/>
  <c r="BN12" i="9" s="1"/>
  <c r="BM7" i="9"/>
  <c r="BM12" i="9" s="1"/>
  <c r="BL7" i="9"/>
  <c r="BL12" i="9" s="1"/>
  <c r="BK7" i="9"/>
  <c r="BK12" i="9" s="1"/>
  <c r="BJ7" i="9"/>
  <c r="BJ12" i="9" s="1"/>
  <c r="BI7" i="9"/>
  <c r="BI12" i="9" s="1"/>
  <c r="BH7" i="9"/>
  <c r="BH12" i="9" s="1"/>
  <c r="BG7" i="9"/>
  <c r="BG12" i="9" s="1"/>
  <c r="BF7" i="9"/>
  <c r="BF12" i="9" s="1"/>
  <c r="BE7" i="9"/>
  <c r="BE12" i="9" s="1"/>
  <c r="BD7" i="9"/>
  <c r="BD12" i="9" s="1"/>
  <c r="BC7" i="9"/>
  <c r="BC12" i="9" s="1"/>
  <c r="BB7" i="9"/>
  <c r="BB12" i="9" s="1"/>
  <c r="BA7" i="9"/>
  <c r="BA12" i="9" s="1"/>
  <c r="AZ7" i="9"/>
  <c r="AZ12" i="9" s="1"/>
  <c r="AY7" i="9"/>
  <c r="AY12" i="9" s="1"/>
  <c r="AX7" i="9"/>
  <c r="AX12" i="9" s="1"/>
  <c r="AW7" i="9"/>
  <c r="AW12" i="9" s="1"/>
  <c r="AV7" i="9"/>
  <c r="AV12" i="9" s="1"/>
  <c r="AU7" i="9"/>
  <c r="AU12" i="9" s="1"/>
  <c r="AT7" i="9"/>
  <c r="AT12" i="9" s="1"/>
  <c r="AS7" i="9"/>
  <c r="AS12" i="9" s="1"/>
  <c r="AR7" i="9"/>
  <c r="AR12" i="9" s="1"/>
  <c r="AQ7" i="9"/>
  <c r="AQ12" i="9" s="1"/>
  <c r="AP7" i="9"/>
  <c r="AP12" i="9" s="1"/>
  <c r="AO7" i="9"/>
  <c r="AO12" i="9" s="1"/>
  <c r="AN7" i="9"/>
  <c r="AN12" i="9" s="1"/>
  <c r="AM7" i="9"/>
  <c r="AM12" i="9" s="1"/>
  <c r="AL7" i="9"/>
  <c r="AL12" i="9" s="1"/>
  <c r="AK7" i="9"/>
  <c r="AK12" i="9" s="1"/>
  <c r="AJ7" i="9"/>
  <c r="AJ12" i="9" s="1"/>
  <c r="AI7" i="9"/>
  <c r="AI12" i="9" s="1"/>
  <c r="AH7" i="9"/>
  <c r="AH12" i="9" s="1"/>
  <c r="AG7" i="9"/>
  <c r="AG12" i="9" s="1"/>
  <c r="AF7" i="9"/>
  <c r="AF12" i="9" s="1"/>
  <c r="AE7" i="9"/>
  <c r="AE12" i="9" s="1"/>
  <c r="AD7" i="9"/>
  <c r="AD12" i="9" s="1"/>
  <c r="AC7" i="9"/>
  <c r="AC12" i="9" s="1"/>
  <c r="AB7" i="9"/>
  <c r="AB12" i="9" s="1"/>
  <c r="AA7" i="9"/>
  <c r="AA12" i="9" s="1"/>
  <c r="Z7" i="9"/>
  <c r="Z12" i="9" s="1"/>
  <c r="Y7" i="9"/>
  <c r="Y12" i="9" s="1"/>
  <c r="X7" i="9"/>
  <c r="X12" i="9" s="1"/>
  <c r="W7" i="9"/>
  <c r="W12" i="9" s="1"/>
  <c r="V7" i="9"/>
  <c r="V12" i="9" s="1"/>
  <c r="U7" i="9"/>
  <c r="U12" i="9" s="1"/>
  <c r="T7" i="9"/>
  <c r="T12" i="9" s="1"/>
  <c r="S7" i="9"/>
  <c r="S12" i="9" s="1"/>
  <c r="R7" i="9"/>
  <c r="R12" i="9" s="1"/>
  <c r="Q7" i="9"/>
  <c r="Q12" i="9" s="1"/>
  <c r="P7" i="9"/>
  <c r="P12" i="9" s="1"/>
  <c r="O7" i="9"/>
  <c r="O12" i="9" s="1"/>
  <c r="N7" i="9"/>
  <c r="N12" i="9" s="1"/>
  <c r="M7" i="9"/>
  <c r="M12" i="9" s="1"/>
  <c r="L7" i="9"/>
  <c r="L12" i="9" s="1"/>
  <c r="K7" i="9"/>
  <c r="K12" i="9" s="1"/>
  <c r="J7" i="9"/>
  <c r="J12" i="9" s="1"/>
  <c r="I7" i="9"/>
  <c r="I12" i="9" s="1"/>
  <c r="H7" i="9"/>
  <c r="H12" i="9" s="1"/>
  <c r="G7" i="9"/>
  <c r="G12" i="9" s="1"/>
  <c r="F7" i="9"/>
  <c r="F12" i="9" s="1"/>
  <c r="E7" i="9"/>
  <c r="E12" i="9" s="1"/>
  <c r="D7" i="9"/>
  <c r="D12" i="9" s="1"/>
  <c r="C7" i="9"/>
  <c r="C12" i="9" s="1"/>
  <c r="I5" i="9"/>
  <c r="F5" i="9"/>
  <c r="B5" i="9"/>
  <c r="K4" i="9"/>
  <c r="J4" i="9"/>
  <c r="I4" i="9"/>
  <c r="H4" i="9"/>
  <c r="F4" i="9"/>
  <c r="B4" i="9"/>
  <c r="K3" i="9"/>
  <c r="J3" i="9"/>
  <c r="I3" i="9"/>
  <c r="H3" i="9"/>
  <c r="F3" i="9"/>
  <c r="B3" i="9"/>
  <c r="K2" i="9"/>
  <c r="J2" i="9"/>
  <c r="I2" i="9"/>
  <c r="H2" i="9"/>
  <c r="F2" i="9"/>
  <c r="B2" i="9"/>
  <c r="K1" i="9"/>
  <c r="J1" i="9"/>
  <c r="I1" i="9"/>
  <c r="H1" i="9"/>
  <c r="F1" i="9"/>
  <c r="B1" i="9"/>
  <c r="BZ58" i="8"/>
  <c r="B58" i="8"/>
  <c r="A58" i="8"/>
  <c r="BZ57" i="8"/>
  <c r="B57" i="8"/>
  <c r="A57" i="8"/>
  <c r="BZ56" i="8"/>
  <c r="B56" i="8"/>
  <c r="A56" i="8"/>
  <c r="BZ55" i="8"/>
  <c r="B55" i="8"/>
  <c r="A55" i="8"/>
  <c r="BZ54" i="8"/>
  <c r="B54" i="8"/>
  <c r="A54" i="8"/>
  <c r="BZ53" i="8"/>
  <c r="B53" i="8"/>
  <c r="A53" i="8"/>
  <c r="BZ52" i="8"/>
  <c r="B52" i="8"/>
  <c r="A52" i="8"/>
  <c r="BZ51" i="8"/>
  <c r="B51" i="8"/>
  <c r="A51" i="8"/>
  <c r="BZ50" i="8"/>
  <c r="B50" i="8"/>
  <c r="A50" i="8"/>
  <c r="BZ49" i="8"/>
  <c r="B49" i="8"/>
  <c r="A49" i="8"/>
  <c r="BZ48" i="8"/>
  <c r="B48" i="8"/>
  <c r="A48" i="8"/>
  <c r="BZ47" i="8"/>
  <c r="B47" i="8"/>
  <c r="A47" i="8"/>
  <c r="BZ46" i="8"/>
  <c r="B46" i="8"/>
  <c r="BZ45" i="8"/>
  <c r="B45" i="8"/>
  <c r="BZ44" i="8"/>
  <c r="B44" i="8"/>
  <c r="BZ43" i="8"/>
  <c r="B43" i="8"/>
  <c r="BZ42" i="8"/>
  <c r="B42" i="8"/>
  <c r="BZ41" i="8"/>
  <c r="B41" i="8"/>
  <c r="BZ40" i="8"/>
  <c r="B40" i="8"/>
  <c r="A40" i="8"/>
  <c r="A45" i="8" s="1"/>
  <c r="BZ39" i="8"/>
  <c r="B39" i="8"/>
  <c r="A39" i="8"/>
  <c r="A44" i="8" s="1"/>
  <c r="BZ38" i="8"/>
  <c r="B38" i="8"/>
  <c r="A38" i="8"/>
  <c r="A43" i="8" s="1"/>
  <c r="BZ37" i="8"/>
  <c r="B37" i="8"/>
  <c r="A37" i="8"/>
  <c r="A42" i="8" s="1"/>
  <c r="BZ36" i="8"/>
  <c r="B36" i="8"/>
  <c r="BZ35" i="8"/>
  <c r="B35" i="8"/>
  <c r="A35" i="8"/>
  <c r="BZ34" i="8"/>
  <c r="B34" i="8"/>
  <c r="A34" i="8"/>
  <c r="BZ33" i="8"/>
  <c r="B33" i="8"/>
  <c r="A33" i="8"/>
  <c r="BZ32" i="8"/>
  <c r="B32" i="8"/>
  <c r="A32" i="8"/>
  <c r="B31" i="8"/>
  <c r="B30" i="8"/>
  <c r="B29" i="8"/>
  <c r="B28" i="8"/>
  <c r="B27" i="8"/>
  <c r="B26" i="8"/>
  <c r="B25" i="8"/>
  <c r="B24" i="8"/>
  <c r="B23" i="8"/>
  <c r="B22" i="8"/>
  <c r="B19" i="8"/>
  <c r="B18" i="8"/>
  <c r="BY12" i="8"/>
  <c r="BX12" i="8"/>
  <c r="BW12" i="8"/>
  <c r="BV12" i="8"/>
  <c r="BU12" i="8"/>
  <c r="BT12" i="8"/>
  <c r="BS12" i="8"/>
  <c r="BR12" i="8"/>
  <c r="BQ12" i="8"/>
  <c r="BP12" i="8"/>
  <c r="BO12" i="8"/>
  <c r="BN12" i="8"/>
  <c r="BM12" i="8"/>
  <c r="BL12" i="8"/>
  <c r="BK12" i="8"/>
  <c r="BJ12" i="8"/>
  <c r="BI12" i="8"/>
  <c r="BH12" i="8"/>
  <c r="BG12" i="8"/>
  <c r="BF12" i="8"/>
  <c r="BE12" i="8"/>
  <c r="BD12" i="8"/>
  <c r="BC12" i="8"/>
  <c r="BB12" i="8"/>
  <c r="BA12" i="8"/>
  <c r="AZ12" i="8"/>
  <c r="AY12" i="8"/>
  <c r="AX12" i="8"/>
  <c r="AW12" i="8"/>
  <c r="AV12" i="8"/>
  <c r="AU12" i="8"/>
  <c r="AT12" i="8"/>
  <c r="AS12" i="8"/>
  <c r="AR12" i="8"/>
  <c r="AQ12" i="8"/>
  <c r="AP12" i="8"/>
  <c r="AO12" i="8"/>
  <c r="AN12" i="8"/>
  <c r="AM12" i="8"/>
  <c r="AL12" i="8"/>
  <c r="AK12" i="8"/>
  <c r="AJ12" i="8"/>
  <c r="AI12" i="8"/>
  <c r="AH12" i="8"/>
  <c r="AG12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Y11" i="8"/>
  <c r="BY15" i="8" s="1"/>
  <c r="BX11" i="8"/>
  <c r="BX15" i="8" s="1"/>
  <c r="BW11" i="8"/>
  <c r="BW15" i="8" s="1"/>
  <c r="BV11" i="8"/>
  <c r="BV15" i="8" s="1"/>
  <c r="BU11" i="8"/>
  <c r="BU15" i="8" s="1"/>
  <c r="BT11" i="8"/>
  <c r="BT15" i="8" s="1"/>
  <c r="BS11" i="8"/>
  <c r="BS15" i="8" s="1"/>
  <c r="BR11" i="8"/>
  <c r="BR15" i="8" s="1"/>
  <c r="BQ11" i="8"/>
  <c r="BQ15" i="8" s="1"/>
  <c r="BP11" i="8"/>
  <c r="BP15" i="8" s="1"/>
  <c r="BO11" i="8"/>
  <c r="BO15" i="8" s="1"/>
  <c r="BN11" i="8"/>
  <c r="BN15" i="8" s="1"/>
  <c r="BM11" i="8"/>
  <c r="BM15" i="8" s="1"/>
  <c r="BL11" i="8"/>
  <c r="BL15" i="8" s="1"/>
  <c r="BK11" i="8"/>
  <c r="BK15" i="8" s="1"/>
  <c r="BJ11" i="8"/>
  <c r="BJ15" i="8" s="1"/>
  <c r="BI11" i="8"/>
  <c r="BI15" i="8" s="1"/>
  <c r="BH11" i="8"/>
  <c r="BH15" i="8" s="1"/>
  <c r="BG11" i="8"/>
  <c r="BG15" i="8" s="1"/>
  <c r="BF11" i="8"/>
  <c r="BF15" i="8" s="1"/>
  <c r="BE11" i="8"/>
  <c r="BE15" i="8" s="1"/>
  <c r="BD11" i="8"/>
  <c r="BD15" i="8" s="1"/>
  <c r="BC11" i="8"/>
  <c r="BC15" i="8" s="1"/>
  <c r="BB11" i="8"/>
  <c r="BB15" i="8" s="1"/>
  <c r="BA11" i="8"/>
  <c r="BA15" i="8" s="1"/>
  <c r="AZ11" i="8"/>
  <c r="AZ15" i="8" s="1"/>
  <c r="AY11" i="8"/>
  <c r="AY15" i="8" s="1"/>
  <c r="AX11" i="8"/>
  <c r="AX15" i="8" s="1"/>
  <c r="AW11" i="8"/>
  <c r="AW15" i="8" s="1"/>
  <c r="AV11" i="8"/>
  <c r="AV15" i="8" s="1"/>
  <c r="AU11" i="8"/>
  <c r="AU15" i="8" s="1"/>
  <c r="AT11" i="8"/>
  <c r="AT15" i="8" s="1"/>
  <c r="AS11" i="8"/>
  <c r="AS15" i="8" s="1"/>
  <c r="AR11" i="8"/>
  <c r="AR15" i="8" s="1"/>
  <c r="AQ11" i="8"/>
  <c r="AQ15" i="8" s="1"/>
  <c r="AP11" i="8"/>
  <c r="AP15" i="8" s="1"/>
  <c r="AO11" i="8"/>
  <c r="AO15" i="8" s="1"/>
  <c r="AN11" i="8"/>
  <c r="AN15" i="8" s="1"/>
  <c r="AM11" i="8"/>
  <c r="AM15" i="8" s="1"/>
  <c r="AL11" i="8"/>
  <c r="AL15" i="8" s="1"/>
  <c r="AK11" i="8"/>
  <c r="AK15" i="8" s="1"/>
  <c r="AJ11" i="8"/>
  <c r="AJ15" i="8" s="1"/>
  <c r="AI11" i="8"/>
  <c r="AI15" i="8" s="1"/>
  <c r="AH11" i="8"/>
  <c r="AH15" i="8" s="1"/>
  <c r="AG11" i="8"/>
  <c r="AG15" i="8" s="1"/>
  <c r="AF11" i="8"/>
  <c r="AF15" i="8" s="1"/>
  <c r="AE11" i="8"/>
  <c r="AE15" i="8" s="1"/>
  <c r="AD11" i="8"/>
  <c r="AD15" i="8" s="1"/>
  <c r="AC11" i="8"/>
  <c r="AC15" i="8" s="1"/>
  <c r="AB11" i="8"/>
  <c r="AB15" i="8" s="1"/>
  <c r="AA11" i="8"/>
  <c r="AA15" i="8" s="1"/>
  <c r="Z11" i="8"/>
  <c r="Z15" i="8" s="1"/>
  <c r="Y11" i="8"/>
  <c r="Y15" i="8" s="1"/>
  <c r="X11" i="8"/>
  <c r="X15" i="8" s="1"/>
  <c r="W11" i="8"/>
  <c r="W15" i="8" s="1"/>
  <c r="V11" i="8"/>
  <c r="V15" i="8" s="1"/>
  <c r="U11" i="8"/>
  <c r="U15" i="8" s="1"/>
  <c r="T11" i="8"/>
  <c r="T15" i="8" s="1"/>
  <c r="S11" i="8"/>
  <c r="S15" i="8" s="1"/>
  <c r="R11" i="8"/>
  <c r="R15" i="8" s="1"/>
  <c r="Q11" i="8"/>
  <c r="Q15" i="8" s="1"/>
  <c r="P11" i="8"/>
  <c r="P15" i="8" s="1"/>
  <c r="O11" i="8"/>
  <c r="O15" i="8" s="1"/>
  <c r="N11" i="8"/>
  <c r="N15" i="8" s="1"/>
  <c r="M11" i="8"/>
  <c r="M15" i="8" s="1"/>
  <c r="L11" i="8"/>
  <c r="L15" i="8" s="1"/>
  <c r="K11" i="8"/>
  <c r="K15" i="8" s="1"/>
  <c r="J11" i="8"/>
  <c r="J15" i="8" s="1"/>
  <c r="I11" i="8"/>
  <c r="I15" i="8" s="1"/>
  <c r="H11" i="8"/>
  <c r="H15" i="8" s="1"/>
  <c r="G11" i="8"/>
  <c r="G15" i="8" s="1"/>
  <c r="F11" i="8"/>
  <c r="F15" i="8" s="1"/>
  <c r="E11" i="8"/>
  <c r="E15" i="8" s="1"/>
  <c r="D11" i="8"/>
  <c r="D15" i="8" s="1"/>
  <c r="C11" i="8"/>
  <c r="C15" i="8" s="1"/>
  <c r="BY10" i="8"/>
  <c r="BX10" i="8"/>
  <c r="BW10" i="8"/>
  <c r="BV10" i="8"/>
  <c r="BU10" i="8"/>
  <c r="BT10" i="8"/>
  <c r="BS10" i="8"/>
  <c r="BR10" i="8"/>
  <c r="BQ10" i="8"/>
  <c r="BP10" i="8"/>
  <c r="BO10" i="8"/>
  <c r="BN10" i="8"/>
  <c r="BM10" i="8"/>
  <c r="BL10" i="8"/>
  <c r="BK10" i="8"/>
  <c r="BJ10" i="8"/>
  <c r="BI10" i="8"/>
  <c r="BH10" i="8"/>
  <c r="BG10" i="8"/>
  <c r="BF10" i="8"/>
  <c r="BE10" i="8"/>
  <c r="BD10" i="8"/>
  <c r="BC10" i="8"/>
  <c r="BB10" i="8"/>
  <c r="BA10" i="8"/>
  <c r="AZ10" i="8"/>
  <c r="AY10" i="8"/>
  <c r="AX10" i="8"/>
  <c r="AW10" i="8"/>
  <c r="AV10" i="8"/>
  <c r="AU10" i="8"/>
  <c r="AT10" i="8"/>
  <c r="AS10" i="8"/>
  <c r="AR10" i="8"/>
  <c r="AQ10" i="8"/>
  <c r="AP10" i="8"/>
  <c r="AO10" i="8"/>
  <c r="AN10" i="8"/>
  <c r="AM10" i="8"/>
  <c r="AL10" i="8"/>
  <c r="AK10" i="8"/>
  <c r="AJ10" i="8"/>
  <c r="AI10" i="8"/>
  <c r="AH10" i="8"/>
  <c r="AG10" i="8"/>
  <c r="AF10" i="8"/>
  <c r="AE10" i="8"/>
  <c r="AD10" i="8"/>
  <c r="AC10" i="8"/>
  <c r="AB10" i="8"/>
  <c r="AA10" i="8"/>
  <c r="Z10" i="8"/>
  <c r="Y10" i="8"/>
  <c r="X10" i="8"/>
  <c r="W10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BY9" i="8"/>
  <c r="BY14" i="8" s="1"/>
  <c r="BX9" i="8"/>
  <c r="BX14" i="8" s="1"/>
  <c r="BW9" i="8"/>
  <c r="BW14" i="8" s="1"/>
  <c r="BV9" i="8"/>
  <c r="BV14" i="8" s="1"/>
  <c r="BU9" i="8"/>
  <c r="BU14" i="8" s="1"/>
  <c r="BT9" i="8"/>
  <c r="BT14" i="8" s="1"/>
  <c r="BS9" i="8"/>
  <c r="BS14" i="8" s="1"/>
  <c r="BR9" i="8"/>
  <c r="BR14" i="8" s="1"/>
  <c r="BQ9" i="8"/>
  <c r="BQ14" i="8" s="1"/>
  <c r="BP9" i="8"/>
  <c r="BP14" i="8" s="1"/>
  <c r="BO9" i="8"/>
  <c r="BO14" i="8" s="1"/>
  <c r="BN9" i="8"/>
  <c r="BN14" i="8" s="1"/>
  <c r="BM9" i="8"/>
  <c r="BM14" i="8" s="1"/>
  <c r="BL9" i="8"/>
  <c r="BL14" i="8" s="1"/>
  <c r="BK9" i="8"/>
  <c r="BK14" i="8" s="1"/>
  <c r="BJ9" i="8"/>
  <c r="BJ14" i="8" s="1"/>
  <c r="BI9" i="8"/>
  <c r="BI14" i="8" s="1"/>
  <c r="BH9" i="8"/>
  <c r="BH14" i="8" s="1"/>
  <c r="BG9" i="8"/>
  <c r="BG14" i="8" s="1"/>
  <c r="BF9" i="8"/>
  <c r="BF14" i="8" s="1"/>
  <c r="BE9" i="8"/>
  <c r="BE14" i="8" s="1"/>
  <c r="BD9" i="8"/>
  <c r="BD14" i="8" s="1"/>
  <c r="BC9" i="8"/>
  <c r="BC14" i="8" s="1"/>
  <c r="BB9" i="8"/>
  <c r="BB14" i="8" s="1"/>
  <c r="BA9" i="8"/>
  <c r="BA14" i="8" s="1"/>
  <c r="AZ9" i="8"/>
  <c r="AZ14" i="8" s="1"/>
  <c r="AY9" i="8"/>
  <c r="AY14" i="8" s="1"/>
  <c r="AX9" i="8"/>
  <c r="AX14" i="8" s="1"/>
  <c r="AW9" i="8"/>
  <c r="AW14" i="8" s="1"/>
  <c r="AV9" i="8"/>
  <c r="AV14" i="8" s="1"/>
  <c r="AU9" i="8"/>
  <c r="AU14" i="8" s="1"/>
  <c r="AT9" i="8"/>
  <c r="AT14" i="8" s="1"/>
  <c r="AS9" i="8"/>
  <c r="AS14" i="8" s="1"/>
  <c r="AR9" i="8"/>
  <c r="AR14" i="8" s="1"/>
  <c r="AQ9" i="8"/>
  <c r="AQ14" i="8" s="1"/>
  <c r="AP9" i="8"/>
  <c r="AP14" i="8" s="1"/>
  <c r="AO9" i="8"/>
  <c r="AO14" i="8" s="1"/>
  <c r="AN9" i="8"/>
  <c r="AN14" i="8" s="1"/>
  <c r="AM9" i="8"/>
  <c r="AM14" i="8" s="1"/>
  <c r="AL9" i="8"/>
  <c r="AL14" i="8" s="1"/>
  <c r="AK9" i="8"/>
  <c r="AK14" i="8" s="1"/>
  <c r="AJ9" i="8"/>
  <c r="AJ14" i="8" s="1"/>
  <c r="AI9" i="8"/>
  <c r="AI14" i="8" s="1"/>
  <c r="AH9" i="8"/>
  <c r="AH14" i="8" s="1"/>
  <c r="AG9" i="8"/>
  <c r="AG14" i="8" s="1"/>
  <c r="AF9" i="8"/>
  <c r="AF14" i="8" s="1"/>
  <c r="AE9" i="8"/>
  <c r="AE14" i="8" s="1"/>
  <c r="AD9" i="8"/>
  <c r="AD14" i="8" s="1"/>
  <c r="AC9" i="8"/>
  <c r="AC14" i="8" s="1"/>
  <c r="AB9" i="8"/>
  <c r="AB14" i="8" s="1"/>
  <c r="AA9" i="8"/>
  <c r="AA14" i="8" s="1"/>
  <c r="Z9" i="8"/>
  <c r="Z14" i="8" s="1"/>
  <c r="Y9" i="8"/>
  <c r="Y14" i="8" s="1"/>
  <c r="X9" i="8"/>
  <c r="X14" i="8" s="1"/>
  <c r="W9" i="8"/>
  <c r="W14" i="8" s="1"/>
  <c r="V9" i="8"/>
  <c r="V14" i="8" s="1"/>
  <c r="U9" i="8"/>
  <c r="U14" i="8" s="1"/>
  <c r="T9" i="8"/>
  <c r="T14" i="8" s="1"/>
  <c r="S9" i="8"/>
  <c r="S14" i="8" s="1"/>
  <c r="R9" i="8"/>
  <c r="R14" i="8" s="1"/>
  <c r="Q9" i="8"/>
  <c r="Q14" i="8" s="1"/>
  <c r="P9" i="8"/>
  <c r="P14" i="8" s="1"/>
  <c r="O9" i="8"/>
  <c r="O14" i="8" s="1"/>
  <c r="N9" i="8"/>
  <c r="N14" i="8" s="1"/>
  <c r="M9" i="8"/>
  <c r="M14" i="8" s="1"/>
  <c r="L9" i="8"/>
  <c r="L14" i="8" s="1"/>
  <c r="K9" i="8"/>
  <c r="K14" i="8" s="1"/>
  <c r="J9" i="8"/>
  <c r="J14" i="8" s="1"/>
  <c r="I9" i="8"/>
  <c r="I14" i="8" s="1"/>
  <c r="H9" i="8"/>
  <c r="H14" i="8" s="1"/>
  <c r="G9" i="8"/>
  <c r="G14" i="8" s="1"/>
  <c r="F9" i="8"/>
  <c r="F14" i="8" s="1"/>
  <c r="E9" i="8"/>
  <c r="E14" i="8" s="1"/>
  <c r="D9" i="8"/>
  <c r="D14" i="8" s="1"/>
  <c r="C9" i="8"/>
  <c r="C14" i="8" s="1"/>
  <c r="BY8" i="8"/>
  <c r="BY13" i="8" s="1"/>
  <c r="BX8" i="8"/>
  <c r="BX13" i="8" s="1"/>
  <c r="BW8" i="8"/>
  <c r="BW13" i="8" s="1"/>
  <c r="BV8" i="8"/>
  <c r="BV13" i="8" s="1"/>
  <c r="BU8" i="8"/>
  <c r="BU13" i="8" s="1"/>
  <c r="BT8" i="8"/>
  <c r="BT13" i="8" s="1"/>
  <c r="BS8" i="8"/>
  <c r="BS13" i="8" s="1"/>
  <c r="BR8" i="8"/>
  <c r="BR13" i="8" s="1"/>
  <c r="BQ8" i="8"/>
  <c r="BQ13" i="8" s="1"/>
  <c r="BP8" i="8"/>
  <c r="BP13" i="8" s="1"/>
  <c r="BO8" i="8"/>
  <c r="BO13" i="8" s="1"/>
  <c r="BN8" i="8"/>
  <c r="BN13" i="8" s="1"/>
  <c r="BM8" i="8"/>
  <c r="BM13" i="8" s="1"/>
  <c r="BL8" i="8"/>
  <c r="BL13" i="8" s="1"/>
  <c r="BK8" i="8"/>
  <c r="BK13" i="8" s="1"/>
  <c r="BJ8" i="8"/>
  <c r="BJ13" i="8" s="1"/>
  <c r="BI8" i="8"/>
  <c r="BI13" i="8" s="1"/>
  <c r="BH8" i="8"/>
  <c r="BH13" i="8" s="1"/>
  <c r="BG8" i="8"/>
  <c r="BG13" i="8" s="1"/>
  <c r="BF8" i="8"/>
  <c r="BF13" i="8" s="1"/>
  <c r="BE8" i="8"/>
  <c r="BE13" i="8" s="1"/>
  <c r="BD8" i="8"/>
  <c r="BD13" i="8" s="1"/>
  <c r="BC8" i="8"/>
  <c r="BC13" i="8" s="1"/>
  <c r="BB8" i="8"/>
  <c r="BB13" i="8" s="1"/>
  <c r="BA8" i="8"/>
  <c r="BA13" i="8" s="1"/>
  <c r="AZ8" i="8"/>
  <c r="AZ13" i="8" s="1"/>
  <c r="AY8" i="8"/>
  <c r="AY13" i="8" s="1"/>
  <c r="AX8" i="8"/>
  <c r="AX13" i="8" s="1"/>
  <c r="AW8" i="8"/>
  <c r="AW13" i="8" s="1"/>
  <c r="AV8" i="8"/>
  <c r="AV13" i="8" s="1"/>
  <c r="AU8" i="8"/>
  <c r="AU13" i="8" s="1"/>
  <c r="AT8" i="8"/>
  <c r="AT13" i="8" s="1"/>
  <c r="AS8" i="8"/>
  <c r="AS13" i="8" s="1"/>
  <c r="AR8" i="8"/>
  <c r="AR13" i="8" s="1"/>
  <c r="AQ8" i="8"/>
  <c r="AQ13" i="8" s="1"/>
  <c r="AP8" i="8"/>
  <c r="AP13" i="8" s="1"/>
  <c r="AO8" i="8"/>
  <c r="AO13" i="8" s="1"/>
  <c r="AN8" i="8"/>
  <c r="AN13" i="8" s="1"/>
  <c r="AM8" i="8"/>
  <c r="AM13" i="8" s="1"/>
  <c r="AL8" i="8"/>
  <c r="AL13" i="8" s="1"/>
  <c r="AK8" i="8"/>
  <c r="AK13" i="8" s="1"/>
  <c r="AJ8" i="8"/>
  <c r="AJ13" i="8" s="1"/>
  <c r="AI8" i="8"/>
  <c r="AI13" i="8" s="1"/>
  <c r="AH8" i="8"/>
  <c r="AH13" i="8" s="1"/>
  <c r="AG8" i="8"/>
  <c r="AG13" i="8" s="1"/>
  <c r="AF8" i="8"/>
  <c r="AF13" i="8" s="1"/>
  <c r="AE8" i="8"/>
  <c r="AE13" i="8" s="1"/>
  <c r="AD8" i="8"/>
  <c r="AD13" i="8" s="1"/>
  <c r="AC8" i="8"/>
  <c r="AC13" i="8" s="1"/>
  <c r="AB8" i="8"/>
  <c r="AB13" i="8" s="1"/>
  <c r="AA8" i="8"/>
  <c r="AA13" i="8" s="1"/>
  <c r="Z8" i="8"/>
  <c r="Z13" i="8" s="1"/>
  <c r="Y8" i="8"/>
  <c r="Y13" i="8" s="1"/>
  <c r="X8" i="8"/>
  <c r="X13" i="8" s="1"/>
  <c r="W8" i="8"/>
  <c r="W13" i="8" s="1"/>
  <c r="V8" i="8"/>
  <c r="V13" i="8" s="1"/>
  <c r="U8" i="8"/>
  <c r="U13" i="8" s="1"/>
  <c r="T8" i="8"/>
  <c r="T13" i="8" s="1"/>
  <c r="S8" i="8"/>
  <c r="S13" i="8" s="1"/>
  <c r="R8" i="8"/>
  <c r="R13" i="8" s="1"/>
  <c r="Q8" i="8"/>
  <c r="Q13" i="8" s="1"/>
  <c r="P8" i="8"/>
  <c r="P13" i="8" s="1"/>
  <c r="O8" i="8"/>
  <c r="O13" i="8" s="1"/>
  <c r="N8" i="8"/>
  <c r="N13" i="8" s="1"/>
  <c r="M8" i="8"/>
  <c r="M13" i="8" s="1"/>
  <c r="L8" i="8"/>
  <c r="L13" i="8" s="1"/>
  <c r="K8" i="8"/>
  <c r="K13" i="8" s="1"/>
  <c r="J8" i="8"/>
  <c r="J13" i="8" s="1"/>
  <c r="I8" i="8"/>
  <c r="I13" i="8" s="1"/>
  <c r="H8" i="8"/>
  <c r="H13" i="8" s="1"/>
  <c r="G8" i="8"/>
  <c r="G13" i="8" s="1"/>
  <c r="F8" i="8"/>
  <c r="F13" i="8" s="1"/>
  <c r="E8" i="8"/>
  <c r="E13" i="8" s="1"/>
  <c r="D8" i="8"/>
  <c r="D13" i="8" s="1"/>
  <c r="C8" i="8"/>
  <c r="C13" i="8" s="1"/>
  <c r="I6" i="8"/>
  <c r="F6" i="8"/>
  <c r="B6" i="8"/>
  <c r="K5" i="8"/>
  <c r="J5" i="8"/>
  <c r="I5" i="8"/>
  <c r="H5" i="8"/>
  <c r="F5" i="8"/>
  <c r="B5" i="8"/>
  <c r="K4" i="8"/>
  <c r="J4" i="8"/>
  <c r="I4" i="8"/>
  <c r="H4" i="8"/>
  <c r="F4" i="8"/>
  <c r="B4" i="8"/>
  <c r="K3" i="8"/>
  <c r="J3" i="8"/>
  <c r="I3" i="8"/>
  <c r="H3" i="8"/>
  <c r="F3" i="8"/>
  <c r="B3" i="8"/>
  <c r="K2" i="8"/>
  <c r="J2" i="8"/>
  <c r="I2" i="8"/>
  <c r="H2" i="8"/>
  <c r="F2" i="8"/>
  <c r="B2" i="8"/>
  <c r="BZ58" i="7"/>
  <c r="B58" i="7"/>
  <c r="A58" i="7"/>
  <c r="BZ57" i="7"/>
  <c r="B57" i="7"/>
  <c r="A57" i="7"/>
  <c r="BZ56" i="7"/>
  <c r="B56" i="7"/>
  <c r="A56" i="7"/>
  <c r="BZ55" i="7"/>
  <c r="B55" i="7"/>
  <c r="A55" i="7"/>
  <c r="BZ54" i="7"/>
  <c r="B54" i="7"/>
  <c r="A54" i="7"/>
  <c r="BZ53" i="7"/>
  <c r="B53" i="7"/>
  <c r="A53" i="7"/>
  <c r="BZ52" i="7"/>
  <c r="B52" i="7"/>
  <c r="A52" i="7"/>
  <c r="BZ51" i="7"/>
  <c r="B51" i="7"/>
  <c r="A51" i="7"/>
  <c r="BZ50" i="7"/>
  <c r="B50" i="7"/>
  <c r="A50" i="7"/>
  <c r="BZ49" i="7"/>
  <c r="B49" i="7"/>
  <c r="A49" i="7"/>
  <c r="BZ48" i="7"/>
  <c r="B48" i="7"/>
  <c r="A48" i="7"/>
  <c r="BZ47" i="7"/>
  <c r="B47" i="7"/>
  <c r="A47" i="7"/>
  <c r="BZ46" i="7"/>
  <c r="B46" i="7"/>
  <c r="BZ45" i="7"/>
  <c r="B45" i="7"/>
  <c r="BZ44" i="7"/>
  <c r="B44" i="7"/>
  <c r="BZ43" i="7"/>
  <c r="B43" i="7"/>
  <c r="BZ42" i="7"/>
  <c r="B42" i="7"/>
  <c r="BZ41" i="7"/>
  <c r="B41" i="7"/>
  <c r="BZ40" i="7"/>
  <c r="B40" i="7"/>
  <c r="A40" i="7"/>
  <c r="A45" i="7" s="1"/>
  <c r="BZ39" i="7"/>
  <c r="B39" i="7"/>
  <c r="A39" i="7"/>
  <c r="A44" i="7" s="1"/>
  <c r="BZ38" i="7"/>
  <c r="B38" i="7"/>
  <c r="A38" i="7"/>
  <c r="A43" i="7" s="1"/>
  <c r="BZ37" i="7"/>
  <c r="B37" i="7"/>
  <c r="A37" i="7"/>
  <c r="A42" i="7" s="1"/>
  <c r="BZ36" i="7"/>
  <c r="B36" i="7"/>
  <c r="BZ35" i="7"/>
  <c r="B35" i="7"/>
  <c r="A35" i="7"/>
  <c r="BZ34" i="7"/>
  <c r="B34" i="7"/>
  <c r="A34" i="7"/>
  <c r="BZ33" i="7"/>
  <c r="B33" i="7"/>
  <c r="A33" i="7"/>
  <c r="BZ32" i="7"/>
  <c r="B32" i="7"/>
  <c r="A32" i="7"/>
  <c r="B31" i="7"/>
  <c r="B30" i="7"/>
  <c r="B29" i="7"/>
  <c r="B28" i="7"/>
  <c r="B27" i="7"/>
  <c r="B26" i="7"/>
  <c r="B25" i="7"/>
  <c r="B24" i="7"/>
  <c r="B23" i="7"/>
  <c r="B22" i="7"/>
  <c r="B19" i="7"/>
  <c r="B18" i="7"/>
  <c r="BY12" i="7"/>
  <c r="BX12" i="7"/>
  <c r="BW12" i="7"/>
  <c r="BV12" i="7"/>
  <c r="BU12" i="7"/>
  <c r="BT12" i="7"/>
  <c r="BS12" i="7"/>
  <c r="BR12" i="7"/>
  <c r="BQ12" i="7"/>
  <c r="BP12" i="7"/>
  <c r="BO12" i="7"/>
  <c r="BN12" i="7"/>
  <c r="BM12" i="7"/>
  <c r="BL12" i="7"/>
  <c r="BK12" i="7"/>
  <c r="BJ12" i="7"/>
  <c r="BI12" i="7"/>
  <c r="BH12" i="7"/>
  <c r="BG12" i="7"/>
  <c r="BF12" i="7"/>
  <c r="BE12" i="7"/>
  <c r="BD12" i="7"/>
  <c r="BC12" i="7"/>
  <c r="BB12" i="7"/>
  <c r="BA12" i="7"/>
  <c r="AZ12" i="7"/>
  <c r="AY12" i="7"/>
  <c r="AX12" i="7"/>
  <c r="AW12" i="7"/>
  <c r="AV12" i="7"/>
  <c r="AU12" i="7"/>
  <c r="AT12" i="7"/>
  <c r="AS12" i="7"/>
  <c r="AR12" i="7"/>
  <c r="AQ12" i="7"/>
  <c r="AP12" i="7"/>
  <c r="AO12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Y11" i="7"/>
  <c r="BY15" i="7" s="1"/>
  <c r="BX11" i="7"/>
  <c r="BX15" i="7" s="1"/>
  <c r="BW11" i="7"/>
  <c r="BW15" i="7" s="1"/>
  <c r="BV11" i="7"/>
  <c r="BV15" i="7" s="1"/>
  <c r="BU11" i="7"/>
  <c r="BU15" i="7" s="1"/>
  <c r="BT11" i="7"/>
  <c r="BT15" i="7" s="1"/>
  <c r="BS11" i="7"/>
  <c r="BS15" i="7" s="1"/>
  <c r="BR11" i="7"/>
  <c r="BR15" i="7" s="1"/>
  <c r="BQ11" i="7"/>
  <c r="BQ15" i="7" s="1"/>
  <c r="BP11" i="7"/>
  <c r="BP15" i="7" s="1"/>
  <c r="BO11" i="7"/>
  <c r="BO15" i="7" s="1"/>
  <c r="BN11" i="7"/>
  <c r="BN15" i="7" s="1"/>
  <c r="BM11" i="7"/>
  <c r="BM15" i="7" s="1"/>
  <c r="BL11" i="7"/>
  <c r="BL15" i="7" s="1"/>
  <c r="BK11" i="7"/>
  <c r="BK15" i="7" s="1"/>
  <c r="BJ11" i="7"/>
  <c r="BJ15" i="7" s="1"/>
  <c r="BI11" i="7"/>
  <c r="BI15" i="7" s="1"/>
  <c r="BH11" i="7"/>
  <c r="BH15" i="7" s="1"/>
  <c r="BG11" i="7"/>
  <c r="BG15" i="7" s="1"/>
  <c r="BF11" i="7"/>
  <c r="BF15" i="7" s="1"/>
  <c r="BE11" i="7"/>
  <c r="BE15" i="7" s="1"/>
  <c r="BD11" i="7"/>
  <c r="BD15" i="7" s="1"/>
  <c r="BC11" i="7"/>
  <c r="BC15" i="7" s="1"/>
  <c r="BB11" i="7"/>
  <c r="BB15" i="7" s="1"/>
  <c r="BA11" i="7"/>
  <c r="BA15" i="7" s="1"/>
  <c r="AZ11" i="7"/>
  <c r="AZ15" i="7" s="1"/>
  <c r="AY11" i="7"/>
  <c r="AY15" i="7" s="1"/>
  <c r="AX11" i="7"/>
  <c r="AX15" i="7" s="1"/>
  <c r="AW11" i="7"/>
  <c r="AW15" i="7" s="1"/>
  <c r="AV11" i="7"/>
  <c r="AV15" i="7" s="1"/>
  <c r="AU11" i="7"/>
  <c r="AU15" i="7" s="1"/>
  <c r="AT11" i="7"/>
  <c r="AT15" i="7" s="1"/>
  <c r="AS11" i="7"/>
  <c r="AS15" i="7" s="1"/>
  <c r="AR11" i="7"/>
  <c r="AR15" i="7" s="1"/>
  <c r="AQ11" i="7"/>
  <c r="AQ15" i="7" s="1"/>
  <c r="AP11" i="7"/>
  <c r="AP15" i="7" s="1"/>
  <c r="AO11" i="7"/>
  <c r="AO15" i="7" s="1"/>
  <c r="AN11" i="7"/>
  <c r="AN15" i="7" s="1"/>
  <c r="AM11" i="7"/>
  <c r="AM15" i="7" s="1"/>
  <c r="AL11" i="7"/>
  <c r="AL15" i="7" s="1"/>
  <c r="AK11" i="7"/>
  <c r="AK15" i="7" s="1"/>
  <c r="AJ11" i="7"/>
  <c r="AJ15" i="7" s="1"/>
  <c r="AI11" i="7"/>
  <c r="AI15" i="7" s="1"/>
  <c r="AH11" i="7"/>
  <c r="AH15" i="7" s="1"/>
  <c r="AG11" i="7"/>
  <c r="AG15" i="7" s="1"/>
  <c r="AF11" i="7"/>
  <c r="AF15" i="7" s="1"/>
  <c r="AE11" i="7"/>
  <c r="AE15" i="7" s="1"/>
  <c r="AD11" i="7"/>
  <c r="AD15" i="7" s="1"/>
  <c r="AC11" i="7"/>
  <c r="AC15" i="7" s="1"/>
  <c r="AB11" i="7"/>
  <c r="AB15" i="7" s="1"/>
  <c r="AA11" i="7"/>
  <c r="AA15" i="7" s="1"/>
  <c r="Z11" i="7"/>
  <c r="Z15" i="7" s="1"/>
  <c r="Y11" i="7"/>
  <c r="Y15" i="7" s="1"/>
  <c r="X11" i="7"/>
  <c r="X15" i="7" s="1"/>
  <c r="W11" i="7"/>
  <c r="W15" i="7" s="1"/>
  <c r="V11" i="7"/>
  <c r="V15" i="7" s="1"/>
  <c r="U11" i="7"/>
  <c r="U15" i="7" s="1"/>
  <c r="T11" i="7"/>
  <c r="T15" i="7" s="1"/>
  <c r="S11" i="7"/>
  <c r="S15" i="7" s="1"/>
  <c r="R11" i="7"/>
  <c r="R15" i="7" s="1"/>
  <c r="Q11" i="7"/>
  <c r="Q15" i="7" s="1"/>
  <c r="P11" i="7"/>
  <c r="P15" i="7" s="1"/>
  <c r="O11" i="7"/>
  <c r="O15" i="7" s="1"/>
  <c r="N11" i="7"/>
  <c r="N15" i="7" s="1"/>
  <c r="M11" i="7"/>
  <c r="M15" i="7" s="1"/>
  <c r="L11" i="7"/>
  <c r="L15" i="7" s="1"/>
  <c r="K11" i="7"/>
  <c r="K15" i="7" s="1"/>
  <c r="J11" i="7"/>
  <c r="J15" i="7" s="1"/>
  <c r="I11" i="7"/>
  <c r="I15" i="7" s="1"/>
  <c r="H11" i="7"/>
  <c r="H15" i="7" s="1"/>
  <c r="G11" i="7"/>
  <c r="G15" i="7" s="1"/>
  <c r="F11" i="7"/>
  <c r="F15" i="7" s="1"/>
  <c r="E11" i="7"/>
  <c r="E15" i="7" s="1"/>
  <c r="D11" i="7"/>
  <c r="D15" i="7" s="1"/>
  <c r="C11" i="7"/>
  <c r="C15" i="7" s="1"/>
  <c r="BY10" i="7"/>
  <c r="BX10" i="7"/>
  <c r="BW10" i="7"/>
  <c r="BV10" i="7"/>
  <c r="BU10" i="7"/>
  <c r="BT10" i="7"/>
  <c r="BS10" i="7"/>
  <c r="BR10" i="7"/>
  <c r="BQ10" i="7"/>
  <c r="BP10" i="7"/>
  <c r="BO10" i="7"/>
  <c r="BN10" i="7"/>
  <c r="BM10" i="7"/>
  <c r="BL10" i="7"/>
  <c r="BK10" i="7"/>
  <c r="BJ10" i="7"/>
  <c r="BI10" i="7"/>
  <c r="BH10" i="7"/>
  <c r="BG10" i="7"/>
  <c r="BF10" i="7"/>
  <c r="BE10" i="7"/>
  <c r="BD10" i="7"/>
  <c r="BC10" i="7"/>
  <c r="BB10" i="7"/>
  <c r="BA10" i="7"/>
  <c r="AZ10" i="7"/>
  <c r="AY10" i="7"/>
  <c r="AX10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Y9" i="7"/>
  <c r="BY14" i="7" s="1"/>
  <c r="BX9" i="7"/>
  <c r="BX14" i="7" s="1"/>
  <c r="BW9" i="7"/>
  <c r="BW14" i="7" s="1"/>
  <c r="BV9" i="7"/>
  <c r="BV14" i="7" s="1"/>
  <c r="BU9" i="7"/>
  <c r="BU14" i="7" s="1"/>
  <c r="BT9" i="7"/>
  <c r="BT14" i="7" s="1"/>
  <c r="BS9" i="7"/>
  <c r="BS14" i="7" s="1"/>
  <c r="BR9" i="7"/>
  <c r="BR14" i="7" s="1"/>
  <c r="BQ9" i="7"/>
  <c r="BQ14" i="7" s="1"/>
  <c r="BP9" i="7"/>
  <c r="BP14" i="7" s="1"/>
  <c r="BO9" i="7"/>
  <c r="BO14" i="7" s="1"/>
  <c r="BN9" i="7"/>
  <c r="BN14" i="7" s="1"/>
  <c r="BM9" i="7"/>
  <c r="BM14" i="7" s="1"/>
  <c r="BL9" i="7"/>
  <c r="BL14" i="7" s="1"/>
  <c r="BK9" i="7"/>
  <c r="BK14" i="7" s="1"/>
  <c r="BJ9" i="7"/>
  <c r="BJ14" i="7" s="1"/>
  <c r="BI9" i="7"/>
  <c r="BI14" i="7" s="1"/>
  <c r="BH9" i="7"/>
  <c r="BH14" i="7" s="1"/>
  <c r="BG9" i="7"/>
  <c r="BG14" i="7" s="1"/>
  <c r="BF9" i="7"/>
  <c r="BF14" i="7" s="1"/>
  <c r="BE9" i="7"/>
  <c r="BE14" i="7" s="1"/>
  <c r="BD9" i="7"/>
  <c r="BD14" i="7" s="1"/>
  <c r="BC9" i="7"/>
  <c r="BC14" i="7" s="1"/>
  <c r="BB9" i="7"/>
  <c r="BB14" i="7" s="1"/>
  <c r="BA9" i="7"/>
  <c r="BA14" i="7" s="1"/>
  <c r="AZ9" i="7"/>
  <c r="AZ14" i="7" s="1"/>
  <c r="AY9" i="7"/>
  <c r="AY14" i="7" s="1"/>
  <c r="AX9" i="7"/>
  <c r="AX14" i="7" s="1"/>
  <c r="AW9" i="7"/>
  <c r="AW14" i="7" s="1"/>
  <c r="AV9" i="7"/>
  <c r="AV14" i="7" s="1"/>
  <c r="AU9" i="7"/>
  <c r="AU14" i="7" s="1"/>
  <c r="AT9" i="7"/>
  <c r="AT14" i="7" s="1"/>
  <c r="AS9" i="7"/>
  <c r="AS14" i="7" s="1"/>
  <c r="AR9" i="7"/>
  <c r="AR14" i="7" s="1"/>
  <c r="AQ9" i="7"/>
  <c r="AQ14" i="7" s="1"/>
  <c r="AP9" i="7"/>
  <c r="AP14" i="7" s="1"/>
  <c r="AO9" i="7"/>
  <c r="AO14" i="7" s="1"/>
  <c r="AN9" i="7"/>
  <c r="AN14" i="7" s="1"/>
  <c r="AM9" i="7"/>
  <c r="AM14" i="7" s="1"/>
  <c r="AL9" i="7"/>
  <c r="AL14" i="7" s="1"/>
  <c r="AK9" i="7"/>
  <c r="AK14" i="7" s="1"/>
  <c r="AJ9" i="7"/>
  <c r="AJ14" i="7" s="1"/>
  <c r="AI9" i="7"/>
  <c r="AI14" i="7" s="1"/>
  <c r="AH9" i="7"/>
  <c r="AH14" i="7" s="1"/>
  <c r="AG9" i="7"/>
  <c r="AG14" i="7" s="1"/>
  <c r="AF9" i="7"/>
  <c r="AF14" i="7" s="1"/>
  <c r="AE9" i="7"/>
  <c r="AE14" i="7" s="1"/>
  <c r="AD9" i="7"/>
  <c r="AD14" i="7" s="1"/>
  <c r="AC9" i="7"/>
  <c r="AC14" i="7" s="1"/>
  <c r="AB9" i="7"/>
  <c r="AB14" i="7" s="1"/>
  <c r="AA9" i="7"/>
  <c r="AA14" i="7" s="1"/>
  <c r="Z9" i="7"/>
  <c r="Z14" i="7" s="1"/>
  <c r="Y9" i="7"/>
  <c r="Y14" i="7" s="1"/>
  <c r="X9" i="7"/>
  <c r="X14" i="7" s="1"/>
  <c r="W9" i="7"/>
  <c r="W14" i="7" s="1"/>
  <c r="V9" i="7"/>
  <c r="V14" i="7" s="1"/>
  <c r="U9" i="7"/>
  <c r="U14" i="7" s="1"/>
  <c r="T9" i="7"/>
  <c r="T14" i="7" s="1"/>
  <c r="S9" i="7"/>
  <c r="S14" i="7" s="1"/>
  <c r="R9" i="7"/>
  <c r="R14" i="7" s="1"/>
  <c r="Q9" i="7"/>
  <c r="Q14" i="7" s="1"/>
  <c r="P9" i="7"/>
  <c r="P14" i="7" s="1"/>
  <c r="O9" i="7"/>
  <c r="O14" i="7" s="1"/>
  <c r="N9" i="7"/>
  <c r="N14" i="7" s="1"/>
  <c r="M9" i="7"/>
  <c r="M14" i="7" s="1"/>
  <c r="L9" i="7"/>
  <c r="L14" i="7" s="1"/>
  <c r="K9" i="7"/>
  <c r="K14" i="7" s="1"/>
  <c r="J9" i="7"/>
  <c r="J14" i="7" s="1"/>
  <c r="I9" i="7"/>
  <c r="I14" i="7" s="1"/>
  <c r="H9" i="7"/>
  <c r="H14" i="7" s="1"/>
  <c r="G9" i="7"/>
  <c r="G14" i="7" s="1"/>
  <c r="F9" i="7"/>
  <c r="F14" i="7" s="1"/>
  <c r="E9" i="7"/>
  <c r="E14" i="7" s="1"/>
  <c r="D9" i="7"/>
  <c r="D14" i="7" s="1"/>
  <c r="C9" i="7"/>
  <c r="C14" i="7" s="1"/>
  <c r="BY8" i="7"/>
  <c r="BY13" i="7" s="1"/>
  <c r="BX8" i="7"/>
  <c r="BX13" i="7" s="1"/>
  <c r="BW8" i="7"/>
  <c r="BW13" i="7" s="1"/>
  <c r="BV8" i="7"/>
  <c r="BV13" i="7" s="1"/>
  <c r="BU8" i="7"/>
  <c r="BU13" i="7" s="1"/>
  <c r="BT8" i="7"/>
  <c r="BT13" i="7" s="1"/>
  <c r="BS8" i="7"/>
  <c r="BS13" i="7" s="1"/>
  <c r="BR8" i="7"/>
  <c r="BR13" i="7" s="1"/>
  <c r="BQ8" i="7"/>
  <c r="BQ13" i="7" s="1"/>
  <c r="BP8" i="7"/>
  <c r="BP13" i="7" s="1"/>
  <c r="BO8" i="7"/>
  <c r="BO13" i="7" s="1"/>
  <c r="BN8" i="7"/>
  <c r="BN13" i="7" s="1"/>
  <c r="BM8" i="7"/>
  <c r="BM13" i="7" s="1"/>
  <c r="BL8" i="7"/>
  <c r="BL13" i="7" s="1"/>
  <c r="BK8" i="7"/>
  <c r="BK13" i="7" s="1"/>
  <c r="BJ8" i="7"/>
  <c r="BJ13" i="7" s="1"/>
  <c r="BI8" i="7"/>
  <c r="BI13" i="7" s="1"/>
  <c r="BH8" i="7"/>
  <c r="BH13" i="7" s="1"/>
  <c r="BG8" i="7"/>
  <c r="BG13" i="7" s="1"/>
  <c r="BF8" i="7"/>
  <c r="BF13" i="7" s="1"/>
  <c r="BE8" i="7"/>
  <c r="BE13" i="7" s="1"/>
  <c r="BD8" i="7"/>
  <c r="BD13" i="7" s="1"/>
  <c r="BC8" i="7"/>
  <c r="BC13" i="7" s="1"/>
  <c r="BB8" i="7"/>
  <c r="BB13" i="7" s="1"/>
  <c r="BA8" i="7"/>
  <c r="BA13" i="7" s="1"/>
  <c r="AZ8" i="7"/>
  <c r="AZ13" i="7" s="1"/>
  <c r="AY8" i="7"/>
  <c r="AY13" i="7" s="1"/>
  <c r="AX8" i="7"/>
  <c r="AX13" i="7" s="1"/>
  <c r="AW8" i="7"/>
  <c r="AW13" i="7" s="1"/>
  <c r="AV8" i="7"/>
  <c r="AV13" i="7" s="1"/>
  <c r="AU8" i="7"/>
  <c r="AU13" i="7" s="1"/>
  <c r="AT8" i="7"/>
  <c r="AT13" i="7" s="1"/>
  <c r="AS8" i="7"/>
  <c r="AS13" i="7" s="1"/>
  <c r="AR8" i="7"/>
  <c r="AR13" i="7" s="1"/>
  <c r="AQ8" i="7"/>
  <c r="AQ13" i="7" s="1"/>
  <c r="AP8" i="7"/>
  <c r="AP13" i="7" s="1"/>
  <c r="AO8" i="7"/>
  <c r="AO13" i="7" s="1"/>
  <c r="AN8" i="7"/>
  <c r="AN13" i="7" s="1"/>
  <c r="AM8" i="7"/>
  <c r="AM13" i="7" s="1"/>
  <c r="AL8" i="7"/>
  <c r="AL13" i="7" s="1"/>
  <c r="AK8" i="7"/>
  <c r="AK13" i="7" s="1"/>
  <c r="AJ8" i="7"/>
  <c r="AJ13" i="7" s="1"/>
  <c r="AI8" i="7"/>
  <c r="AI13" i="7" s="1"/>
  <c r="AH8" i="7"/>
  <c r="AH13" i="7" s="1"/>
  <c r="AG8" i="7"/>
  <c r="AG13" i="7" s="1"/>
  <c r="AF8" i="7"/>
  <c r="AF13" i="7" s="1"/>
  <c r="AE8" i="7"/>
  <c r="AE13" i="7" s="1"/>
  <c r="AD8" i="7"/>
  <c r="AD13" i="7" s="1"/>
  <c r="AC8" i="7"/>
  <c r="AC13" i="7" s="1"/>
  <c r="AB8" i="7"/>
  <c r="AB13" i="7" s="1"/>
  <c r="AA8" i="7"/>
  <c r="AA13" i="7" s="1"/>
  <c r="Z8" i="7"/>
  <c r="Z13" i="7" s="1"/>
  <c r="Y8" i="7"/>
  <c r="Y13" i="7" s="1"/>
  <c r="X8" i="7"/>
  <c r="X13" i="7" s="1"/>
  <c r="W8" i="7"/>
  <c r="W13" i="7" s="1"/>
  <c r="V8" i="7"/>
  <c r="V13" i="7" s="1"/>
  <c r="U8" i="7"/>
  <c r="U13" i="7" s="1"/>
  <c r="T8" i="7"/>
  <c r="T13" i="7" s="1"/>
  <c r="S8" i="7"/>
  <c r="S13" i="7" s="1"/>
  <c r="R8" i="7"/>
  <c r="R13" i="7" s="1"/>
  <c r="Q8" i="7"/>
  <c r="Q13" i="7" s="1"/>
  <c r="P8" i="7"/>
  <c r="P13" i="7" s="1"/>
  <c r="O8" i="7"/>
  <c r="O13" i="7" s="1"/>
  <c r="N8" i="7"/>
  <c r="N13" i="7" s="1"/>
  <c r="M8" i="7"/>
  <c r="M13" i="7" s="1"/>
  <c r="L8" i="7"/>
  <c r="L13" i="7" s="1"/>
  <c r="K8" i="7"/>
  <c r="K13" i="7" s="1"/>
  <c r="J8" i="7"/>
  <c r="J13" i="7" s="1"/>
  <c r="I8" i="7"/>
  <c r="I13" i="7" s="1"/>
  <c r="H8" i="7"/>
  <c r="H13" i="7" s="1"/>
  <c r="G8" i="7"/>
  <c r="G13" i="7" s="1"/>
  <c r="F8" i="7"/>
  <c r="F13" i="7" s="1"/>
  <c r="E8" i="7"/>
  <c r="E13" i="7" s="1"/>
  <c r="D8" i="7"/>
  <c r="D13" i="7" s="1"/>
  <c r="C8" i="7"/>
  <c r="C13" i="7" s="1"/>
  <c r="I6" i="7"/>
  <c r="F6" i="7"/>
  <c r="B6" i="7"/>
  <c r="K5" i="7"/>
  <c r="J5" i="7"/>
  <c r="I5" i="7"/>
  <c r="H5" i="7"/>
  <c r="F5" i="7"/>
  <c r="B5" i="7"/>
  <c r="K4" i="7"/>
  <c r="J4" i="7"/>
  <c r="I4" i="7"/>
  <c r="H4" i="7"/>
  <c r="F4" i="7"/>
  <c r="B4" i="7"/>
  <c r="K3" i="7"/>
  <c r="J3" i="7"/>
  <c r="I3" i="7"/>
  <c r="H3" i="7"/>
  <c r="F3" i="7"/>
  <c r="B3" i="7"/>
  <c r="K2" i="7"/>
  <c r="J2" i="7"/>
  <c r="I2" i="7"/>
  <c r="H2" i="7"/>
  <c r="F2" i="7"/>
  <c r="B2" i="7"/>
  <c r="BZ58" i="6"/>
  <c r="B58" i="6"/>
  <c r="A58" i="6"/>
  <c r="BZ57" i="6"/>
  <c r="B57" i="6"/>
  <c r="A57" i="6"/>
  <c r="BZ56" i="6"/>
  <c r="B56" i="6"/>
  <c r="A56" i="6"/>
  <c r="BZ55" i="6"/>
  <c r="B55" i="6"/>
  <c r="A55" i="6"/>
  <c r="BZ54" i="6"/>
  <c r="B54" i="6"/>
  <c r="A54" i="6"/>
  <c r="BZ53" i="6"/>
  <c r="B53" i="6"/>
  <c r="A53" i="6"/>
  <c r="BZ52" i="6"/>
  <c r="B52" i="6"/>
  <c r="A52" i="6"/>
  <c r="BZ51" i="6"/>
  <c r="B51" i="6"/>
  <c r="A51" i="6"/>
  <c r="BZ50" i="6"/>
  <c r="B50" i="6"/>
  <c r="A50" i="6"/>
  <c r="BZ49" i="6"/>
  <c r="B49" i="6"/>
  <c r="A49" i="6"/>
  <c r="BZ48" i="6"/>
  <c r="B48" i="6"/>
  <c r="A48" i="6"/>
  <c r="BZ47" i="6"/>
  <c r="B47" i="6"/>
  <c r="A47" i="6"/>
  <c r="BZ46" i="6"/>
  <c r="B46" i="6"/>
  <c r="BZ45" i="6"/>
  <c r="B45" i="6"/>
  <c r="BZ44" i="6"/>
  <c r="B44" i="6"/>
  <c r="BZ43" i="6"/>
  <c r="B43" i="6"/>
  <c r="BZ42" i="6"/>
  <c r="B42" i="6"/>
  <c r="BZ41" i="6"/>
  <c r="B41" i="6"/>
  <c r="BZ40" i="6"/>
  <c r="B40" i="6"/>
  <c r="A40" i="6"/>
  <c r="A45" i="6" s="1"/>
  <c r="BZ39" i="6"/>
  <c r="B39" i="6"/>
  <c r="A39" i="6"/>
  <c r="A44" i="6" s="1"/>
  <c r="BZ38" i="6"/>
  <c r="B38" i="6"/>
  <c r="A38" i="6"/>
  <c r="A43" i="6" s="1"/>
  <c r="BZ37" i="6"/>
  <c r="B37" i="6"/>
  <c r="A37" i="6"/>
  <c r="A42" i="6" s="1"/>
  <c r="BZ36" i="6"/>
  <c r="B36" i="6"/>
  <c r="BZ35" i="6"/>
  <c r="B35" i="6"/>
  <c r="A35" i="6"/>
  <c r="BZ34" i="6"/>
  <c r="B34" i="6"/>
  <c r="A34" i="6"/>
  <c r="BZ33" i="6"/>
  <c r="B33" i="6"/>
  <c r="A33" i="6"/>
  <c r="BZ32" i="6"/>
  <c r="B32" i="6"/>
  <c r="A32" i="6"/>
  <c r="B31" i="6"/>
  <c r="B30" i="6"/>
  <c r="B29" i="6"/>
  <c r="B28" i="6"/>
  <c r="B27" i="6"/>
  <c r="B26" i="6"/>
  <c r="B25" i="6"/>
  <c r="B24" i="6"/>
  <c r="B23" i="6"/>
  <c r="B22" i="6"/>
  <c r="B19" i="6"/>
  <c r="B18" i="6"/>
  <c r="BY12" i="6"/>
  <c r="BX12" i="6"/>
  <c r="BW12" i="6"/>
  <c r="BV12" i="6"/>
  <c r="BU12" i="6"/>
  <c r="BT12" i="6"/>
  <c r="BS12" i="6"/>
  <c r="BR12" i="6"/>
  <c r="BQ12" i="6"/>
  <c r="BP12" i="6"/>
  <c r="BO12" i="6"/>
  <c r="BN12" i="6"/>
  <c r="BM12" i="6"/>
  <c r="BL12" i="6"/>
  <c r="BK12" i="6"/>
  <c r="BJ12" i="6"/>
  <c r="BI12" i="6"/>
  <c r="BH12" i="6"/>
  <c r="BG12" i="6"/>
  <c r="BF12" i="6"/>
  <c r="BE12" i="6"/>
  <c r="BD12" i="6"/>
  <c r="BC12" i="6"/>
  <c r="BB12" i="6"/>
  <c r="BA12" i="6"/>
  <c r="AZ12" i="6"/>
  <c r="AY12" i="6"/>
  <c r="AX12" i="6"/>
  <c r="AW12" i="6"/>
  <c r="AV12" i="6"/>
  <c r="AU12" i="6"/>
  <c r="AT12" i="6"/>
  <c r="AS12" i="6"/>
  <c r="AR12" i="6"/>
  <c r="AQ12" i="6"/>
  <c r="AP12" i="6"/>
  <c r="AO12" i="6"/>
  <c r="AN12" i="6"/>
  <c r="AM12" i="6"/>
  <c r="AL12" i="6"/>
  <c r="AK12" i="6"/>
  <c r="AJ12" i="6"/>
  <c r="AI12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Y11" i="6"/>
  <c r="BY15" i="6" s="1"/>
  <c r="BX11" i="6"/>
  <c r="BX15" i="6" s="1"/>
  <c r="BW11" i="6"/>
  <c r="BW15" i="6" s="1"/>
  <c r="BV11" i="6"/>
  <c r="BV15" i="6" s="1"/>
  <c r="BU11" i="6"/>
  <c r="BU15" i="6" s="1"/>
  <c r="BT11" i="6"/>
  <c r="BT15" i="6" s="1"/>
  <c r="BS11" i="6"/>
  <c r="BS15" i="6" s="1"/>
  <c r="BR11" i="6"/>
  <c r="BR15" i="6" s="1"/>
  <c r="BQ11" i="6"/>
  <c r="BQ15" i="6" s="1"/>
  <c r="BP11" i="6"/>
  <c r="BP15" i="6" s="1"/>
  <c r="BO11" i="6"/>
  <c r="BO15" i="6" s="1"/>
  <c r="BN11" i="6"/>
  <c r="BN15" i="6" s="1"/>
  <c r="BM11" i="6"/>
  <c r="BM15" i="6" s="1"/>
  <c r="BL11" i="6"/>
  <c r="BL15" i="6" s="1"/>
  <c r="BK11" i="6"/>
  <c r="BK15" i="6" s="1"/>
  <c r="BJ11" i="6"/>
  <c r="BJ15" i="6" s="1"/>
  <c r="BI11" i="6"/>
  <c r="BI15" i="6" s="1"/>
  <c r="BH11" i="6"/>
  <c r="BH15" i="6" s="1"/>
  <c r="BG11" i="6"/>
  <c r="BG15" i="6" s="1"/>
  <c r="BF11" i="6"/>
  <c r="BF15" i="6" s="1"/>
  <c r="BE11" i="6"/>
  <c r="BE15" i="6" s="1"/>
  <c r="BD11" i="6"/>
  <c r="BD15" i="6" s="1"/>
  <c r="BC11" i="6"/>
  <c r="BC15" i="6" s="1"/>
  <c r="BB11" i="6"/>
  <c r="BB15" i="6" s="1"/>
  <c r="BA11" i="6"/>
  <c r="BA15" i="6" s="1"/>
  <c r="AZ11" i="6"/>
  <c r="AZ15" i="6" s="1"/>
  <c r="AY11" i="6"/>
  <c r="AY15" i="6" s="1"/>
  <c r="AX11" i="6"/>
  <c r="AX15" i="6" s="1"/>
  <c r="AW11" i="6"/>
  <c r="AW15" i="6" s="1"/>
  <c r="AV11" i="6"/>
  <c r="AV15" i="6" s="1"/>
  <c r="AU11" i="6"/>
  <c r="AU15" i="6" s="1"/>
  <c r="AT11" i="6"/>
  <c r="AT15" i="6" s="1"/>
  <c r="AS11" i="6"/>
  <c r="AS15" i="6" s="1"/>
  <c r="AR11" i="6"/>
  <c r="AR15" i="6" s="1"/>
  <c r="AQ11" i="6"/>
  <c r="AQ15" i="6" s="1"/>
  <c r="AP11" i="6"/>
  <c r="AP15" i="6" s="1"/>
  <c r="AO11" i="6"/>
  <c r="AO15" i="6" s="1"/>
  <c r="AN11" i="6"/>
  <c r="AN15" i="6" s="1"/>
  <c r="AM11" i="6"/>
  <c r="AM15" i="6" s="1"/>
  <c r="AL11" i="6"/>
  <c r="AL15" i="6" s="1"/>
  <c r="AK11" i="6"/>
  <c r="AK15" i="6" s="1"/>
  <c r="AJ11" i="6"/>
  <c r="AJ15" i="6" s="1"/>
  <c r="AI11" i="6"/>
  <c r="AI15" i="6" s="1"/>
  <c r="AH11" i="6"/>
  <c r="AH15" i="6" s="1"/>
  <c r="AG11" i="6"/>
  <c r="AG15" i="6" s="1"/>
  <c r="AF11" i="6"/>
  <c r="AF15" i="6" s="1"/>
  <c r="AE11" i="6"/>
  <c r="AE15" i="6" s="1"/>
  <c r="AD11" i="6"/>
  <c r="AD15" i="6" s="1"/>
  <c r="AC11" i="6"/>
  <c r="AC15" i="6" s="1"/>
  <c r="AB11" i="6"/>
  <c r="AB15" i="6" s="1"/>
  <c r="AA11" i="6"/>
  <c r="AA15" i="6" s="1"/>
  <c r="Z11" i="6"/>
  <c r="Z15" i="6" s="1"/>
  <c r="Y11" i="6"/>
  <c r="Y15" i="6" s="1"/>
  <c r="X11" i="6"/>
  <c r="X15" i="6" s="1"/>
  <c r="W11" i="6"/>
  <c r="W15" i="6" s="1"/>
  <c r="V11" i="6"/>
  <c r="V15" i="6" s="1"/>
  <c r="U11" i="6"/>
  <c r="U15" i="6" s="1"/>
  <c r="T11" i="6"/>
  <c r="T15" i="6" s="1"/>
  <c r="S11" i="6"/>
  <c r="S15" i="6" s="1"/>
  <c r="R11" i="6"/>
  <c r="R15" i="6" s="1"/>
  <c r="Q11" i="6"/>
  <c r="Q15" i="6" s="1"/>
  <c r="P11" i="6"/>
  <c r="P15" i="6" s="1"/>
  <c r="O11" i="6"/>
  <c r="O15" i="6" s="1"/>
  <c r="N11" i="6"/>
  <c r="N15" i="6" s="1"/>
  <c r="M11" i="6"/>
  <c r="M15" i="6" s="1"/>
  <c r="L11" i="6"/>
  <c r="L15" i="6" s="1"/>
  <c r="K11" i="6"/>
  <c r="K15" i="6" s="1"/>
  <c r="J11" i="6"/>
  <c r="J15" i="6" s="1"/>
  <c r="I11" i="6"/>
  <c r="I15" i="6" s="1"/>
  <c r="H11" i="6"/>
  <c r="H15" i="6" s="1"/>
  <c r="G11" i="6"/>
  <c r="G15" i="6" s="1"/>
  <c r="F11" i="6"/>
  <c r="F15" i="6" s="1"/>
  <c r="E11" i="6"/>
  <c r="E15" i="6" s="1"/>
  <c r="D11" i="6"/>
  <c r="D15" i="6" s="1"/>
  <c r="C11" i="6"/>
  <c r="C15" i="6" s="1"/>
  <c r="BY10" i="6"/>
  <c r="BX10" i="6"/>
  <c r="BW10" i="6"/>
  <c r="BV10" i="6"/>
  <c r="BU10" i="6"/>
  <c r="BT10" i="6"/>
  <c r="BS10" i="6"/>
  <c r="BR10" i="6"/>
  <c r="BQ10" i="6"/>
  <c r="BP10" i="6"/>
  <c r="BO10" i="6"/>
  <c r="BN10" i="6"/>
  <c r="BM10" i="6"/>
  <c r="BL10" i="6"/>
  <c r="BK10" i="6"/>
  <c r="BJ10" i="6"/>
  <c r="BI10" i="6"/>
  <c r="BH10" i="6"/>
  <c r="BG10" i="6"/>
  <c r="BF10" i="6"/>
  <c r="BE10" i="6"/>
  <c r="BD10" i="6"/>
  <c r="BC10" i="6"/>
  <c r="BB10" i="6"/>
  <c r="BA10" i="6"/>
  <c r="AZ10" i="6"/>
  <c r="AY10" i="6"/>
  <c r="AX10" i="6"/>
  <c r="AW10" i="6"/>
  <c r="AV10" i="6"/>
  <c r="AU10" i="6"/>
  <c r="AT10" i="6"/>
  <c r="AS10" i="6"/>
  <c r="AR10" i="6"/>
  <c r="AQ10" i="6"/>
  <c r="AP10" i="6"/>
  <c r="AO10" i="6"/>
  <c r="AN10" i="6"/>
  <c r="AM10" i="6"/>
  <c r="AL10" i="6"/>
  <c r="AK10" i="6"/>
  <c r="AJ10" i="6"/>
  <c r="AI10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Y9" i="6"/>
  <c r="BY14" i="6" s="1"/>
  <c r="BX9" i="6"/>
  <c r="BX14" i="6" s="1"/>
  <c r="BW9" i="6"/>
  <c r="BW14" i="6" s="1"/>
  <c r="BV9" i="6"/>
  <c r="BV14" i="6" s="1"/>
  <c r="BU9" i="6"/>
  <c r="BU14" i="6" s="1"/>
  <c r="BT9" i="6"/>
  <c r="BT14" i="6" s="1"/>
  <c r="BS9" i="6"/>
  <c r="BS14" i="6" s="1"/>
  <c r="BR9" i="6"/>
  <c r="BR14" i="6" s="1"/>
  <c r="BQ9" i="6"/>
  <c r="BQ14" i="6" s="1"/>
  <c r="BP9" i="6"/>
  <c r="BP14" i="6" s="1"/>
  <c r="BO9" i="6"/>
  <c r="BO14" i="6" s="1"/>
  <c r="BN9" i="6"/>
  <c r="BN14" i="6" s="1"/>
  <c r="BM9" i="6"/>
  <c r="BM14" i="6" s="1"/>
  <c r="BL9" i="6"/>
  <c r="BL14" i="6" s="1"/>
  <c r="BK9" i="6"/>
  <c r="BK14" i="6" s="1"/>
  <c r="BJ9" i="6"/>
  <c r="BJ14" i="6" s="1"/>
  <c r="BI9" i="6"/>
  <c r="BI14" i="6" s="1"/>
  <c r="BH9" i="6"/>
  <c r="BH14" i="6" s="1"/>
  <c r="BG9" i="6"/>
  <c r="BG14" i="6" s="1"/>
  <c r="BF9" i="6"/>
  <c r="BF14" i="6" s="1"/>
  <c r="BE9" i="6"/>
  <c r="BE14" i="6" s="1"/>
  <c r="BD9" i="6"/>
  <c r="BD14" i="6" s="1"/>
  <c r="BC9" i="6"/>
  <c r="BC14" i="6" s="1"/>
  <c r="BB9" i="6"/>
  <c r="BB14" i="6" s="1"/>
  <c r="BA9" i="6"/>
  <c r="BA14" i="6" s="1"/>
  <c r="AZ9" i="6"/>
  <c r="AZ14" i="6" s="1"/>
  <c r="AY9" i="6"/>
  <c r="AY14" i="6" s="1"/>
  <c r="AX9" i="6"/>
  <c r="AX14" i="6" s="1"/>
  <c r="AW9" i="6"/>
  <c r="AW14" i="6" s="1"/>
  <c r="AV9" i="6"/>
  <c r="AV14" i="6" s="1"/>
  <c r="AU9" i="6"/>
  <c r="AU14" i="6" s="1"/>
  <c r="AT9" i="6"/>
  <c r="AT14" i="6" s="1"/>
  <c r="AS9" i="6"/>
  <c r="AS14" i="6" s="1"/>
  <c r="AR9" i="6"/>
  <c r="AR14" i="6" s="1"/>
  <c r="AQ9" i="6"/>
  <c r="AQ14" i="6" s="1"/>
  <c r="AP9" i="6"/>
  <c r="AP14" i="6" s="1"/>
  <c r="AO9" i="6"/>
  <c r="AO14" i="6" s="1"/>
  <c r="AN9" i="6"/>
  <c r="AN14" i="6" s="1"/>
  <c r="AM9" i="6"/>
  <c r="AM14" i="6" s="1"/>
  <c r="AL9" i="6"/>
  <c r="AL14" i="6" s="1"/>
  <c r="AK9" i="6"/>
  <c r="AK14" i="6" s="1"/>
  <c r="AJ9" i="6"/>
  <c r="AJ14" i="6" s="1"/>
  <c r="AI9" i="6"/>
  <c r="AI14" i="6" s="1"/>
  <c r="AH9" i="6"/>
  <c r="AH14" i="6" s="1"/>
  <c r="AG9" i="6"/>
  <c r="AG14" i="6" s="1"/>
  <c r="AF9" i="6"/>
  <c r="AF14" i="6" s="1"/>
  <c r="AE9" i="6"/>
  <c r="AE14" i="6" s="1"/>
  <c r="AD9" i="6"/>
  <c r="AD14" i="6" s="1"/>
  <c r="AC9" i="6"/>
  <c r="AC14" i="6" s="1"/>
  <c r="AB9" i="6"/>
  <c r="AB14" i="6" s="1"/>
  <c r="AA9" i="6"/>
  <c r="AA14" i="6" s="1"/>
  <c r="Z9" i="6"/>
  <c r="Z14" i="6" s="1"/>
  <c r="Y9" i="6"/>
  <c r="Y14" i="6" s="1"/>
  <c r="X9" i="6"/>
  <c r="X14" i="6" s="1"/>
  <c r="W9" i="6"/>
  <c r="W14" i="6" s="1"/>
  <c r="V9" i="6"/>
  <c r="V14" i="6" s="1"/>
  <c r="U9" i="6"/>
  <c r="U14" i="6" s="1"/>
  <c r="T9" i="6"/>
  <c r="T14" i="6" s="1"/>
  <c r="S9" i="6"/>
  <c r="S14" i="6" s="1"/>
  <c r="R9" i="6"/>
  <c r="R14" i="6" s="1"/>
  <c r="Q9" i="6"/>
  <c r="Q14" i="6" s="1"/>
  <c r="P9" i="6"/>
  <c r="P14" i="6" s="1"/>
  <c r="O9" i="6"/>
  <c r="O14" i="6" s="1"/>
  <c r="N9" i="6"/>
  <c r="N14" i="6" s="1"/>
  <c r="M9" i="6"/>
  <c r="M14" i="6" s="1"/>
  <c r="L9" i="6"/>
  <c r="L14" i="6" s="1"/>
  <c r="K9" i="6"/>
  <c r="K14" i="6" s="1"/>
  <c r="J9" i="6"/>
  <c r="J14" i="6" s="1"/>
  <c r="I9" i="6"/>
  <c r="I14" i="6" s="1"/>
  <c r="H9" i="6"/>
  <c r="H14" i="6" s="1"/>
  <c r="G9" i="6"/>
  <c r="G14" i="6" s="1"/>
  <c r="F9" i="6"/>
  <c r="F14" i="6" s="1"/>
  <c r="E9" i="6"/>
  <c r="E14" i="6" s="1"/>
  <c r="D9" i="6"/>
  <c r="D14" i="6" s="1"/>
  <c r="C9" i="6"/>
  <c r="C14" i="6" s="1"/>
  <c r="BY8" i="6"/>
  <c r="BY13" i="6" s="1"/>
  <c r="BX8" i="6"/>
  <c r="BX13" i="6" s="1"/>
  <c r="BW8" i="6"/>
  <c r="BW13" i="6" s="1"/>
  <c r="BV8" i="6"/>
  <c r="BV13" i="6" s="1"/>
  <c r="BU8" i="6"/>
  <c r="BU13" i="6" s="1"/>
  <c r="BT8" i="6"/>
  <c r="BT13" i="6" s="1"/>
  <c r="BS8" i="6"/>
  <c r="BS13" i="6" s="1"/>
  <c r="BR8" i="6"/>
  <c r="BR13" i="6" s="1"/>
  <c r="BQ8" i="6"/>
  <c r="BQ13" i="6" s="1"/>
  <c r="BP8" i="6"/>
  <c r="BP13" i="6" s="1"/>
  <c r="BO8" i="6"/>
  <c r="BO13" i="6" s="1"/>
  <c r="BN8" i="6"/>
  <c r="BN13" i="6" s="1"/>
  <c r="BM8" i="6"/>
  <c r="BM13" i="6" s="1"/>
  <c r="BL8" i="6"/>
  <c r="BL13" i="6" s="1"/>
  <c r="BK8" i="6"/>
  <c r="BK13" i="6" s="1"/>
  <c r="BJ8" i="6"/>
  <c r="BJ13" i="6" s="1"/>
  <c r="BI8" i="6"/>
  <c r="BI13" i="6" s="1"/>
  <c r="BH8" i="6"/>
  <c r="BH13" i="6" s="1"/>
  <c r="BG8" i="6"/>
  <c r="BG13" i="6" s="1"/>
  <c r="BF8" i="6"/>
  <c r="BF13" i="6" s="1"/>
  <c r="BE8" i="6"/>
  <c r="BE13" i="6" s="1"/>
  <c r="BD8" i="6"/>
  <c r="BD13" i="6" s="1"/>
  <c r="BC8" i="6"/>
  <c r="BC13" i="6" s="1"/>
  <c r="BB8" i="6"/>
  <c r="BB13" i="6" s="1"/>
  <c r="BA8" i="6"/>
  <c r="BA13" i="6" s="1"/>
  <c r="AZ8" i="6"/>
  <c r="AZ13" i="6" s="1"/>
  <c r="AY8" i="6"/>
  <c r="AY13" i="6" s="1"/>
  <c r="AX8" i="6"/>
  <c r="AX13" i="6" s="1"/>
  <c r="AW8" i="6"/>
  <c r="AW13" i="6" s="1"/>
  <c r="AV8" i="6"/>
  <c r="AV13" i="6" s="1"/>
  <c r="AU8" i="6"/>
  <c r="AU13" i="6" s="1"/>
  <c r="AT8" i="6"/>
  <c r="AT13" i="6" s="1"/>
  <c r="AS8" i="6"/>
  <c r="AS13" i="6" s="1"/>
  <c r="AR8" i="6"/>
  <c r="AR13" i="6" s="1"/>
  <c r="AQ8" i="6"/>
  <c r="AQ13" i="6" s="1"/>
  <c r="AP8" i="6"/>
  <c r="AP13" i="6" s="1"/>
  <c r="AO8" i="6"/>
  <c r="AO13" i="6" s="1"/>
  <c r="AN8" i="6"/>
  <c r="AN13" i="6" s="1"/>
  <c r="AM8" i="6"/>
  <c r="AM13" i="6" s="1"/>
  <c r="AL8" i="6"/>
  <c r="AL13" i="6" s="1"/>
  <c r="AK8" i="6"/>
  <c r="AK13" i="6" s="1"/>
  <c r="AJ8" i="6"/>
  <c r="AJ13" i="6" s="1"/>
  <c r="AI8" i="6"/>
  <c r="AI13" i="6" s="1"/>
  <c r="AH8" i="6"/>
  <c r="AH13" i="6" s="1"/>
  <c r="AG8" i="6"/>
  <c r="AG13" i="6" s="1"/>
  <c r="AF8" i="6"/>
  <c r="AF13" i="6" s="1"/>
  <c r="AE8" i="6"/>
  <c r="AE13" i="6" s="1"/>
  <c r="AD8" i="6"/>
  <c r="AD13" i="6" s="1"/>
  <c r="AC8" i="6"/>
  <c r="AC13" i="6" s="1"/>
  <c r="AB8" i="6"/>
  <c r="AB13" i="6" s="1"/>
  <c r="AA8" i="6"/>
  <c r="AA13" i="6" s="1"/>
  <c r="Z8" i="6"/>
  <c r="Z13" i="6" s="1"/>
  <c r="Y8" i="6"/>
  <c r="Y13" i="6" s="1"/>
  <c r="X8" i="6"/>
  <c r="X13" i="6" s="1"/>
  <c r="W8" i="6"/>
  <c r="W13" i="6" s="1"/>
  <c r="V8" i="6"/>
  <c r="V13" i="6" s="1"/>
  <c r="U8" i="6"/>
  <c r="U13" i="6" s="1"/>
  <c r="T8" i="6"/>
  <c r="T13" i="6" s="1"/>
  <c r="S8" i="6"/>
  <c r="S13" i="6" s="1"/>
  <c r="R8" i="6"/>
  <c r="R13" i="6" s="1"/>
  <c r="Q8" i="6"/>
  <c r="Q13" i="6" s="1"/>
  <c r="P8" i="6"/>
  <c r="P13" i="6" s="1"/>
  <c r="O8" i="6"/>
  <c r="O13" i="6" s="1"/>
  <c r="N8" i="6"/>
  <c r="N13" i="6" s="1"/>
  <c r="M8" i="6"/>
  <c r="M13" i="6" s="1"/>
  <c r="L8" i="6"/>
  <c r="L13" i="6" s="1"/>
  <c r="K8" i="6"/>
  <c r="K13" i="6" s="1"/>
  <c r="J8" i="6"/>
  <c r="J13" i="6" s="1"/>
  <c r="I8" i="6"/>
  <c r="I13" i="6" s="1"/>
  <c r="H8" i="6"/>
  <c r="H13" i="6" s="1"/>
  <c r="G8" i="6"/>
  <c r="G13" i="6" s="1"/>
  <c r="F8" i="6"/>
  <c r="F13" i="6" s="1"/>
  <c r="E8" i="6"/>
  <c r="E13" i="6" s="1"/>
  <c r="D8" i="6"/>
  <c r="D13" i="6" s="1"/>
  <c r="C8" i="6"/>
  <c r="C13" i="6" s="1"/>
  <c r="I6" i="6"/>
  <c r="F6" i="6"/>
  <c r="B6" i="6"/>
  <c r="K5" i="6"/>
  <c r="J5" i="6"/>
  <c r="I5" i="6"/>
  <c r="H5" i="6"/>
  <c r="F5" i="6"/>
  <c r="B5" i="6"/>
  <c r="K4" i="6"/>
  <c r="J4" i="6"/>
  <c r="I4" i="6"/>
  <c r="H4" i="6"/>
  <c r="F4" i="6"/>
  <c r="B4" i="6"/>
  <c r="K3" i="6"/>
  <c r="J3" i="6"/>
  <c r="I3" i="6"/>
  <c r="H3" i="6"/>
  <c r="F3" i="6"/>
  <c r="B3" i="6"/>
  <c r="K2" i="6"/>
  <c r="J2" i="6"/>
  <c r="I2" i="6"/>
  <c r="H2" i="6"/>
  <c r="F2" i="6"/>
  <c r="B2" i="6"/>
  <c r="BZ58" i="5"/>
  <c r="B58" i="5"/>
  <c r="A58" i="5"/>
  <c r="BZ57" i="5"/>
  <c r="B57" i="5"/>
  <c r="A57" i="5"/>
  <c r="BZ56" i="5"/>
  <c r="B56" i="5"/>
  <c r="A56" i="5"/>
  <c r="BZ55" i="5"/>
  <c r="B55" i="5"/>
  <c r="A55" i="5"/>
  <c r="BZ54" i="5"/>
  <c r="B54" i="5"/>
  <c r="A54" i="5"/>
  <c r="BZ53" i="5"/>
  <c r="B53" i="5"/>
  <c r="A53" i="5"/>
  <c r="BZ52" i="5"/>
  <c r="B52" i="5"/>
  <c r="A52" i="5"/>
  <c r="BZ51" i="5"/>
  <c r="B51" i="5"/>
  <c r="A51" i="5"/>
  <c r="BZ50" i="5"/>
  <c r="B50" i="5"/>
  <c r="A50" i="5"/>
  <c r="BZ49" i="5"/>
  <c r="B49" i="5"/>
  <c r="A49" i="5"/>
  <c r="BZ48" i="5"/>
  <c r="B48" i="5"/>
  <c r="A48" i="5"/>
  <c r="BZ47" i="5"/>
  <c r="B47" i="5"/>
  <c r="A47" i="5"/>
  <c r="BZ46" i="5"/>
  <c r="B46" i="5"/>
  <c r="BZ45" i="5"/>
  <c r="B45" i="5"/>
  <c r="BZ44" i="5"/>
  <c r="B44" i="5"/>
  <c r="BZ43" i="5"/>
  <c r="B43" i="5"/>
  <c r="BZ42" i="5"/>
  <c r="B42" i="5"/>
  <c r="BZ41" i="5"/>
  <c r="B41" i="5"/>
  <c r="BZ40" i="5"/>
  <c r="B40" i="5"/>
  <c r="A40" i="5"/>
  <c r="A45" i="5" s="1"/>
  <c r="BZ39" i="5"/>
  <c r="B39" i="5"/>
  <c r="A39" i="5"/>
  <c r="A44" i="5" s="1"/>
  <c r="BZ38" i="5"/>
  <c r="B38" i="5"/>
  <c r="A38" i="5"/>
  <c r="A43" i="5" s="1"/>
  <c r="BZ37" i="5"/>
  <c r="B37" i="5"/>
  <c r="A37" i="5"/>
  <c r="A42" i="5" s="1"/>
  <c r="BZ36" i="5"/>
  <c r="B36" i="5"/>
  <c r="BZ35" i="5"/>
  <c r="B35" i="5"/>
  <c r="A35" i="5"/>
  <c r="BZ34" i="5"/>
  <c r="B34" i="5"/>
  <c r="A34" i="5"/>
  <c r="BZ33" i="5"/>
  <c r="B33" i="5"/>
  <c r="A33" i="5"/>
  <c r="BZ32" i="5"/>
  <c r="B32" i="5"/>
  <c r="A32" i="5"/>
  <c r="B31" i="5"/>
  <c r="B30" i="5"/>
  <c r="B29" i="5"/>
  <c r="B28" i="5"/>
  <c r="B27" i="5"/>
  <c r="B26" i="5"/>
  <c r="B25" i="5"/>
  <c r="B24" i="5"/>
  <c r="B23" i="5"/>
  <c r="B22" i="5"/>
  <c r="B19" i="5"/>
  <c r="B18" i="5"/>
  <c r="BY12" i="5"/>
  <c r="BX12" i="5"/>
  <c r="BW12" i="5"/>
  <c r="BV12" i="5"/>
  <c r="BU12" i="5"/>
  <c r="BT12" i="5"/>
  <c r="BS12" i="5"/>
  <c r="BR12" i="5"/>
  <c r="BQ12" i="5"/>
  <c r="BP12" i="5"/>
  <c r="BO12" i="5"/>
  <c r="BN12" i="5"/>
  <c r="BM12" i="5"/>
  <c r="BL12" i="5"/>
  <c r="BK12" i="5"/>
  <c r="BJ12" i="5"/>
  <c r="BI12" i="5"/>
  <c r="BH12" i="5"/>
  <c r="BG12" i="5"/>
  <c r="BF12" i="5"/>
  <c r="BE12" i="5"/>
  <c r="BD12" i="5"/>
  <c r="BC12" i="5"/>
  <c r="BB12" i="5"/>
  <c r="BA12" i="5"/>
  <c r="AZ12" i="5"/>
  <c r="AY12" i="5"/>
  <c r="AX12" i="5"/>
  <c r="AW12" i="5"/>
  <c r="AV12" i="5"/>
  <c r="AU12" i="5"/>
  <c r="AT12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BY11" i="5"/>
  <c r="BY15" i="5" s="1"/>
  <c r="BX11" i="5"/>
  <c r="BX15" i="5" s="1"/>
  <c r="BW11" i="5"/>
  <c r="BW15" i="5" s="1"/>
  <c r="BV11" i="5"/>
  <c r="BV15" i="5" s="1"/>
  <c r="BU11" i="5"/>
  <c r="BU15" i="5" s="1"/>
  <c r="BT11" i="5"/>
  <c r="BT15" i="5" s="1"/>
  <c r="BS11" i="5"/>
  <c r="BS15" i="5" s="1"/>
  <c r="BR11" i="5"/>
  <c r="BR15" i="5" s="1"/>
  <c r="BQ11" i="5"/>
  <c r="BQ15" i="5" s="1"/>
  <c r="BP11" i="5"/>
  <c r="BP15" i="5" s="1"/>
  <c r="BO11" i="5"/>
  <c r="BO15" i="5" s="1"/>
  <c r="BN11" i="5"/>
  <c r="BN15" i="5" s="1"/>
  <c r="BM11" i="5"/>
  <c r="BM15" i="5" s="1"/>
  <c r="BL11" i="5"/>
  <c r="BL15" i="5" s="1"/>
  <c r="BK11" i="5"/>
  <c r="BK15" i="5" s="1"/>
  <c r="BJ11" i="5"/>
  <c r="BJ15" i="5" s="1"/>
  <c r="BI11" i="5"/>
  <c r="BI15" i="5" s="1"/>
  <c r="BH11" i="5"/>
  <c r="BH15" i="5" s="1"/>
  <c r="BG11" i="5"/>
  <c r="BG15" i="5" s="1"/>
  <c r="BF11" i="5"/>
  <c r="BF15" i="5" s="1"/>
  <c r="BE11" i="5"/>
  <c r="BE15" i="5" s="1"/>
  <c r="BD11" i="5"/>
  <c r="BD15" i="5" s="1"/>
  <c r="BC11" i="5"/>
  <c r="BC15" i="5" s="1"/>
  <c r="BB11" i="5"/>
  <c r="BB15" i="5" s="1"/>
  <c r="BA11" i="5"/>
  <c r="BA15" i="5" s="1"/>
  <c r="AZ11" i="5"/>
  <c r="AZ15" i="5" s="1"/>
  <c r="AY11" i="5"/>
  <c r="AY15" i="5" s="1"/>
  <c r="AX11" i="5"/>
  <c r="AX15" i="5" s="1"/>
  <c r="AW11" i="5"/>
  <c r="AW15" i="5" s="1"/>
  <c r="AV11" i="5"/>
  <c r="AV15" i="5" s="1"/>
  <c r="AU11" i="5"/>
  <c r="AU15" i="5" s="1"/>
  <c r="AT11" i="5"/>
  <c r="AT15" i="5" s="1"/>
  <c r="AS11" i="5"/>
  <c r="AS15" i="5" s="1"/>
  <c r="AR11" i="5"/>
  <c r="AR15" i="5" s="1"/>
  <c r="AQ11" i="5"/>
  <c r="AQ15" i="5" s="1"/>
  <c r="AP11" i="5"/>
  <c r="AP15" i="5" s="1"/>
  <c r="AO11" i="5"/>
  <c r="AO15" i="5" s="1"/>
  <c r="AN11" i="5"/>
  <c r="AN15" i="5" s="1"/>
  <c r="AM11" i="5"/>
  <c r="AM15" i="5" s="1"/>
  <c r="AL11" i="5"/>
  <c r="AL15" i="5" s="1"/>
  <c r="AK11" i="5"/>
  <c r="AK15" i="5" s="1"/>
  <c r="AJ11" i="5"/>
  <c r="AJ15" i="5" s="1"/>
  <c r="AI11" i="5"/>
  <c r="AI15" i="5" s="1"/>
  <c r="AH11" i="5"/>
  <c r="AH15" i="5" s="1"/>
  <c r="AG11" i="5"/>
  <c r="AG15" i="5" s="1"/>
  <c r="AF11" i="5"/>
  <c r="AF15" i="5" s="1"/>
  <c r="AE11" i="5"/>
  <c r="AE15" i="5" s="1"/>
  <c r="AD11" i="5"/>
  <c r="AD15" i="5" s="1"/>
  <c r="AC11" i="5"/>
  <c r="AC15" i="5" s="1"/>
  <c r="AB11" i="5"/>
  <c r="AB15" i="5" s="1"/>
  <c r="AA11" i="5"/>
  <c r="AA15" i="5" s="1"/>
  <c r="Z11" i="5"/>
  <c r="Z15" i="5" s="1"/>
  <c r="Y11" i="5"/>
  <c r="Y15" i="5" s="1"/>
  <c r="X11" i="5"/>
  <c r="X15" i="5" s="1"/>
  <c r="W11" i="5"/>
  <c r="W15" i="5" s="1"/>
  <c r="V11" i="5"/>
  <c r="V15" i="5" s="1"/>
  <c r="U11" i="5"/>
  <c r="U15" i="5" s="1"/>
  <c r="T11" i="5"/>
  <c r="T15" i="5" s="1"/>
  <c r="S11" i="5"/>
  <c r="S15" i="5" s="1"/>
  <c r="R11" i="5"/>
  <c r="R15" i="5" s="1"/>
  <c r="Q11" i="5"/>
  <c r="Q15" i="5" s="1"/>
  <c r="P11" i="5"/>
  <c r="P15" i="5" s="1"/>
  <c r="O11" i="5"/>
  <c r="O15" i="5" s="1"/>
  <c r="N11" i="5"/>
  <c r="N15" i="5" s="1"/>
  <c r="M11" i="5"/>
  <c r="M15" i="5" s="1"/>
  <c r="L11" i="5"/>
  <c r="L15" i="5" s="1"/>
  <c r="K11" i="5"/>
  <c r="K15" i="5" s="1"/>
  <c r="J11" i="5"/>
  <c r="J15" i="5" s="1"/>
  <c r="I11" i="5"/>
  <c r="I15" i="5" s="1"/>
  <c r="H11" i="5"/>
  <c r="H15" i="5" s="1"/>
  <c r="G11" i="5"/>
  <c r="G15" i="5" s="1"/>
  <c r="F11" i="5"/>
  <c r="F15" i="5" s="1"/>
  <c r="E11" i="5"/>
  <c r="E15" i="5" s="1"/>
  <c r="D11" i="5"/>
  <c r="D15" i="5" s="1"/>
  <c r="C11" i="5"/>
  <c r="C15" i="5" s="1"/>
  <c r="BY10" i="5"/>
  <c r="BX10" i="5"/>
  <c r="BW10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BY9" i="5"/>
  <c r="BY14" i="5" s="1"/>
  <c r="BX9" i="5"/>
  <c r="BX14" i="5" s="1"/>
  <c r="BW9" i="5"/>
  <c r="BW14" i="5" s="1"/>
  <c r="BV9" i="5"/>
  <c r="BV14" i="5" s="1"/>
  <c r="BU9" i="5"/>
  <c r="BU14" i="5" s="1"/>
  <c r="BT9" i="5"/>
  <c r="BT14" i="5" s="1"/>
  <c r="BS9" i="5"/>
  <c r="BS14" i="5" s="1"/>
  <c r="BR9" i="5"/>
  <c r="BR14" i="5" s="1"/>
  <c r="BQ9" i="5"/>
  <c r="BQ14" i="5" s="1"/>
  <c r="BP9" i="5"/>
  <c r="BP14" i="5" s="1"/>
  <c r="BO9" i="5"/>
  <c r="BO14" i="5" s="1"/>
  <c r="BN9" i="5"/>
  <c r="BN14" i="5" s="1"/>
  <c r="BM9" i="5"/>
  <c r="BM14" i="5" s="1"/>
  <c r="BL9" i="5"/>
  <c r="BL14" i="5" s="1"/>
  <c r="BK9" i="5"/>
  <c r="BK14" i="5" s="1"/>
  <c r="BJ9" i="5"/>
  <c r="BJ14" i="5" s="1"/>
  <c r="BI9" i="5"/>
  <c r="BI14" i="5" s="1"/>
  <c r="BH9" i="5"/>
  <c r="BH14" i="5" s="1"/>
  <c r="BG9" i="5"/>
  <c r="BG14" i="5" s="1"/>
  <c r="BF9" i="5"/>
  <c r="BF14" i="5" s="1"/>
  <c r="BE9" i="5"/>
  <c r="BE14" i="5" s="1"/>
  <c r="BD9" i="5"/>
  <c r="BD14" i="5" s="1"/>
  <c r="BC9" i="5"/>
  <c r="BC14" i="5" s="1"/>
  <c r="BB9" i="5"/>
  <c r="BB14" i="5" s="1"/>
  <c r="BA9" i="5"/>
  <c r="BA14" i="5" s="1"/>
  <c r="AZ9" i="5"/>
  <c r="AZ14" i="5" s="1"/>
  <c r="AY9" i="5"/>
  <c r="AY14" i="5" s="1"/>
  <c r="AX9" i="5"/>
  <c r="AX14" i="5" s="1"/>
  <c r="AW9" i="5"/>
  <c r="AW14" i="5" s="1"/>
  <c r="AV9" i="5"/>
  <c r="AV14" i="5" s="1"/>
  <c r="AU9" i="5"/>
  <c r="AU14" i="5" s="1"/>
  <c r="AT9" i="5"/>
  <c r="AT14" i="5" s="1"/>
  <c r="AS9" i="5"/>
  <c r="AS14" i="5" s="1"/>
  <c r="AR9" i="5"/>
  <c r="AR14" i="5" s="1"/>
  <c r="AQ9" i="5"/>
  <c r="AQ14" i="5" s="1"/>
  <c r="AP9" i="5"/>
  <c r="AP14" i="5" s="1"/>
  <c r="AO9" i="5"/>
  <c r="AO14" i="5" s="1"/>
  <c r="AN9" i="5"/>
  <c r="AN14" i="5" s="1"/>
  <c r="AM9" i="5"/>
  <c r="AM14" i="5" s="1"/>
  <c r="AL9" i="5"/>
  <c r="AL14" i="5" s="1"/>
  <c r="AK9" i="5"/>
  <c r="AK14" i="5" s="1"/>
  <c r="AJ9" i="5"/>
  <c r="AJ14" i="5" s="1"/>
  <c r="AI9" i="5"/>
  <c r="AI14" i="5" s="1"/>
  <c r="AH9" i="5"/>
  <c r="AH14" i="5" s="1"/>
  <c r="AG9" i="5"/>
  <c r="AG14" i="5" s="1"/>
  <c r="AF9" i="5"/>
  <c r="AF14" i="5" s="1"/>
  <c r="AE9" i="5"/>
  <c r="AE14" i="5" s="1"/>
  <c r="AD9" i="5"/>
  <c r="AD14" i="5" s="1"/>
  <c r="AC9" i="5"/>
  <c r="AC14" i="5" s="1"/>
  <c r="AB9" i="5"/>
  <c r="AB14" i="5" s="1"/>
  <c r="AA9" i="5"/>
  <c r="AA14" i="5" s="1"/>
  <c r="Z9" i="5"/>
  <c r="Z14" i="5" s="1"/>
  <c r="Y9" i="5"/>
  <c r="Y14" i="5" s="1"/>
  <c r="X9" i="5"/>
  <c r="X14" i="5" s="1"/>
  <c r="W9" i="5"/>
  <c r="W14" i="5" s="1"/>
  <c r="V9" i="5"/>
  <c r="V14" i="5" s="1"/>
  <c r="U9" i="5"/>
  <c r="U14" i="5" s="1"/>
  <c r="T9" i="5"/>
  <c r="T14" i="5" s="1"/>
  <c r="S9" i="5"/>
  <c r="S14" i="5" s="1"/>
  <c r="R9" i="5"/>
  <c r="R14" i="5" s="1"/>
  <c r="Q9" i="5"/>
  <c r="Q14" i="5" s="1"/>
  <c r="P9" i="5"/>
  <c r="P14" i="5" s="1"/>
  <c r="O9" i="5"/>
  <c r="O14" i="5" s="1"/>
  <c r="N9" i="5"/>
  <c r="N14" i="5" s="1"/>
  <c r="M9" i="5"/>
  <c r="M14" i="5" s="1"/>
  <c r="L9" i="5"/>
  <c r="L14" i="5" s="1"/>
  <c r="K9" i="5"/>
  <c r="K14" i="5" s="1"/>
  <c r="J9" i="5"/>
  <c r="J14" i="5" s="1"/>
  <c r="I9" i="5"/>
  <c r="I14" i="5" s="1"/>
  <c r="H9" i="5"/>
  <c r="H14" i="5" s="1"/>
  <c r="G9" i="5"/>
  <c r="G14" i="5" s="1"/>
  <c r="F9" i="5"/>
  <c r="F14" i="5" s="1"/>
  <c r="E9" i="5"/>
  <c r="E14" i="5" s="1"/>
  <c r="D9" i="5"/>
  <c r="D14" i="5" s="1"/>
  <c r="C9" i="5"/>
  <c r="C14" i="5" s="1"/>
  <c r="BY8" i="5"/>
  <c r="BY13" i="5" s="1"/>
  <c r="BX8" i="5"/>
  <c r="BX13" i="5" s="1"/>
  <c r="BW8" i="5"/>
  <c r="BW13" i="5" s="1"/>
  <c r="BV8" i="5"/>
  <c r="BV13" i="5" s="1"/>
  <c r="BU8" i="5"/>
  <c r="BU13" i="5" s="1"/>
  <c r="BT8" i="5"/>
  <c r="BT13" i="5" s="1"/>
  <c r="BS8" i="5"/>
  <c r="BS13" i="5" s="1"/>
  <c r="BR8" i="5"/>
  <c r="BR13" i="5" s="1"/>
  <c r="BQ8" i="5"/>
  <c r="BQ13" i="5" s="1"/>
  <c r="BP8" i="5"/>
  <c r="BP13" i="5" s="1"/>
  <c r="BO8" i="5"/>
  <c r="BO13" i="5" s="1"/>
  <c r="BN8" i="5"/>
  <c r="BN13" i="5" s="1"/>
  <c r="BM8" i="5"/>
  <c r="BM13" i="5" s="1"/>
  <c r="BL8" i="5"/>
  <c r="BL13" i="5" s="1"/>
  <c r="BK8" i="5"/>
  <c r="BK13" i="5" s="1"/>
  <c r="BJ8" i="5"/>
  <c r="BJ13" i="5" s="1"/>
  <c r="BI8" i="5"/>
  <c r="BI13" i="5" s="1"/>
  <c r="BH8" i="5"/>
  <c r="BH13" i="5" s="1"/>
  <c r="BG8" i="5"/>
  <c r="BG13" i="5" s="1"/>
  <c r="BF8" i="5"/>
  <c r="BF13" i="5" s="1"/>
  <c r="BE8" i="5"/>
  <c r="BE13" i="5" s="1"/>
  <c r="BD8" i="5"/>
  <c r="BD13" i="5" s="1"/>
  <c r="BC8" i="5"/>
  <c r="BC13" i="5" s="1"/>
  <c r="BB8" i="5"/>
  <c r="BB13" i="5" s="1"/>
  <c r="BA8" i="5"/>
  <c r="BA13" i="5" s="1"/>
  <c r="AZ8" i="5"/>
  <c r="AZ13" i="5" s="1"/>
  <c r="AY8" i="5"/>
  <c r="AY13" i="5" s="1"/>
  <c r="AX8" i="5"/>
  <c r="AX13" i="5" s="1"/>
  <c r="AW8" i="5"/>
  <c r="AW13" i="5" s="1"/>
  <c r="AV8" i="5"/>
  <c r="AV13" i="5" s="1"/>
  <c r="AU8" i="5"/>
  <c r="AU13" i="5" s="1"/>
  <c r="AT8" i="5"/>
  <c r="AT13" i="5" s="1"/>
  <c r="AS8" i="5"/>
  <c r="AS13" i="5" s="1"/>
  <c r="AR8" i="5"/>
  <c r="AR13" i="5" s="1"/>
  <c r="AQ8" i="5"/>
  <c r="AQ13" i="5" s="1"/>
  <c r="AP8" i="5"/>
  <c r="AP13" i="5" s="1"/>
  <c r="AO8" i="5"/>
  <c r="AO13" i="5" s="1"/>
  <c r="AN8" i="5"/>
  <c r="AN13" i="5" s="1"/>
  <c r="AM8" i="5"/>
  <c r="AM13" i="5" s="1"/>
  <c r="AL8" i="5"/>
  <c r="AL13" i="5" s="1"/>
  <c r="AK8" i="5"/>
  <c r="AK13" i="5" s="1"/>
  <c r="AJ8" i="5"/>
  <c r="AJ13" i="5" s="1"/>
  <c r="AI8" i="5"/>
  <c r="AI13" i="5" s="1"/>
  <c r="AH8" i="5"/>
  <c r="AH13" i="5" s="1"/>
  <c r="AG8" i="5"/>
  <c r="AG13" i="5" s="1"/>
  <c r="AF8" i="5"/>
  <c r="AF13" i="5" s="1"/>
  <c r="AE8" i="5"/>
  <c r="AE13" i="5" s="1"/>
  <c r="AD8" i="5"/>
  <c r="AD13" i="5" s="1"/>
  <c r="AC8" i="5"/>
  <c r="AC13" i="5" s="1"/>
  <c r="AB8" i="5"/>
  <c r="AB13" i="5" s="1"/>
  <c r="AA8" i="5"/>
  <c r="AA13" i="5" s="1"/>
  <c r="Z8" i="5"/>
  <c r="Z13" i="5" s="1"/>
  <c r="Y8" i="5"/>
  <c r="Y13" i="5" s="1"/>
  <c r="X8" i="5"/>
  <c r="X13" i="5" s="1"/>
  <c r="W8" i="5"/>
  <c r="W13" i="5" s="1"/>
  <c r="V8" i="5"/>
  <c r="V13" i="5" s="1"/>
  <c r="U8" i="5"/>
  <c r="U13" i="5" s="1"/>
  <c r="T8" i="5"/>
  <c r="T13" i="5" s="1"/>
  <c r="S8" i="5"/>
  <c r="S13" i="5" s="1"/>
  <c r="R8" i="5"/>
  <c r="R13" i="5" s="1"/>
  <c r="Q8" i="5"/>
  <c r="Q13" i="5" s="1"/>
  <c r="P8" i="5"/>
  <c r="P13" i="5" s="1"/>
  <c r="O8" i="5"/>
  <c r="O13" i="5" s="1"/>
  <c r="N8" i="5"/>
  <c r="N13" i="5" s="1"/>
  <c r="M8" i="5"/>
  <c r="M13" i="5" s="1"/>
  <c r="L8" i="5"/>
  <c r="L13" i="5" s="1"/>
  <c r="K8" i="5"/>
  <c r="K13" i="5" s="1"/>
  <c r="J8" i="5"/>
  <c r="J13" i="5" s="1"/>
  <c r="I8" i="5"/>
  <c r="I13" i="5" s="1"/>
  <c r="H8" i="5"/>
  <c r="H13" i="5" s="1"/>
  <c r="G8" i="5"/>
  <c r="G13" i="5" s="1"/>
  <c r="F8" i="5"/>
  <c r="F13" i="5" s="1"/>
  <c r="E8" i="5"/>
  <c r="E13" i="5" s="1"/>
  <c r="D8" i="5"/>
  <c r="D13" i="5" s="1"/>
  <c r="C8" i="5"/>
  <c r="C13" i="5" s="1"/>
  <c r="I6" i="5"/>
  <c r="F6" i="5"/>
  <c r="B6" i="5"/>
  <c r="K5" i="5"/>
  <c r="J5" i="5"/>
  <c r="I5" i="5"/>
  <c r="H5" i="5"/>
  <c r="F5" i="5"/>
  <c r="B5" i="5"/>
  <c r="K4" i="5"/>
  <c r="J4" i="5"/>
  <c r="I4" i="5"/>
  <c r="H4" i="5"/>
  <c r="F4" i="5"/>
  <c r="B4" i="5"/>
  <c r="K3" i="5"/>
  <c r="J3" i="5"/>
  <c r="I3" i="5"/>
  <c r="H3" i="5"/>
  <c r="F3" i="5"/>
  <c r="B3" i="5"/>
  <c r="K2" i="5"/>
  <c r="J2" i="5"/>
  <c r="I2" i="5"/>
  <c r="H2" i="5"/>
  <c r="F2" i="5"/>
  <c r="B2" i="5"/>
  <c r="BZ58" i="4"/>
  <c r="B58" i="4"/>
  <c r="A58" i="4"/>
  <c r="BZ57" i="4"/>
  <c r="B57" i="4"/>
  <c r="A57" i="4"/>
  <c r="BZ56" i="4"/>
  <c r="B56" i="4"/>
  <c r="A56" i="4"/>
  <c r="BZ55" i="4"/>
  <c r="B55" i="4"/>
  <c r="A55" i="4"/>
  <c r="BZ54" i="4"/>
  <c r="B54" i="4"/>
  <c r="A54" i="4"/>
  <c r="BZ53" i="4"/>
  <c r="B53" i="4"/>
  <c r="A53" i="4"/>
  <c r="BZ52" i="4"/>
  <c r="B52" i="4"/>
  <c r="A52" i="4"/>
  <c r="BZ51" i="4"/>
  <c r="B51" i="4"/>
  <c r="A51" i="4"/>
  <c r="BZ50" i="4"/>
  <c r="B50" i="4"/>
  <c r="A50" i="4"/>
  <c r="BZ49" i="4"/>
  <c r="B49" i="4"/>
  <c r="A49" i="4"/>
  <c r="BZ48" i="4"/>
  <c r="B48" i="4"/>
  <c r="A48" i="4"/>
  <c r="BZ47" i="4"/>
  <c r="B47" i="4"/>
  <c r="A47" i="4"/>
  <c r="BZ46" i="4"/>
  <c r="B46" i="4"/>
  <c r="BZ45" i="4"/>
  <c r="B45" i="4"/>
  <c r="BZ44" i="4"/>
  <c r="B44" i="4"/>
  <c r="BZ43" i="4"/>
  <c r="B43" i="4"/>
  <c r="BZ42" i="4"/>
  <c r="B42" i="4"/>
  <c r="BZ41" i="4"/>
  <c r="B41" i="4"/>
  <c r="BZ40" i="4"/>
  <c r="B40" i="4"/>
  <c r="A40" i="4"/>
  <c r="A45" i="4" s="1"/>
  <c r="BZ39" i="4"/>
  <c r="B39" i="4"/>
  <c r="A39" i="4"/>
  <c r="A44" i="4" s="1"/>
  <c r="BZ38" i="4"/>
  <c r="B38" i="4"/>
  <c r="A38" i="4"/>
  <c r="A43" i="4" s="1"/>
  <c r="BZ37" i="4"/>
  <c r="B37" i="4"/>
  <c r="A37" i="4"/>
  <c r="A42" i="4" s="1"/>
  <c r="BZ36" i="4"/>
  <c r="B36" i="4"/>
  <c r="BZ35" i="4"/>
  <c r="B35" i="4"/>
  <c r="A35" i="4"/>
  <c r="BZ34" i="4"/>
  <c r="B34" i="4"/>
  <c r="A34" i="4"/>
  <c r="BZ33" i="4"/>
  <c r="B33" i="4"/>
  <c r="A33" i="4"/>
  <c r="BZ32" i="4"/>
  <c r="B32" i="4"/>
  <c r="A32" i="4"/>
  <c r="B31" i="4"/>
  <c r="B30" i="4"/>
  <c r="B29" i="4"/>
  <c r="B28" i="4"/>
  <c r="B27" i="4"/>
  <c r="B26" i="4"/>
  <c r="B25" i="4"/>
  <c r="B24" i="4"/>
  <c r="B23" i="4"/>
  <c r="B22" i="4"/>
  <c r="B19" i="4"/>
  <c r="B18" i="4"/>
  <c r="BY12" i="4"/>
  <c r="BX12" i="4"/>
  <c r="BW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BY11" i="4"/>
  <c r="BY15" i="4" s="1"/>
  <c r="BX11" i="4"/>
  <c r="BX15" i="4" s="1"/>
  <c r="BW11" i="4"/>
  <c r="BW15" i="4" s="1"/>
  <c r="BV11" i="4"/>
  <c r="BV15" i="4" s="1"/>
  <c r="BU11" i="4"/>
  <c r="BU15" i="4" s="1"/>
  <c r="BT11" i="4"/>
  <c r="BT15" i="4" s="1"/>
  <c r="BS11" i="4"/>
  <c r="BS15" i="4" s="1"/>
  <c r="BR11" i="4"/>
  <c r="BR15" i="4" s="1"/>
  <c r="BQ11" i="4"/>
  <c r="BQ15" i="4" s="1"/>
  <c r="BP11" i="4"/>
  <c r="BP15" i="4" s="1"/>
  <c r="BO11" i="4"/>
  <c r="BO15" i="4" s="1"/>
  <c r="BN11" i="4"/>
  <c r="BN15" i="4" s="1"/>
  <c r="BM11" i="4"/>
  <c r="BM15" i="4" s="1"/>
  <c r="BL11" i="4"/>
  <c r="BL15" i="4" s="1"/>
  <c r="BK11" i="4"/>
  <c r="BK15" i="4" s="1"/>
  <c r="BJ11" i="4"/>
  <c r="BJ15" i="4" s="1"/>
  <c r="BI11" i="4"/>
  <c r="BI15" i="4" s="1"/>
  <c r="BH11" i="4"/>
  <c r="BH15" i="4" s="1"/>
  <c r="BG11" i="4"/>
  <c r="BG15" i="4" s="1"/>
  <c r="BF11" i="4"/>
  <c r="BF15" i="4" s="1"/>
  <c r="BE11" i="4"/>
  <c r="BE15" i="4" s="1"/>
  <c r="BD11" i="4"/>
  <c r="BD15" i="4" s="1"/>
  <c r="BC11" i="4"/>
  <c r="BC15" i="4" s="1"/>
  <c r="BB11" i="4"/>
  <c r="BB15" i="4" s="1"/>
  <c r="BA11" i="4"/>
  <c r="BA15" i="4" s="1"/>
  <c r="AZ11" i="4"/>
  <c r="AZ15" i="4" s="1"/>
  <c r="AY11" i="4"/>
  <c r="AY15" i="4" s="1"/>
  <c r="AX11" i="4"/>
  <c r="AX15" i="4" s="1"/>
  <c r="AW11" i="4"/>
  <c r="AW15" i="4" s="1"/>
  <c r="AV11" i="4"/>
  <c r="AV15" i="4" s="1"/>
  <c r="AU11" i="4"/>
  <c r="AU15" i="4" s="1"/>
  <c r="AT11" i="4"/>
  <c r="AT15" i="4" s="1"/>
  <c r="AS11" i="4"/>
  <c r="AS15" i="4" s="1"/>
  <c r="AR11" i="4"/>
  <c r="AR15" i="4" s="1"/>
  <c r="AQ11" i="4"/>
  <c r="AQ15" i="4" s="1"/>
  <c r="AP11" i="4"/>
  <c r="AP15" i="4" s="1"/>
  <c r="AO11" i="4"/>
  <c r="AO15" i="4" s="1"/>
  <c r="AN11" i="4"/>
  <c r="AN15" i="4" s="1"/>
  <c r="AM11" i="4"/>
  <c r="AM15" i="4" s="1"/>
  <c r="AL11" i="4"/>
  <c r="AL15" i="4" s="1"/>
  <c r="AK11" i="4"/>
  <c r="AK15" i="4" s="1"/>
  <c r="AJ11" i="4"/>
  <c r="AJ15" i="4" s="1"/>
  <c r="AI11" i="4"/>
  <c r="AI15" i="4" s="1"/>
  <c r="AH11" i="4"/>
  <c r="AH15" i="4" s="1"/>
  <c r="AG11" i="4"/>
  <c r="AG15" i="4" s="1"/>
  <c r="AF11" i="4"/>
  <c r="AF15" i="4" s="1"/>
  <c r="AE11" i="4"/>
  <c r="AE15" i="4" s="1"/>
  <c r="AD11" i="4"/>
  <c r="AD15" i="4" s="1"/>
  <c r="AC11" i="4"/>
  <c r="AC15" i="4" s="1"/>
  <c r="AB11" i="4"/>
  <c r="AB15" i="4" s="1"/>
  <c r="AA11" i="4"/>
  <c r="AA15" i="4" s="1"/>
  <c r="Z11" i="4"/>
  <c r="Z15" i="4" s="1"/>
  <c r="Y11" i="4"/>
  <c r="Y15" i="4" s="1"/>
  <c r="X11" i="4"/>
  <c r="X15" i="4" s="1"/>
  <c r="W11" i="4"/>
  <c r="W15" i="4" s="1"/>
  <c r="V11" i="4"/>
  <c r="V15" i="4" s="1"/>
  <c r="U11" i="4"/>
  <c r="U15" i="4" s="1"/>
  <c r="T11" i="4"/>
  <c r="T15" i="4" s="1"/>
  <c r="S11" i="4"/>
  <c r="S15" i="4" s="1"/>
  <c r="R11" i="4"/>
  <c r="R15" i="4" s="1"/>
  <c r="Q11" i="4"/>
  <c r="Q15" i="4" s="1"/>
  <c r="P11" i="4"/>
  <c r="P15" i="4" s="1"/>
  <c r="O11" i="4"/>
  <c r="O15" i="4" s="1"/>
  <c r="N11" i="4"/>
  <c r="N15" i="4" s="1"/>
  <c r="M11" i="4"/>
  <c r="M15" i="4" s="1"/>
  <c r="L11" i="4"/>
  <c r="L15" i="4" s="1"/>
  <c r="K11" i="4"/>
  <c r="K15" i="4" s="1"/>
  <c r="J11" i="4"/>
  <c r="J15" i="4" s="1"/>
  <c r="I11" i="4"/>
  <c r="I15" i="4" s="1"/>
  <c r="H11" i="4"/>
  <c r="H15" i="4" s="1"/>
  <c r="G11" i="4"/>
  <c r="G15" i="4" s="1"/>
  <c r="F11" i="4"/>
  <c r="F15" i="4" s="1"/>
  <c r="E11" i="4"/>
  <c r="E15" i="4" s="1"/>
  <c r="D11" i="4"/>
  <c r="D15" i="4" s="1"/>
  <c r="C11" i="4"/>
  <c r="C15" i="4" s="1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BY9" i="4"/>
  <c r="BY14" i="4" s="1"/>
  <c r="BX9" i="4"/>
  <c r="BX14" i="4" s="1"/>
  <c r="BW9" i="4"/>
  <c r="BW14" i="4" s="1"/>
  <c r="BV9" i="4"/>
  <c r="BV14" i="4" s="1"/>
  <c r="BU9" i="4"/>
  <c r="BU14" i="4" s="1"/>
  <c r="BT9" i="4"/>
  <c r="BT14" i="4" s="1"/>
  <c r="BS9" i="4"/>
  <c r="BS14" i="4" s="1"/>
  <c r="BR9" i="4"/>
  <c r="BR14" i="4" s="1"/>
  <c r="BQ9" i="4"/>
  <c r="BQ14" i="4" s="1"/>
  <c r="BP9" i="4"/>
  <c r="BP14" i="4" s="1"/>
  <c r="BO9" i="4"/>
  <c r="BO14" i="4" s="1"/>
  <c r="BN9" i="4"/>
  <c r="BN14" i="4" s="1"/>
  <c r="BM9" i="4"/>
  <c r="BM14" i="4" s="1"/>
  <c r="BL9" i="4"/>
  <c r="BL14" i="4" s="1"/>
  <c r="BK9" i="4"/>
  <c r="BK14" i="4" s="1"/>
  <c r="BJ9" i="4"/>
  <c r="BJ14" i="4" s="1"/>
  <c r="BI9" i="4"/>
  <c r="BI14" i="4" s="1"/>
  <c r="BH9" i="4"/>
  <c r="BH14" i="4" s="1"/>
  <c r="BG9" i="4"/>
  <c r="BG14" i="4" s="1"/>
  <c r="BF9" i="4"/>
  <c r="BF14" i="4" s="1"/>
  <c r="BE9" i="4"/>
  <c r="BE14" i="4" s="1"/>
  <c r="BD9" i="4"/>
  <c r="BD14" i="4" s="1"/>
  <c r="BC9" i="4"/>
  <c r="BC14" i="4" s="1"/>
  <c r="BB9" i="4"/>
  <c r="BB14" i="4" s="1"/>
  <c r="BA9" i="4"/>
  <c r="BA14" i="4" s="1"/>
  <c r="AZ9" i="4"/>
  <c r="AZ14" i="4" s="1"/>
  <c r="AY9" i="4"/>
  <c r="AY14" i="4" s="1"/>
  <c r="AX9" i="4"/>
  <c r="AX14" i="4" s="1"/>
  <c r="AW9" i="4"/>
  <c r="AW14" i="4" s="1"/>
  <c r="AV9" i="4"/>
  <c r="AV14" i="4" s="1"/>
  <c r="AU9" i="4"/>
  <c r="AU14" i="4" s="1"/>
  <c r="AT9" i="4"/>
  <c r="AT14" i="4" s="1"/>
  <c r="AS9" i="4"/>
  <c r="AS14" i="4" s="1"/>
  <c r="AR9" i="4"/>
  <c r="AR14" i="4" s="1"/>
  <c r="AQ9" i="4"/>
  <c r="AQ14" i="4" s="1"/>
  <c r="AP9" i="4"/>
  <c r="AP14" i="4" s="1"/>
  <c r="AO9" i="4"/>
  <c r="AO14" i="4" s="1"/>
  <c r="AN9" i="4"/>
  <c r="AN14" i="4" s="1"/>
  <c r="AM9" i="4"/>
  <c r="AM14" i="4" s="1"/>
  <c r="AL9" i="4"/>
  <c r="AL14" i="4" s="1"/>
  <c r="AK9" i="4"/>
  <c r="AK14" i="4" s="1"/>
  <c r="AJ9" i="4"/>
  <c r="AJ14" i="4" s="1"/>
  <c r="AI9" i="4"/>
  <c r="AI14" i="4" s="1"/>
  <c r="AH9" i="4"/>
  <c r="AH14" i="4" s="1"/>
  <c r="AG9" i="4"/>
  <c r="AG14" i="4" s="1"/>
  <c r="AF9" i="4"/>
  <c r="AF14" i="4" s="1"/>
  <c r="AE9" i="4"/>
  <c r="AE14" i="4" s="1"/>
  <c r="AD9" i="4"/>
  <c r="AD14" i="4" s="1"/>
  <c r="AC9" i="4"/>
  <c r="AC14" i="4" s="1"/>
  <c r="AB9" i="4"/>
  <c r="AB14" i="4" s="1"/>
  <c r="AA9" i="4"/>
  <c r="AA14" i="4" s="1"/>
  <c r="Z9" i="4"/>
  <c r="Z14" i="4" s="1"/>
  <c r="Y9" i="4"/>
  <c r="Y14" i="4" s="1"/>
  <c r="X9" i="4"/>
  <c r="X14" i="4" s="1"/>
  <c r="W9" i="4"/>
  <c r="W14" i="4" s="1"/>
  <c r="V9" i="4"/>
  <c r="V14" i="4" s="1"/>
  <c r="U9" i="4"/>
  <c r="U14" i="4" s="1"/>
  <c r="T9" i="4"/>
  <c r="T14" i="4" s="1"/>
  <c r="S9" i="4"/>
  <c r="S14" i="4" s="1"/>
  <c r="R9" i="4"/>
  <c r="R14" i="4" s="1"/>
  <c r="Q9" i="4"/>
  <c r="Q14" i="4" s="1"/>
  <c r="P9" i="4"/>
  <c r="P14" i="4" s="1"/>
  <c r="O9" i="4"/>
  <c r="O14" i="4" s="1"/>
  <c r="N9" i="4"/>
  <c r="N14" i="4" s="1"/>
  <c r="M9" i="4"/>
  <c r="M14" i="4" s="1"/>
  <c r="L9" i="4"/>
  <c r="L14" i="4" s="1"/>
  <c r="K9" i="4"/>
  <c r="K14" i="4" s="1"/>
  <c r="J9" i="4"/>
  <c r="J14" i="4" s="1"/>
  <c r="I9" i="4"/>
  <c r="I14" i="4" s="1"/>
  <c r="H9" i="4"/>
  <c r="H14" i="4" s="1"/>
  <c r="G9" i="4"/>
  <c r="G14" i="4" s="1"/>
  <c r="F9" i="4"/>
  <c r="F14" i="4" s="1"/>
  <c r="E9" i="4"/>
  <c r="E14" i="4" s="1"/>
  <c r="D9" i="4"/>
  <c r="D14" i="4" s="1"/>
  <c r="C9" i="4"/>
  <c r="C14" i="4" s="1"/>
  <c r="BY8" i="4"/>
  <c r="BY13" i="4" s="1"/>
  <c r="BX8" i="4"/>
  <c r="BX13" i="4" s="1"/>
  <c r="BW8" i="4"/>
  <c r="BW13" i="4" s="1"/>
  <c r="BV8" i="4"/>
  <c r="BV13" i="4" s="1"/>
  <c r="BU8" i="4"/>
  <c r="BU13" i="4" s="1"/>
  <c r="BT8" i="4"/>
  <c r="BT13" i="4" s="1"/>
  <c r="BS8" i="4"/>
  <c r="BS13" i="4" s="1"/>
  <c r="BR8" i="4"/>
  <c r="BR13" i="4" s="1"/>
  <c r="BQ8" i="4"/>
  <c r="BQ13" i="4" s="1"/>
  <c r="BP8" i="4"/>
  <c r="BP13" i="4" s="1"/>
  <c r="BO8" i="4"/>
  <c r="BO13" i="4" s="1"/>
  <c r="BN8" i="4"/>
  <c r="BN13" i="4" s="1"/>
  <c r="BM8" i="4"/>
  <c r="BM13" i="4" s="1"/>
  <c r="BL8" i="4"/>
  <c r="BL13" i="4" s="1"/>
  <c r="BK8" i="4"/>
  <c r="BK13" i="4" s="1"/>
  <c r="BJ8" i="4"/>
  <c r="BJ13" i="4" s="1"/>
  <c r="BI8" i="4"/>
  <c r="BI13" i="4" s="1"/>
  <c r="BH8" i="4"/>
  <c r="BH13" i="4" s="1"/>
  <c r="BG8" i="4"/>
  <c r="BG13" i="4" s="1"/>
  <c r="BF8" i="4"/>
  <c r="BF13" i="4" s="1"/>
  <c r="BE8" i="4"/>
  <c r="BE13" i="4" s="1"/>
  <c r="BD8" i="4"/>
  <c r="BD13" i="4" s="1"/>
  <c r="BC8" i="4"/>
  <c r="BC13" i="4" s="1"/>
  <c r="BB8" i="4"/>
  <c r="BB13" i="4" s="1"/>
  <c r="BA8" i="4"/>
  <c r="BA13" i="4" s="1"/>
  <c r="AZ8" i="4"/>
  <c r="AZ13" i="4" s="1"/>
  <c r="AY8" i="4"/>
  <c r="AY13" i="4" s="1"/>
  <c r="AX8" i="4"/>
  <c r="AX13" i="4" s="1"/>
  <c r="AW8" i="4"/>
  <c r="AW13" i="4" s="1"/>
  <c r="AV8" i="4"/>
  <c r="AV13" i="4" s="1"/>
  <c r="AU8" i="4"/>
  <c r="AU13" i="4" s="1"/>
  <c r="AT8" i="4"/>
  <c r="AT13" i="4" s="1"/>
  <c r="AS8" i="4"/>
  <c r="AS13" i="4" s="1"/>
  <c r="AR8" i="4"/>
  <c r="AR13" i="4" s="1"/>
  <c r="AQ8" i="4"/>
  <c r="AQ13" i="4" s="1"/>
  <c r="AP8" i="4"/>
  <c r="AP13" i="4" s="1"/>
  <c r="AO8" i="4"/>
  <c r="AO13" i="4" s="1"/>
  <c r="AN8" i="4"/>
  <c r="AN13" i="4" s="1"/>
  <c r="AM8" i="4"/>
  <c r="AM13" i="4" s="1"/>
  <c r="AL8" i="4"/>
  <c r="AL13" i="4" s="1"/>
  <c r="AK8" i="4"/>
  <c r="AK13" i="4" s="1"/>
  <c r="AJ8" i="4"/>
  <c r="AJ13" i="4" s="1"/>
  <c r="AI8" i="4"/>
  <c r="AI13" i="4" s="1"/>
  <c r="AH8" i="4"/>
  <c r="AH13" i="4" s="1"/>
  <c r="AG8" i="4"/>
  <c r="AG13" i="4" s="1"/>
  <c r="AF8" i="4"/>
  <c r="AF13" i="4" s="1"/>
  <c r="AE8" i="4"/>
  <c r="AE13" i="4" s="1"/>
  <c r="AD8" i="4"/>
  <c r="AD13" i="4" s="1"/>
  <c r="AC8" i="4"/>
  <c r="AC13" i="4" s="1"/>
  <c r="AB8" i="4"/>
  <c r="AB13" i="4" s="1"/>
  <c r="AA8" i="4"/>
  <c r="AA13" i="4" s="1"/>
  <c r="Z8" i="4"/>
  <c r="Z13" i="4" s="1"/>
  <c r="Y8" i="4"/>
  <c r="Y13" i="4" s="1"/>
  <c r="X8" i="4"/>
  <c r="X13" i="4" s="1"/>
  <c r="W8" i="4"/>
  <c r="W13" i="4" s="1"/>
  <c r="V8" i="4"/>
  <c r="V13" i="4" s="1"/>
  <c r="U8" i="4"/>
  <c r="U13" i="4" s="1"/>
  <c r="T8" i="4"/>
  <c r="T13" i="4" s="1"/>
  <c r="S8" i="4"/>
  <c r="S13" i="4" s="1"/>
  <c r="R8" i="4"/>
  <c r="R13" i="4" s="1"/>
  <c r="Q8" i="4"/>
  <c r="Q13" i="4" s="1"/>
  <c r="P8" i="4"/>
  <c r="P13" i="4" s="1"/>
  <c r="O8" i="4"/>
  <c r="O13" i="4" s="1"/>
  <c r="N8" i="4"/>
  <c r="N13" i="4" s="1"/>
  <c r="M8" i="4"/>
  <c r="M13" i="4" s="1"/>
  <c r="L8" i="4"/>
  <c r="L13" i="4" s="1"/>
  <c r="K8" i="4"/>
  <c r="K13" i="4" s="1"/>
  <c r="J8" i="4"/>
  <c r="J13" i="4" s="1"/>
  <c r="I8" i="4"/>
  <c r="I13" i="4" s="1"/>
  <c r="H8" i="4"/>
  <c r="H13" i="4" s="1"/>
  <c r="G8" i="4"/>
  <c r="G13" i="4" s="1"/>
  <c r="F8" i="4"/>
  <c r="F13" i="4" s="1"/>
  <c r="E8" i="4"/>
  <c r="E13" i="4" s="1"/>
  <c r="D8" i="4"/>
  <c r="D13" i="4" s="1"/>
  <c r="C8" i="4"/>
  <c r="C13" i="4" s="1"/>
  <c r="I6" i="4"/>
  <c r="F6" i="4"/>
  <c r="B6" i="4"/>
  <c r="K5" i="4"/>
  <c r="J5" i="4"/>
  <c r="I5" i="4"/>
  <c r="H5" i="4"/>
  <c r="F5" i="4"/>
  <c r="B5" i="4"/>
  <c r="K4" i="4"/>
  <c r="J4" i="4"/>
  <c r="I4" i="4"/>
  <c r="H4" i="4"/>
  <c r="F4" i="4"/>
  <c r="B4" i="4"/>
  <c r="K3" i="4"/>
  <c r="J3" i="4"/>
  <c r="I3" i="4"/>
  <c r="H3" i="4"/>
  <c r="F3" i="4"/>
  <c r="B3" i="4"/>
  <c r="K2" i="4"/>
  <c r="J2" i="4"/>
  <c r="I2" i="4"/>
  <c r="H2" i="4"/>
  <c r="F2" i="4"/>
  <c r="B2" i="4"/>
  <c r="BZ58" i="3"/>
  <c r="B58" i="3"/>
  <c r="A58" i="3"/>
  <c r="BZ57" i="3"/>
  <c r="B57" i="3"/>
  <c r="A57" i="3"/>
  <c r="BZ56" i="3"/>
  <c r="B56" i="3"/>
  <c r="A56" i="3"/>
  <c r="BZ55" i="3"/>
  <c r="B55" i="3"/>
  <c r="A55" i="3"/>
  <c r="BZ54" i="3"/>
  <c r="B54" i="3"/>
  <c r="A54" i="3"/>
  <c r="BZ53" i="3"/>
  <c r="B53" i="3"/>
  <c r="A53" i="3"/>
  <c r="BZ52" i="3"/>
  <c r="B52" i="3"/>
  <c r="A52" i="3"/>
  <c r="BZ51" i="3"/>
  <c r="B51" i="3"/>
  <c r="A51" i="3"/>
  <c r="BZ50" i="3"/>
  <c r="B50" i="3"/>
  <c r="A50" i="3"/>
  <c r="BZ49" i="3"/>
  <c r="B49" i="3"/>
  <c r="A49" i="3"/>
  <c r="BZ48" i="3"/>
  <c r="B48" i="3"/>
  <c r="A48" i="3"/>
  <c r="BZ47" i="3"/>
  <c r="B47" i="3"/>
  <c r="A47" i="3"/>
  <c r="BZ46" i="3"/>
  <c r="B46" i="3"/>
  <c r="BZ45" i="3"/>
  <c r="B45" i="3"/>
  <c r="BZ44" i="3"/>
  <c r="B44" i="3"/>
  <c r="BZ43" i="3"/>
  <c r="B43" i="3"/>
  <c r="BZ42" i="3"/>
  <c r="B42" i="3"/>
  <c r="BZ41" i="3"/>
  <c r="B41" i="3"/>
  <c r="BZ40" i="3"/>
  <c r="B40" i="3"/>
  <c r="A40" i="3"/>
  <c r="A45" i="3" s="1"/>
  <c r="BZ39" i="3"/>
  <c r="B39" i="3"/>
  <c r="A39" i="3"/>
  <c r="A44" i="3" s="1"/>
  <c r="BZ38" i="3"/>
  <c r="B38" i="3"/>
  <c r="A38" i="3"/>
  <c r="A43" i="3" s="1"/>
  <c r="BZ37" i="3"/>
  <c r="B37" i="3"/>
  <c r="A37" i="3"/>
  <c r="A42" i="3" s="1"/>
  <c r="BZ36" i="3"/>
  <c r="B36" i="3"/>
  <c r="BZ35" i="3"/>
  <c r="B35" i="3"/>
  <c r="A35" i="3"/>
  <c r="BZ34" i="3"/>
  <c r="B34" i="3"/>
  <c r="A34" i="3"/>
  <c r="BZ33" i="3"/>
  <c r="B33" i="3"/>
  <c r="A33" i="3"/>
  <c r="BZ32" i="3"/>
  <c r="B32" i="3"/>
  <c r="A32" i="3"/>
  <c r="B31" i="3"/>
  <c r="B30" i="3"/>
  <c r="B29" i="3"/>
  <c r="B28" i="3"/>
  <c r="B27" i="3"/>
  <c r="B26" i="3"/>
  <c r="B25" i="3"/>
  <c r="B24" i="3"/>
  <c r="B23" i="3"/>
  <c r="B22" i="3"/>
  <c r="B19" i="3"/>
  <c r="B18" i="3"/>
  <c r="BY12" i="3"/>
  <c r="BX12" i="3"/>
  <c r="BW12" i="3"/>
  <c r="BV12" i="3"/>
  <c r="BU12" i="3"/>
  <c r="BT12" i="3"/>
  <c r="BS12" i="3"/>
  <c r="BR12" i="3"/>
  <c r="BQ12" i="3"/>
  <c r="BP12" i="3"/>
  <c r="BO12" i="3"/>
  <c r="BN12" i="3"/>
  <c r="BM12" i="3"/>
  <c r="BL12" i="3"/>
  <c r="BK12" i="3"/>
  <c r="BJ12" i="3"/>
  <c r="BI12" i="3"/>
  <c r="BH12" i="3"/>
  <c r="BG12" i="3"/>
  <c r="BF12" i="3"/>
  <c r="BE12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Y11" i="3"/>
  <c r="BY15" i="3" s="1"/>
  <c r="BX11" i="3"/>
  <c r="BX15" i="3" s="1"/>
  <c r="BW11" i="3"/>
  <c r="BW15" i="3" s="1"/>
  <c r="BV11" i="3"/>
  <c r="BV15" i="3" s="1"/>
  <c r="BU11" i="3"/>
  <c r="BU15" i="3" s="1"/>
  <c r="BT11" i="3"/>
  <c r="BT15" i="3" s="1"/>
  <c r="BS11" i="3"/>
  <c r="BS15" i="3" s="1"/>
  <c r="BR11" i="3"/>
  <c r="BR15" i="3" s="1"/>
  <c r="BQ11" i="3"/>
  <c r="BQ15" i="3" s="1"/>
  <c r="BP11" i="3"/>
  <c r="BP15" i="3" s="1"/>
  <c r="BO11" i="3"/>
  <c r="BO15" i="3" s="1"/>
  <c r="BN11" i="3"/>
  <c r="BN15" i="3" s="1"/>
  <c r="BM11" i="3"/>
  <c r="BM15" i="3" s="1"/>
  <c r="BL11" i="3"/>
  <c r="BL15" i="3" s="1"/>
  <c r="BK11" i="3"/>
  <c r="BK15" i="3" s="1"/>
  <c r="BJ11" i="3"/>
  <c r="BJ15" i="3" s="1"/>
  <c r="BI11" i="3"/>
  <c r="BI15" i="3" s="1"/>
  <c r="BH11" i="3"/>
  <c r="BH15" i="3" s="1"/>
  <c r="BG11" i="3"/>
  <c r="BG15" i="3" s="1"/>
  <c r="BF11" i="3"/>
  <c r="BF15" i="3" s="1"/>
  <c r="BE11" i="3"/>
  <c r="BE15" i="3" s="1"/>
  <c r="BD11" i="3"/>
  <c r="BD15" i="3" s="1"/>
  <c r="BC11" i="3"/>
  <c r="BC15" i="3" s="1"/>
  <c r="BB11" i="3"/>
  <c r="BB15" i="3" s="1"/>
  <c r="BA11" i="3"/>
  <c r="BA15" i="3" s="1"/>
  <c r="AZ11" i="3"/>
  <c r="AZ15" i="3" s="1"/>
  <c r="AY11" i="3"/>
  <c r="AY15" i="3" s="1"/>
  <c r="AX11" i="3"/>
  <c r="AX15" i="3" s="1"/>
  <c r="AW11" i="3"/>
  <c r="AW15" i="3" s="1"/>
  <c r="AV11" i="3"/>
  <c r="AV15" i="3" s="1"/>
  <c r="AU11" i="3"/>
  <c r="AU15" i="3" s="1"/>
  <c r="AT11" i="3"/>
  <c r="AT15" i="3" s="1"/>
  <c r="AS11" i="3"/>
  <c r="AS15" i="3" s="1"/>
  <c r="AR11" i="3"/>
  <c r="AR15" i="3" s="1"/>
  <c r="AQ11" i="3"/>
  <c r="AQ15" i="3" s="1"/>
  <c r="AP11" i="3"/>
  <c r="AP15" i="3" s="1"/>
  <c r="AO11" i="3"/>
  <c r="AO15" i="3" s="1"/>
  <c r="AN11" i="3"/>
  <c r="AN15" i="3" s="1"/>
  <c r="AM11" i="3"/>
  <c r="AM15" i="3" s="1"/>
  <c r="AL11" i="3"/>
  <c r="AL15" i="3" s="1"/>
  <c r="AK11" i="3"/>
  <c r="AK15" i="3" s="1"/>
  <c r="AJ11" i="3"/>
  <c r="AJ15" i="3" s="1"/>
  <c r="AI11" i="3"/>
  <c r="AI15" i="3" s="1"/>
  <c r="AH11" i="3"/>
  <c r="AH15" i="3" s="1"/>
  <c r="AG11" i="3"/>
  <c r="AG15" i="3" s="1"/>
  <c r="AF11" i="3"/>
  <c r="AF15" i="3" s="1"/>
  <c r="AE11" i="3"/>
  <c r="AE15" i="3" s="1"/>
  <c r="AD11" i="3"/>
  <c r="AD15" i="3" s="1"/>
  <c r="AC11" i="3"/>
  <c r="AC15" i="3" s="1"/>
  <c r="AB11" i="3"/>
  <c r="AB15" i="3" s="1"/>
  <c r="AA11" i="3"/>
  <c r="AA15" i="3" s="1"/>
  <c r="Z11" i="3"/>
  <c r="Z15" i="3" s="1"/>
  <c r="Y11" i="3"/>
  <c r="Y15" i="3" s="1"/>
  <c r="X11" i="3"/>
  <c r="X15" i="3" s="1"/>
  <c r="W11" i="3"/>
  <c r="W15" i="3" s="1"/>
  <c r="V11" i="3"/>
  <c r="V15" i="3" s="1"/>
  <c r="U11" i="3"/>
  <c r="U15" i="3" s="1"/>
  <c r="T11" i="3"/>
  <c r="T15" i="3" s="1"/>
  <c r="S11" i="3"/>
  <c r="S15" i="3" s="1"/>
  <c r="R11" i="3"/>
  <c r="R15" i="3" s="1"/>
  <c r="Q11" i="3"/>
  <c r="Q15" i="3" s="1"/>
  <c r="P11" i="3"/>
  <c r="P15" i="3" s="1"/>
  <c r="O11" i="3"/>
  <c r="O15" i="3" s="1"/>
  <c r="N11" i="3"/>
  <c r="N15" i="3" s="1"/>
  <c r="M11" i="3"/>
  <c r="M15" i="3" s="1"/>
  <c r="L11" i="3"/>
  <c r="L15" i="3" s="1"/>
  <c r="K11" i="3"/>
  <c r="K15" i="3" s="1"/>
  <c r="J11" i="3"/>
  <c r="J15" i="3" s="1"/>
  <c r="I11" i="3"/>
  <c r="I15" i="3" s="1"/>
  <c r="H11" i="3"/>
  <c r="H15" i="3" s="1"/>
  <c r="G11" i="3"/>
  <c r="G15" i="3" s="1"/>
  <c r="F11" i="3"/>
  <c r="F15" i="3" s="1"/>
  <c r="E11" i="3"/>
  <c r="E15" i="3" s="1"/>
  <c r="D11" i="3"/>
  <c r="D15" i="3" s="1"/>
  <c r="C11" i="3"/>
  <c r="C15" i="3" s="1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Y9" i="3"/>
  <c r="BY14" i="3" s="1"/>
  <c r="BX9" i="3"/>
  <c r="BX14" i="3" s="1"/>
  <c r="BW9" i="3"/>
  <c r="BW14" i="3" s="1"/>
  <c r="BV9" i="3"/>
  <c r="BV14" i="3" s="1"/>
  <c r="BU9" i="3"/>
  <c r="BU14" i="3" s="1"/>
  <c r="BT9" i="3"/>
  <c r="BT14" i="3" s="1"/>
  <c r="BS9" i="3"/>
  <c r="BS14" i="3" s="1"/>
  <c r="BR9" i="3"/>
  <c r="BR14" i="3" s="1"/>
  <c r="BQ9" i="3"/>
  <c r="BQ14" i="3" s="1"/>
  <c r="BP9" i="3"/>
  <c r="BP14" i="3" s="1"/>
  <c r="BO9" i="3"/>
  <c r="BO14" i="3" s="1"/>
  <c r="BN9" i="3"/>
  <c r="BN14" i="3" s="1"/>
  <c r="BM9" i="3"/>
  <c r="BM14" i="3" s="1"/>
  <c r="BL9" i="3"/>
  <c r="BL14" i="3" s="1"/>
  <c r="BK9" i="3"/>
  <c r="BK14" i="3" s="1"/>
  <c r="BJ9" i="3"/>
  <c r="BJ14" i="3" s="1"/>
  <c r="BI9" i="3"/>
  <c r="BI14" i="3" s="1"/>
  <c r="BH9" i="3"/>
  <c r="BH14" i="3" s="1"/>
  <c r="BG9" i="3"/>
  <c r="BG14" i="3" s="1"/>
  <c r="BF9" i="3"/>
  <c r="BF14" i="3" s="1"/>
  <c r="BE9" i="3"/>
  <c r="BE14" i="3" s="1"/>
  <c r="BD9" i="3"/>
  <c r="BD14" i="3" s="1"/>
  <c r="BC9" i="3"/>
  <c r="BC14" i="3" s="1"/>
  <c r="BB9" i="3"/>
  <c r="BB14" i="3" s="1"/>
  <c r="BA9" i="3"/>
  <c r="BA14" i="3" s="1"/>
  <c r="AZ9" i="3"/>
  <c r="AZ14" i="3" s="1"/>
  <c r="AY9" i="3"/>
  <c r="AY14" i="3" s="1"/>
  <c r="AX9" i="3"/>
  <c r="AX14" i="3" s="1"/>
  <c r="AW9" i="3"/>
  <c r="AW14" i="3" s="1"/>
  <c r="AV9" i="3"/>
  <c r="AV14" i="3" s="1"/>
  <c r="AU9" i="3"/>
  <c r="AU14" i="3" s="1"/>
  <c r="AT9" i="3"/>
  <c r="AT14" i="3" s="1"/>
  <c r="AS9" i="3"/>
  <c r="AS14" i="3" s="1"/>
  <c r="AR9" i="3"/>
  <c r="AR14" i="3" s="1"/>
  <c r="AQ9" i="3"/>
  <c r="AQ14" i="3" s="1"/>
  <c r="AP9" i="3"/>
  <c r="AP14" i="3" s="1"/>
  <c r="AO9" i="3"/>
  <c r="AO14" i="3" s="1"/>
  <c r="AN9" i="3"/>
  <c r="AN14" i="3" s="1"/>
  <c r="AM9" i="3"/>
  <c r="AM14" i="3" s="1"/>
  <c r="AL9" i="3"/>
  <c r="AL14" i="3" s="1"/>
  <c r="AK9" i="3"/>
  <c r="AK14" i="3" s="1"/>
  <c r="AJ9" i="3"/>
  <c r="AJ14" i="3" s="1"/>
  <c r="AI9" i="3"/>
  <c r="AI14" i="3" s="1"/>
  <c r="AH9" i="3"/>
  <c r="AH14" i="3" s="1"/>
  <c r="AG9" i="3"/>
  <c r="AG14" i="3" s="1"/>
  <c r="AF9" i="3"/>
  <c r="AF14" i="3" s="1"/>
  <c r="AE9" i="3"/>
  <c r="AE14" i="3" s="1"/>
  <c r="AD9" i="3"/>
  <c r="AD14" i="3" s="1"/>
  <c r="AC9" i="3"/>
  <c r="AC14" i="3" s="1"/>
  <c r="AB9" i="3"/>
  <c r="AB14" i="3" s="1"/>
  <c r="AA9" i="3"/>
  <c r="AA14" i="3" s="1"/>
  <c r="Z9" i="3"/>
  <c r="Z14" i="3" s="1"/>
  <c r="Y9" i="3"/>
  <c r="Y14" i="3" s="1"/>
  <c r="X9" i="3"/>
  <c r="X14" i="3" s="1"/>
  <c r="W9" i="3"/>
  <c r="W14" i="3" s="1"/>
  <c r="V9" i="3"/>
  <c r="V14" i="3" s="1"/>
  <c r="U9" i="3"/>
  <c r="U14" i="3" s="1"/>
  <c r="T9" i="3"/>
  <c r="T14" i="3" s="1"/>
  <c r="S9" i="3"/>
  <c r="S14" i="3" s="1"/>
  <c r="R9" i="3"/>
  <c r="R14" i="3" s="1"/>
  <c r="Q9" i="3"/>
  <c r="Q14" i="3" s="1"/>
  <c r="P9" i="3"/>
  <c r="P14" i="3" s="1"/>
  <c r="O9" i="3"/>
  <c r="O14" i="3" s="1"/>
  <c r="N9" i="3"/>
  <c r="N14" i="3" s="1"/>
  <c r="M9" i="3"/>
  <c r="M14" i="3" s="1"/>
  <c r="L9" i="3"/>
  <c r="L14" i="3" s="1"/>
  <c r="K9" i="3"/>
  <c r="K14" i="3" s="1"/>
  <c r="J9" i="3"/>
  <c r="J14" i="3" s="1"/>
  <c r="I9" i="3"/>
  <c r="I14" i="3" s="1"/>
  <c r="H9" i="3"/>
  <c r="H14" i="3" s="1"/>
  <c r="G9" i="3"/>
  <c r="G14" i="3" s="1"/>
  <c r="F9" i="3"/>
  <c r="F14" i="3" s="1"/>
  <c r="E9" i="3"/>
  <c r="E14" i="3" s="1"/>
  <c r="D9" i="3"/>
  <c r="D14" i="3" s="1"/>
  <c r="C9" i="3"/>
  <c r="C14" i="3" s="1"/>
  <c r="BY8" i="3"/>
  <c r="BY13" i="3" s="1"/>
  <c r="BX8" i="3"/>
  <c r="BX13" i="3" s="1"/>
  <c r="BW8" i="3"/>
  <c r="BW13" i="3" s="1"/>
  <c r="BV8" i="3"/>
  <c r="BV13" i="3" s="1"/>
  <c r="BU8" i="3"/>
  <c r="BU13" i="3" s="1"/>
  <c r="BT8" i="3"/>
  <c r="BT13" i="3" s="1"/>
  <c r="BS8" i="3"/>
  <c r="BS13" i="3" s="1"/>
  <c r="BR8" i="3"/>
  <c r="BR13" i="3" s="1"/>
  <c r="BQ8" i="3"/>
  <c r="BQ13" i="3" s="1"/>
  <c r="BP8" i="3"/>
  <c r="BP13" i="3" s="1"/>
  <c r="BO8" i="3"/>
  <c r="BO13" i="3" s="1"/>
  <c r="BN8" i="3"/>
  <c r="BN13" i="3" s="1"/>
  <c r="BM8" i="3"/>
  <c r="BM13" i="3" s="1"/>
  <c r="BL8" i="3"/>
  <c r="BL13" i="3" s="1"/>
  <c r="BK8" i="3"/>
  <c r="BK13" i="3" s="1"/>
  <c r="BJ8" i="3"/>
  <c r="BJ13" i="3" s="1"/>
  <c r="BI8" i="3"/>
  <c r="BI13" i="3" s="1"/>
  <c r="BH8" i="3"/>
  <c r="BH13" i="3" s="1"/>
  <c r="BG8" i="3"/>
  <c r="BG13" i="3" s="1"/>
  <c r="BF8" i="3"/>
  <c r="BF13" i="3" s="1"/>
  <c r="BE8" i="3"/>
  <c r="BE13" i="3" s="1"/>
  <c r="BD8" i="3"/>
  <c r="BD13" i="3" s="1"/>
  <c r="BC8" i="3"/>
  <c r="BC13" i="3" s="1"/>
  <c r="BB8" i="3"/>
  <c r="BB13" i="3" s="1"/>
  <c r="BA8" i="3"/>
  <c r="BA13" i="3" s="1"/>
  <c r="AZ8" i="3"/>
  <c r="AZ13" i="3" s="1"/>
  <c r="AY8" i="3"/>
  <c r="AY13" i="3" s="1"/>
  <c r="AX8" i="3"/>
  <c r="AX13" i="3" s="1"/>
  <c r="AW8" i="3"/>
  <c r="AW13" i="3" s="1"/>
  <c r="AV8" i="3"/>
  <c r="AV13" i="3" s="1"/>
  <c r="AU8" i="3"/>
  <c r="AU13" i="3" s="1"/>
  <c r="AT8" i="3"/>
  <c r="AT13" i="3" s="1"/>
  <c r="AS8" i="3"/>
  <c r="AS13" i="3" s="1"/>
  <c r="AR8" i="3"/>
  <c r="AR13" i="3" s="1"/>
  <c r="AQ8" i="3"/>
  <c r="AQ13" i="3" s="1"/>
  <c r="AP8" i="3"/>
  <c r="AP13" i="3" s="1"/>
  <c r="AO8" i="3"/>
  <c r="AO13" i="3" s="1"/>
  <c r="AN8" i="3"/>
  <c r="AN13" i="3" s="1"/>
  <c r="AM8" i="3"/>
  <c r="AM13" i="3" s="1"/>
  <c r="AL8" i="3"/>
  <c r="AL13" i="3" s="1"/>
  <c r="AK8" i="3"/>
  <c r="AK13" i="3" s="1"/>
  <c r="AJ8" i="3"/>
  <c r="AJ13" i="3" s="1"/>
  <c r="AI8" i="3"/>
  <c r="AI13" i="3" s="1"/>
  <c r="AH8" i="3"/>
  <c r="AH13" i="3" s="1"/>
  <c r="AG8" i="3"/>
  <c r="AG13" i="3" s="1"/>
  <c r="AF8" i="3"/>
  <c r="AF13" i="3" s="1"/>
  <c r="AE8" i="3"/>
  <c r="AE13" i="3" s="1"/>
  <c r="AD8" i="3"/>
  <c r="AD13" i="3" s="1"/>
  <c r="AC8" i="3"/>
  <c r="AC13" i="3" s="1"/>
  <c r="AB8" i="3"/>
  <c r="AB13" i="3" s="1"/>
  <c r="AA8" i="3"/>
  <c r="AA13" i="3" s="1"/>
  <c r="Z8" i="3"/>
  <c r="Z13" i="3" s="1"/>
  <c r="Y8" i="3"/>
  <c r="Y13" i="3" s="1"/>
  <c r="X8" i="3"/>
  <c r="X13" i="3" s="1"/>
  <c r="W8" i="3"/>
  <c r="W13" i="3" s="1"/>
  <c r="V8" i="3"/>
  <c r="V13" i="3" s="1"/>
  <c r="U8" i="3"/>
  <c r="U13" i="3" s="1"/>
  <c r="T8" i="3"/>
  <c r="T13" i="3" s="1"/>
  <c r="S8" i="3"/>
  <c r="S13" i="3" s="1"/>
  <c r="R8" i="3"/>
  <c r="R13" i="3" s="1"/>
  <c r="Q8" i="3"/>
  <c r="Q13" i="3" s="1"/>
  <c r="P8" i="3"/>
  <c r="P13" i="3" s="1"/>
  <c r="O8" i="3"/>
  <c r="O13" i="3" s="1"/>
  <c r="N8" i="3"/>
  <c r="N13" i="3" s="1"/>
  <c r="M8" i="3"/>
  <c r="M13" i="3" s="1"/>
  <c r="L8" i="3"/>
  <c r="L13" i="3" s="1"/>
  <c r="K8" i="3"/>
  <c r="K13" i="3" s="1"/>
  <c r="J8" i="3"/>
  <c r="J13" i="3" s="1"/>
  <c r="I8" i="3"/>
  <c r="I13" i="3" s="1"/>
  <c r="H8" i="3"/>
  <c r="H13" i="3" s="1"/>
  <c r="G8" i="3"/>
  <c r="G13" i="3" s="1"/>
  <c r="F8" i="3"/>
  <c r="F13" i="3" s="1"/>
  <c r="E8" i="3"/>
  <c r="E13" i="3" s="1"/>
  <c r="D8" i="3"/>
  <c r="D13" i="3" s="1"/>
  <c r="C8" i="3"/>
  <c r="C13" i="3" s="1"/>
  <c r="I6" i="3"/>
  <c r="F6" i="3"/>
  <c r="B6" i="3"/>
  <c r="K5" i="3"/>
  <c r="J5" i="3"/>
  <c r="I5" i="3"/>
  <c r="H5" i="3"/>
  <c r="F5" i="3"/>
  <c r="B5" i="3"/>
  <c r="K4" i="3"/>
  <c r="J4" i="3"/>
  <c r="I4" i="3"/>
  <c r="H4" i="3"/>
  <c r="F4" i="3"/>
  <c r="B4" i="3"/>
  <c r="K3" i="3"/>
  <c r="J3" i="3"/>
  <c r="I3" i="3"/>
  <c r="H3" i="3"/>
  <c r="F3" i="3"/>
  <c r="B3" i="3"/>
  <c r="K2" i="3"/>
  <c r="J2" i="3"/>
  <c r="I2" i="3"/>
  <c r="H2" i="3"/>
  <c r="F2" i="3"/>
  <c r="B2" i="3"/>
  <c r="BZ58" i="2"/>
  <c r="B58" i="2"/>
  <c r="A58" i="2"/>
  <c r="BZ57" i="2"/>
  <c r="B57" i="2"/>
  <c r="A57" i="2"/>
  <c r="BZ56" i="2"/>
  <c r="B56" i="2"/>
  <c r="A56" i="2"/>
  <c r="BZ55" i="2"/>
  <c r="B55" i="2"/>
  <c r="A55" i="2"/>
  <c r="BZ54" i="2"/>
  <c r="B54" i="2"/>
  <c r="A54" i="2"/>
  <c r="BZ53" i="2"/>
  <c r="B53" i="2"/>
  <c r="A53" i="2"/>
  <c r="BZ52" i="2"/>
  <c r="B52" i="2"/>
  <c r="A52" i="2"/>
  <c r="BZ51" i="2"/>
  <c r="B51" i="2"/>
  <c r="A51" i="2"/>
  <c r="BZ50" i="2"/>
  <c r="B50" i="2"/>
  <c r="A50" i="2"/>
  <c r="BZ49" i="2"/>
  <c r="B49" i="2"/>
  <c r="A49" i="2"/>
  <c r="BZ48" i="2"/>
  <c r="B48" i="2"/>
  <c r="A48" i="2"/>
  <c r="BZ47" i="2"/>
  <c r="B47" i="2"/>
  <c r="A47" i="2"/>
  <c r="BZ46" i="2"/>
  <c r="B46" i="2"/>
  <c r="BZ45" i="2"/>
  <c r="B45" i="2"/>
  <c r="BZ44" i="2"/>
  <c r="B44" i="2"/>
  <c r="BZ43" i="2"/>
  <c r="B43" i="2"/>
  <c r="BZ42" i="2"/>
  <c r="B42" i="2"/>
  <c r="BZ41" i="2"/>
  <c r="B41" i="2"/>
  <c r="BZ40" i="2"/>
  <c r="B40" i="2"/>
  <c r="A40" i="2"/>
  <c r="A45" i="2" s="1"/>
  <c r="BZ39" i="2"/>
  <c r="B39" i="2"/>
  <c r="A39" i="2"/>
  <c r="A44" i="2" s="1"/>
  <c r="BZ38" i="2"/>
  <c r="B38" i="2"/>
  <c r="A38" i="2"/>
  <c r="A43" i="2" s="1"/>
  <c r="BZ37" i="2"/>
  <c r="B37" i="2"/>
  <c r="A37" i="2"/>
  <c r="A42" i="2" s="1"/>
  <c r="BZ36" i="2"/>
  <c r="B36" i="2"/>
  <c r="BZ35" i="2"/>
  <c r="B35" i="2"/>
  <c r="A35" i="2"/>
  <c r="BZ34" i="2"/>
  <c r="B34" i="2"/>
  <c r="A34" i="2"/>
  <c r="BZ33" i="2"/>
  <c r="B33" i="2"/>
  <c r="A33" i="2"/>
  <c r="BZ32" i="2"/>
  <c r="B32" i="2"/>
  <c r="A32" i="2"/>
  <c r="B31" i="2"/>
  <c r="B30" i="2"/>
  <c r="B29" i="2"/>
  <c r="B28" i="2"/>
  <c r="B27" i="2"/>
  <c r="B26" i="2"/>
  <c r="B25" i="2"/>
  <c r="B24" i="2"/>
  <c r="B23" i="2"/>
  <c r="B22" i="2"/>
  <c r="B19" i="2"/>
  <c r="B18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Y11" i="2"/>
  <c r="BY15" i="2" s="1"/>
  <c r="BX11" i="2"/>
  <c r="BX15" i="2" s="1"/>
  <c r="BW11" i="2"/>
  <c r="BW15" i="2" s="1"/>
  <c r="BV11" i="2"/>
  <c r="BV15" i="2" s="1"/>
  <c r="BU11" i="2"/>
  <c r="BU15" i="2" s="1"/>
  <c r="BT11" i="2"/>
  <c r="BT15" i="2" s="1"/>
  <c r="BS11" i="2"/>
  <c r="BS15" i="2" s="1"/>
  <c r="BR11" i="2"/>
  <c r="BR15" i="2" s="1"/>
  <c r="BQ11" i="2"/>
  <c r="BQ15" i="2" s="1"/>
  <c r="BP11" i="2"/>
  <c r="BP15" i="2" s="1"/>
  <c r="BO11" i="2"/>
  <c r="BO15" i="2" s="1"/>
  <c r="BN11" i="2"/>
  <c r="BN15" i="2" s="1"/>
  <c r="BM11" i="2"/>
  <c r="BM15" i="2" s="1"/>
  <c r="BL11" i="2"/>
  <c r="BL15" i="2" s="1"/>
  <c r="BK11" i="2"/>
  <c r="BK15" i="2" s="1"/>
  <c r="BJ11" i="2"/>
  <c r="BJ15" i="2" s="1"/>
  <c r="BI11" i="2"/>
  <c r="BI15" i="2" s="1"/>
  <c r="BH11" i="2"/>
  <c r="BH15" i="2" s="1"/>
  <c r="BG11" i="2"/>
  <c r="BG15" i="2" s="1"/>
  <c r="BF11" i="2"/>
  <c r="BF15" i="2" s="1"/>
  <c r="BE11" i="2"/>
  <c r="BE15" i="2" s="1"/>
  <c r="BD11" i="2"/>
  <c r="BD15" i="2" s="1"/>
  <c r="BC11" i="2"/>
  <c r="BC15" i="2" s="1"/>
  <c r="BB11" i="2"/>
  <c r="BB15" i="2" s="1"/>
  <c r="BA11" i="2"/>
  <c r="BA15" i="2" s="1"/>
  <c r="AZ11" i="2"/>
  <c r="AZ15" i="2" s="1"/>
  <c r="AY11" i="2"/>
  <c r="AY15" i="2" s="1"/>
  <c r="AX11" i="2"/>
  <c r="AX15" i="2" s="1"/>
  <c r="AW11" i="2"/>
  <c r="AW15" i="2" s="1"/>
  <c r="AV11" i="2"/>
  <c r="AV15" i="2" s="1"/>
  <c r="AU11" i="2"/>
  <c r="AU15" i="2" s="1"/>
  <c r="AT11" i="2"/>
  <c r="AT15" i="2" s="1"/>
  <c r="AS11" i="2"/>
  <c r="AS15" i="2" s="1"/>
  <c r="AR11" i="2"/>
  <c r="AR15" i="2" s="1"/>
  <c r="AQ11" i="2"/>
  <c r="AQ15" i="2" s="1"/>
  <c r="AP11" i="2"/>
  <c r="AP15" i="2" s="1"/>
  <c r="AO11" i="2"/>
  <c r="AO15" i="2" s="1"/>
  <c r="AN11" i="2"/>
  <c r="AN15" i="2" s="1"/>
  <c r="AM11" i="2"/>
  <c r="AM15" i="2" s="1"/>
  <c r="AL11" i="2"/>
  <c r="AL15" i="2" s="1"/>
  <c r="AK11" i="2"/>
  <c r="AK15" i="2" s="1"/>
  <c r="AJ11" i="2"/>
  <c r="AJ15" i="2" s="1"/>
  <c r="AI11" i="2"/>
  <c r="AI15" i="2" s="1"/>
  <c r="AH11" i="2"/>
  <c r="AH15" i="2" s="1"/>
  <c r="AG11" i="2"/>
  <c r="AG15" i="2" s="1"/>
  <c r="AF11" i="2"/>
  <c r="AF15" i="2" s="1"/>
  <c r="AE11" i="2"/>
  <c r="AE15" i="2" s="1"/>
  <c r="AD11" i="2"/>
  <c r="AD15" i="2" s="1"/>
  <c r="AC11" i="2"/>
  <c r="AC15" i="2" s="1"/>
  <c r="AB11" i="2"/>
  <c r="AB15" i="2" s="1"/>
  <c r="AA11" i="2"/>
  <c r="AA15" i="2" s="1"/>
  <c r="Z11" i="2"/>
  <c r="Z15" i="2" s="1"/>
  <c r="Y11" i="2"/>
  <c r="Y15" i="2" s="1"/>
  <c r="X11" i="2"/>
  <c r="X15" i="2" s="1"/>
  <c r="W11" i="2"/>
  <c r="W15" i="2" s="1"/>
  <c r="V11" i="2"/>
  <c r="V15" i="2" s="1"/>
  <c r="U11" i="2"/>
  <c r="U15" i="2" s="1"/>
  <c r="T11" i="2"/>
  <c r="T15" i="2" s="1"/>
  <c r="S11" i="2"/>
  <c r="S15" i="2" s="1"/>
  <c r="R11" i="2"/>
  <c r="R15" i="2" s="1"/>
  <c r="Q11" i="2"/>
  <c r="Q15" i="2" s="1"/>
  <c r="P11" i="2"/>
  <c r="P15" i="2" s="1"/>
  <c r="O11" i="2"/>
  <c r="O15" i="2" s="1"/>
  <c r="N11" i="2"/>
  <c r="N15" i="2" s="1"/>
  <c r="M11" i="2"/>
  <c r="M15" i="2" s="1"/>
  <c r="L11" i="2"/>
  <c r="L15" i="2" s="1"/>
  <c r="K11" i="2"/>
  <c r="K15" i="2" s="1"/>
  <c r="J11" i="2"/>
  <c r="J15" i="2" s="1"/>
  <c r="I11" i="2"/>
  <c r="I15" i="2" s="1"/>
  <c r="H11" i="2"/>
  <c r="H15" i="2" s="1"/>
  <c r="G11" i="2"/>
  <c r="G15" i="2" s="1"/>
  <c r="F11" i="2"/>
  <c r="F15" i="2" s="1"/>
  <c r="E11" i="2"/>
  <c r="E15" i="2" s="1"/>
  <c r="D11" i="2"/>
  <c r="D15" i="2" s="1"/>
  <c r="C11" i="2"/>
  <c r="C15" i="2" s="1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Y9" i="2"/>
  <c r="BY14" i="2" s="1"/>
  <c r="BX9" i="2"/>
  <c r="BX14" i="2" s="1"/>
  <c r="BW9" i="2"/>
  <c r="BW14" i="2" s="1"/>
  <c r="BV9" i="2"/>
  <c r="BV14" i="2" s="1"/>
  <c r="BU9" i="2"/>
  <c r="BU14" i="2" s="1"/>
  <c r="BT9" i="2"/>
  <c r="BT14" i="2" s="1"/>
  <c r="BS9" i="2"/>
  <c r="BS14" i="2" s="1"/>
  <c r="BR9" i="2"/>
  <c r="BR14" i="2" s="1"/>
  <c r="BQ9" i="2"/>
  <c r="BQ14" i="2" s="1"/>
  <c r="BP9" i="2"/>
  <c r="BP14" i="2" s="1"/>
  <c r="BO9" i="2"/>
  <c r="BO14" i="2" s="1"/>
  <c r="BN9" i="2"/>
  <c r="BN14" i="2" s="1"/>
  <c r="BM9" i="2"/>
  <c r="BM14" i="2" s="1"/>
  <c r="BL9" i="2"/>
  <c r="BL14" i="2" s="1"/>
  <c r="BK9" i="2"/>
  <c r="BK14" i="2" s="1"/>
  <c r="BJ9" i="2"/>
  <c r="BJ14" i="2" s="1"/>
  <c r="BI9" i="2"/>
  <c r="BI14" i="2" s="1"/>
  <c r="BH9" i="2"/>
  <c r="BH14" i="2" s="1"/>
  <c r="BG9" i="2"/>
  <c r="BG14" i="2" s="1"/>
  <c r="BF9" i="2"/>
  <c r="BF14" i="2" s="1"/>
  <c r="BE9" i="2"/>
  <c r="BE14" i="2" s="1"/>
  <c r="BD9" i="2"/>
  <c r="BD14" i="2" s="1"/>
  <c r="BC9" i="2"/>
  <c r="BC14" i="2" s="1"/>
  <c r="BB9" i="2"/>
  <c r="BB14" i="2" s="1"/>
  <c r="BA9" i="2"/>
  <c r="BA14" i="2" s="1"/>
  <c r="AZ9" i="2"/>
  <c r="AZ14" i="2" s="1"/>
  <c r="AY9" i="2"/>
  <c r="AY14" i="2" s="1"/>
  <c r="AX9" i="2"/>
  <c r="AX14" i="2" s="1"/>
  <c r="AW9" i="2"/>
  <c r="AW14" i="2" s="1"/>
  <c r="AV9" i="2"/>
  <c r="AV14" i="2" s="1"/>
  <c r="AU9" i="2"/>
  <c r="AU14" i="2" s="1"/>
  <c r="AT9" i="2"/>
  <c r="AT14" i="2" s="1"/>
  <c r="AS9" i="2"/>
  <c r="AS14" i="2" s="1"/>
  <c r="AR9" i="2"/>
  <c r="AR14" i="2" s="1"/>
  <c r="AQ9" i="2"/>
  <c r="AQ14" i="2" s="1"/>
  <c r="AP9" i="2"/>
  <c r="AP14" i="2" s="1"/>
  <c r="AO9" i="2"/>
  <c r="AO14" i="2" s="1"/>
  <c r="AN9" i="2"/>
  <c r="AN14" i="2" s="1"/>
  <c r="AM9" i="2"/>
  <c r="AM14" i="2" s="1"/>
  <c r="AL9" i="2"/>
  <c r="AL14" i="2" s="1"/>
  <c r="AK9" i="2"/>
  <c r="AK14" i="2" s="1"/>
  <c r="AJ9" i="2"/>
  <c r="AJ14" i="2" s="1"/>
  <c r="AI9" i="2"/>
  <c r="AI14" i="2" s="1"/>
  <c r="AH9" i="2"/>
  <c r="AH14" i="2" s="1"/>
  <c r="AG9" i="2"/>
  <c r="AG14" i="2" s="1"/>
  <c r="AF9" i="2"/>
  <c r="AF14" i="2" s="1"/>
  <c r="AE9" i="2"/>
  <c r="AE14" i="2" s="1"/>
  <c r="AD9" i="2"/>
  <c r="AD14" i="2" s="1"/>
  <c r="AC9" i="2"/>
  <c r="AC14" i="2" s="1"/>
  <c r="AB9" i="2"/>
  <c r="AB14" i="2" s="1"/>
  <c r="AA9" i="2"/>
  <c r="AA14" i="2" s="1"/>
  <c r="Z9" i="2"/>
  <c r="Z14" i="2" s="1"/>
  <c r="Y9" i="2"/>
  <c r="Y14" i="2" s="1"/>
  <c r="X9" i="2"/>
  <c r="X14" i="2" s="1"/>
  <c r="W9" i="2"/>
  <c r="W14" i="2" s="1"/>
  <c r="V9" i="2"/>
  <c r="V14" i="2" s="1"/>
  <c r="U9" i="2"/>
  <c r="U14" i="2" s="1"/>
  <c r="T9" i="2"/>
  <c r="T14" i="2" s="1"/>
  <c r="S9" i="2"/>
  <c r="S14" i="2" s="1"/>
  <c r="R9" i="2"/>
  <c r="R14" i="2" s="1"/>
  <c r="Q9" i="2"/>
  <c r="Q14" i="2" s="1"/>
  <c r="P9" i="2"/>
  <c r="P14" i="2" s="1"/>
  <c r="O9" i="2"/>
  <c r="O14" i="2" s="1"/>
  <c r="N9" i="2"/>
  <c r="N14" i="2" s="1"/>
  <c r="M9" i="2"/>
  <c r="M14" i="2" s="1"/>
  <c r="L9" i="2"/>
  <c r="L14" i="2" s="1"/>
  <c r="K9" i="2"/>
  <c r="K14" i="2" s="1"/>
  <c r="J9" i="2"/>
  <c r="J14" i="2" s="1"/>
  <c r="I9" i="2"/>
  <c r="I14" i="2" s="1"/>
  <c r="H9" i="2"/>
  <c r="H14" i="2" s="1"/>
  <c r="G9" i="2"/>
  <c r="G14" i="2" s="1"/>
  <c r="F9" i="2"/>
  <c r="F14" i="2" s="1"/>
  <c r="E9" i="2"/>
  <c r="E14" i="2" s="1"/>
  <c r="D9" i="2"/>
  <c r="D14" i="2" s="1"/>
  <c r="C9" i="2"/>
  <c r="C14" i="2" s="1"/>
  <c r="BY8" i="2"/>
  <c r="BY13" i="2" s="1"/>
  <c r="BX8" i="2"/>
  <c r="BX13" i="2" s="1"/>
  <c r="BW8" i="2"/>
  <c r="BW13" i="2" s="1"/>
  <c r="BV8" i="2"/>
  <c r="BV13" i="2" s="1"/>
  <c r="BU8" i="2"/>
  <c r="BU13" i="2" s="1"/>
  <c r="BT8" i="2"/>
  <c r="BT13" i="2" s="1"/>
  <c r="BS8" i="2"/>
  <c r="BS13" i="2" s="1"/>
  <c r="BR8" i="2"/>
  <c r="BR13" i="2" s="1"/>
  <c r="BQ8" i="2"/>
  <c r="BQ13" i="2" s="1"/>
  <c r="BP8" i="2"/>
  <c r="BP13" i="2" s="1"/>
  <c r="BO8" i="2"/>
  <c r="BO13" i="2" s="1"/>
  <c r="BN8" i="2"/>
  <c r="BN13" i="2" s="1"/>
  <c r="BM8" i="2"/>
  <c r="BM13" i="2" s="1"/>
  <c r="BL8" i="2"/>
  <c r="BL13" i="2" s="1"/>
  <c r="BK8" i="2"/>
  <c r="BK13" i="2" s="1"/>
  <c r="BJ8" i="2"/>
  <c r="BJ13" i="2" s="1"/>
  <c r="BI8" i="2"/>
  <c r="BI13" i="2" s="1"/>
  <c r="BH8" i="2"/>
  <c r="BH13" i="2" s="1"/>
  <c r="BG8" i="2"/>
  <c r="BG13" i="2" s="1"/>
  <c r="BF8" i="2"/>
  <c r="BF13" i="2" s="1"/>
  <c r="BE8" i="2"/>
  <c r="BE13" i="2" s="1"/>
  <c r="BD8" i="2"/>
  <c r="BD13" i="2" s="1"/>
  <c r="BC8" i="2"/>
  <c r="BC13" i="2" s="1"/>
  <c r="BB8" i="2"/>
  <c r="BB13" i="2" s="1"/>
  <c r="BA8" i="2"/>
  <c r="BA13" i="2" s="1"/>
  <c r="AZ8" i="2"/>
  <c r="AZ13" i="2" s="1"/>
  <c r="AY8" i="2"/>
  <c r="AY13" i="2" s="1"/>
  <c r="AX8" i="2"/>
  <c r="AX13" i="2" s="1"/>
  <c r="AW8" i="2"/>
  <c r="AW13" i="2" s="1"/>
  <c r="AV8" i="2"/>
  <c r="AV13" i="2" s="1"/>
  <c r="AU8" i="2"/>
  <c r="AU13" i="2" s="1"/>
  <c r="AT8" i="2"/>
  <c r="AT13" i="2" s="1"/>
  <c r="AS8" i="2"/>
  <c r="AS13" i="2" s="1"/>
  <c r="AR8" i="2"/>
  <c r="AR13" i="2" s="1"/>
  <c r="AQ8" i="2"/>
  <c r="AQ13" i="2" s="1"/>
  <c r="AP8" i="2"/>
  <c r="AP13" i="2" s="1"/>
  <c r="AO8" i="2"/>
  <c r="AO13" i="2" s="1"/>
  <c r="AN8" i="2"/>
  <c r="AN13" i="2" s="1"/>
  <c r="AM8" i="2"/>
  <c r="AM13" i="2" s="1"/>
  <c r="AL8" i="2"/>
  <c r="AL13" i="2" s="1"/>
  <c r="AK8" i="2"/>
  <c r="AK13" i="2" s="1"/>
  <c r="AJ8" i="2"/>
  <c r="AJ13" i="2" s="1"/>
  <c r="AI8" i="2"/>
  <c r="AI13" i="2" s="1"/>
  <c r="AH8" i="2"/>
  <c r="AH13" i="2" s="1"/>
  <c r="AG8" i="2"/>
  <c r="AG13" i="2" s="1"/>
  <c r="AF8" i="2"/>
  <c r="AF13" i="2" s="1"/>
  <c r="AE8" i="2"/>
  <c r="AE13" i="2" s="1"/>
  <c r="AD8" i="2"/>
  <c r="AD13" i="2" s="1"/>
  <c r="AC8" i="2"/>
  <c r="AC13" i="2" s="1"/>
  <c r="AB8" i="2"/>
  <c r="AB13" i="2" s="1"/>
  <c r="AA8" i="2"/>
  <c r="AA13" i="2" s="1"/>
  <c r="Z8" i="2"/>
  <c r="Z13" i="2" s="1"/>
  <c r="Y8" i="2"/>
  <c r="Y13" i="2" s="1"/>
  <c r="X8" i="2"/>
  <c r="X13" i="2" s="1"/>
  <c r="W8" i="2"/>
  <c r="W13" i="2" s="1"/>
  <c r="V8" i="2"/>
  <c r="V13" i="2" s="1"/>
  <c r="U8" i="2"/>
  <c r="U13" i="2" s="1"/>
  <c r="T8" i="2"/>
  <c r="T13" i="2" s="1"/>
  <c r="S8" i="2"/>
  <c r="S13" i="2" s="1"/>
  <c r="R8" i="2"/>
  <c r="R13" i="2" s="1"/>
  <c r="Q8" i="2"/>
  <c r="Q13" i="2" s="1"/>
  <c r="P8" i="2"/>
  <c r="P13" i="2" s="1"/>
  <c r="O8" i="2"/>
  <c r="O13" i="2" s="1"/>
  <c r="N8" i="2"/>
  <c r="N13" i="2" s="1"/>
  <c r="M8" i="2"/>
  <c r="M13" i="2" s="1"/>
  <c r="L8" i="2"/>
  <c r="L13" i="2" s="1"/>
  <c r="K8" i="2"/>
  <c r="K13" i="2" s="1"/>
  <c r="J8" i="2"/>
  <c r="J13" i="2" s="1"/>
  <c r="I8" i="2"/>
  <c r="I13" i="2" s="1"/>
  <c r="H8" i="2"/>
  <c r="H13" i="2" s="1"/>
  <c r="G8" i="2"/>
  <c r="G13" i="2" s="1"/>
  <c r="F8" i="2"/>
  <c r="F13" i="2" s="1"/>
  <c r="E8" i="2"/>
  <c r="E13" i="2" s="1"/>
  <c r="D8" i="2"/>
  <c r="D13" i="2" s="1"/>
  <c r="C8" i="2"/>
  <c r="C13" i="2" s="1"/>
  <c r="I6" i="2"/>
  <c r="F6" i="2"/>
  <c r="B6" i="2"/>
  <c r="K5" i="2"/>
  <c r="J5" i="2"/>
  <c r="I5" i="2"/>
  <c r="H5" i="2"/>
  <c r="F5" i="2"/>
  <c r="B5" i="2"/>
  <c r="K4" i="2"/>
  <c r="J4" i="2"/>
  <c r="I4" i="2"/>
  <c r="H4" i="2"/>
  <c r="F4" i="2"/>
  <c r="B4" i="2"/>
  <c r="K3" i="2"/>
  <c r="J3" i="2"/>
  <c r="I3" i="2"/>
  <c r="H3" i="2"/>
  <c r="F3" i="2"/>
  <c r="B3" i="2"/>
  <c r="K2" i="2"/>
  <c r="J2" i="2"/>
  <c r="I2" i="2"/>
  <c r="H2" i="2"/>
  <c r="F2" i="2"/>
  <c r="B2" i="2"/>
  <c r="BZ58" i="1" l="1"/>
  <c r="B58" i="1"/>
  <c r="A58" i="1"/>
  <c r="BZ57" i="1"/>
  <c r="B57" i="1"/>
  <c r="A57" i="1"/>
  <c r="BZ56" i="1"/>
  <c r="B56" i="1"/>
  <c r="A56" i="1"/>
  <c r="BZ55" i="1"/>
  <c r="B55" i="1"/>
  <c r="A55" i="1"/>
  <c r="BZ54" i="1"/>
  <c r="B54" i="1"/>
  <c r="A54" i="1"/>
  <c r="BZ53" i="1"/>
  <c r="B53" i="1"/>
  <c r="A53" i="1"/>
  <c r="BZ52" i="1"/>
  <c r="B52" i="1"/>
  <c r="A52" i="1"/>
  <c r="BZ51" i="1"/>
  <c r="B51" i="1"/>
  <c r="A51" i="1"/>
  <c r="BZ50" i="1"/>
  <c r="B50" i="1"/>
  <c r="A50" i="1"/>
  <c r="BZ49" i="1"/>
  <c r="B49" i="1"/>
  <c r="A49" i="1"/>
  <c r="BZ48" i="1"/>
  <c r="B48" i="1"/>
  <c r="A48" i="1"/>
  <c r="BZ47" i="1"/>
  <c r="B47" i="1"/>
  <c r="A47" i="1"/>
  <c r="BZ46" i="1"/>
  <c r="B46" i="1"/>
  <c r="BZ45" i="1"/>
  <c r="B45" i="1"/>
  <c r="BZ44" i="1"/>
  <c r="B44" i="1"/>
  <c r="BZ43" i="1"/>
  <c r="B43" i="1"/>
  <c r="BZ42" i="1"/>
  <c r="B42" i="1"/>
  <c r="BZ41" i="1"/>
  <c r="B41" i="1"/>
  <c r="BZ40" i="1"/>
  <c r="B40" i="1"/>
  <c r="A40" i="1"/>
  <c r="A45" i="1" s="1"/>
  <c r="BZ39" i="1"/>
  <c r="B39" i="1"/>
  <c r="A39" i="1"/>
  <c r="A44" i="1" s="1"/>
  <c r="BZ38" i="1"/>
  <c r="B38" i="1"/>
  <c r="A38" i="1"/>
  <c r="A43" i="1" s="1"/>
  <c r="BZ37" i="1"/>
  <c r="B37" i="1"/>
  <c r="A37" i="1"/>
  <c r="A42" i="1" s="1"/>
  <c r="BZ36" i="1"/>
  <c r="B36" i="1"/>
  <c r="BZ35" i="1"/>
  <c r="B35" i="1"/>
  <c r="A35" i="1"/>
  <c r="BZ34" i="1"/>
  <c r="B34" i="1"/>
  <c r="A34" i="1"/>
  <c r="BZ33" i="1"/>
  <c r="B33" i="1"/>
  <c r="A33" i="1"/>
  <c r="BZ32" i="1"/>
  <c r="B32" i="1"/>
  <c r="A32" i="1"/>
  <c r="B31" i="1"/>
  <c r="B30" i="1"/>
  <c r="B29" i="1"/>
  <c r="B28" i="1"/>
  <c r="B27" i="1"/>
  <c r="B26" i="1"/>
  <c r="B25" i="1"/>
  <c r="B24" i="1"/>
  <c r="B23" i="1"/>
  <c r="B22" i="1"/>
  <c r="B19" i="1"/>
  <c r="B18" i="1"/>
  <c r="BY12" i="1"/>
  <c r="BX12" i="1"/>
  <c r="BW12" i="1"/>
  <c r="BV12" i="1"/>
  <c r="BU12" i="1"/>
  <c r="BT12" i="1"/>
  <c r="BS12" i="1"/>
  <c r="BR12" i="1"/>
  <c r="BQ12" i="1"/>
  <c r="BP12" i="1"/>
  <c r="BO12" i="1"/>
  <c r="BN12" i="1"/>
  <c r="BM12" i="1"/>
  <c r="BL12" i="1"/>
  <c r="BK12" i="1"/>
  <c r="BJ12" i="1"/>
  <c r="BI12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Y11" i="1"/>
  <c r="BY15" i="1" s="1"/>
  <c r="BX11" i="1"/>
  <c r="BX15" i="1" s="1"/>
  <c r="BW11" i="1"/>
  <c r="BW15" i="1" s="1"/>
  <c r="BV11" i="1"/>
  <c r="BV15" i="1" s="1"/>
  <c r="BU11" i="1"/>
  <c r="BU15" i="1" s="1"/>
  <c r="BT11" i="1"/>
  <c r="BT15" i="1" s="1"/>
  <c r="BS11" i="1"/>
  <c r="BS15" i="1" s="1"/>
  <c r="BR11" i="1"/>
  <c r="BR15" i="1" s="1"/>
  <c r="BQ11" i="1"/>
  <c r="BQ15" i="1" s="1"/>
  <c r="BP11" i="1"/>
  <c r="BP15" i="1" s="1"/>
  <c r="BO11" i="1"/>
  <c r="BO15" i="1" s="1"/>
  <c r="BN11" i="1"/>
  <c r="BN15" i="1" s="1"/>
  <c r="BM11" i="1"/>
  <c r="BM15" i="1" s="1"/>
  <c r="BL11" i="1"/>
  <c r="BL15" i="1" s="1"/>
  <c r="BK11" i="1"/>
  <c r="BK15" i="1" s="1"/>
  <c r="BJ11" i="1"/>
  <c r="BJ15" i="1" s="1"/>
  <c r="BI11" i="1"/>
  <c r="BI15" i="1" s="1"/>
  <c r="BH11" i="1"/>
  <c r="BH15" i="1" s="1"/>
  <c r="BG11" i="1"/>
  <c r="BG15" i="1" s="1"/>
  <c r="BF11" i="1"/>
  <c r="BF15" i="1" s="1"/>
  <c r="BE11" i="1"/>
  <c r="BE15" i="1" s="1"/>
  <c r="BD11" i="1"/>
  <c r="BD15" i="1" s="1"/>
  <c r="BC11" i="1"/>
  <c r="BC15" i="1" s="1"/>
  <c r="BB11" i="1"/>
  <c r="BB15" i="1" s="1"/>
  <c r="BA11" i="1"/>
  <c r="BA15" i="1" s="1"/>
  <c r="AZ11" i="1"/>
  <c r="AZ15" i="1" s="1"/>
  <c r="AY11" i="1"/>
  <c r="AY15" i="1" s="1"/>
  <c r="AX11" i="1"/>
  <c r="AX15" i="1" s="1"/>
  <c r="AW11" i="1"/>
  <c r="AW15" i="1" s="1"/>
  <c r="AV11" i="1"/>
  <c r="AV15" i="1" s="1"/>
  <c r="AU11" i="1"/>
  <c r="AU15" i="1" s="1"/>
  <c r="AT11" i="1"/>
  <c r="AT15" i="1" s="1"/>
  <c r="AS11" i="1"/>
  <c r="AS15" i="1" s="1"/>
  <c r="AR11" i="1"/>
  <c r="AR15" i="1" s="1"/>
  <c r="AQ11" i="1"/>
  <c r="AQ15" i="1" s="1"/>
  <c r="AP11" i="1"/>
  <c r="AP15" i="1" s="1"/>
  <c r="AN11" i="1"/>
  <c r="AN15" i="1" s="1"/>
  <c r="AM11" i="1"/>
  <c r="AM15" i="1" s="1"/>
  <c r="AL11" i="1"/>
  <c r="AL15" i="1" s="1"/>
  <c r="AK11" i="1"/>
  <c r="AK15" i="1" s="1"/>
  <c r="AJ11" i="1"/>
  <c r="AJ15" i="1" s="1"/>
  <c r="AI11" i="1"/>
  <c r="AI15" i="1" s="1"/>
  <c r="AH11" i="1"/>
  <c r="AH15" i="1" s="1"/>
  <c r="AG11" i="1"/>
  <c r="AG15" i="1" s="1"/>
  <c r="AF11" i="1"/>
  <c r="AF15" i="1" s="1"/>
  <c r="AE11" i="1"/>
  <c r="AE15" i="1" s="1"/>
  <c r="AD11" i="1"/>
  <c r="AD15" i="1" s="1"/>
  <c r="AC11" i="1"/>
  <c r="AC15" i="1" s="1"/>
  <c r="AB11" i="1"/>
  <c r="AB15" i="1" s="1"/>
  <c r="AA11" i="1"/>
  <c r="AA15" i="1" s="1"/>
  <c r="Z11" i="1"/>
  <c r="Z15" i="1" s="1"/>
  <c r="Y11" i="1"/>
  <c r="Y15" i="1" s="1"/>
  <c r="X11" i="1"/>
  <c r="X15" i="1" s="1"/>
  <c r="W11" i="1"/>
  <c r="W15" i="1" s="1"/>
  <c r="V11" i="1"/>
  <c r="V15" i="1" s="1"/>
  <c r="U11" i="1"/>
  <c r="U15" i="1" s="1"/>
  <c r="T11" i="1"/>
  <c r="T15" i="1" s="1"/>
  <c r="S11" i="1"/>
  <c r="S15" i="1" s="1"/>
  <c r="R11" i="1"/>
  <c r="R15" i="1" s="1"/>
  <c r="Q11" i="1"/>
  <c r="Q15" i="1" s="1"/>
  <c r="P11" i="1"/>
  <c r="P15" i="1" s="1"/>
  <c r="O11" i="1"/>
  <c r="O15" i="1" s="1"/>
  <c r="N11" i="1"/>
  <c r="N15" i="1" s="1"/>
  <c r="M11" i="1"/>
  <c r="M15" i="1" s="1"/>
  <c r="L11" i="1"/>
  <c r="L15" i="1" s="1"/>
  <c r="K11" i="1"/>
  <c r="K15" i="1" s="1"/>
  <c r="J11" i="1"/>
  <c r="J15" i="1" s="1"/>
  <c r="I11" i="1"/>
  <c r="I15" i="1" s="1"/>
  <c r="H11" i="1"/>
  <c r="H15" i="1" s="1"/>
  <c r="G11" i="1"/>
  <c r="G15" i="1" s="1"/>
  <c r="F11" i="1"/>
  <c r="F15" i="1" s="1"/>
  <c r="E11" i="1"/>
  <c r="E15" i="1" s="1"/>
  <c r="D11" i="1"/>
  <c r="D15" i="1" s="1"/>
  <c r="C11" i="1"/>
  <c r="C15" i="1" s="1"/>
  <c r="BY10" i="1"/>
  <c r="BX10" i="1"/>
  <c r="BW10" i="1"/>
  <c r="BV10" i="1"/>
  <c r="BU10" i="1"/>
  <c r="BT10" i="1"/>
  <c r="BS10" i="1"/>
  <c r="BR10" i="1"/>
  <c r="BQ10" i="1"/>
  <c r="BP10" i="1"/>
  <c r="BO10" i="1"/>
  <c r="BN10" i="1"/>
  <c r="BM10" i="1"/>
  <c r="BL10" i="1"/>
  <c r="BK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Y9" i="1"/>
  <c r="BY14" i="1" s="1"/>
  <c r="BX9" i="1"/>
  <c r="BX14" i="1" s="1"/>
  <c r="BW9" i="1"/>
  <c r="BW14" i="1" s="1"/>
  <c r="BV9" i="1"/>
  <c r="BV14" i="1" s="1"/>
  <c r="BU9" i="1"/>
  <c r="BU14" i="1" s="1"/>
  <c r="BT9" i="1"/>
  <c r="BT14" i="1" s="1"/>
  <c r="BS9" i="1"/>
  <c r="BS14" i="1" s="1"/>
  <c r="BR9" i="1"/>
  <c r="BR14" i="1" s="1"/>
  <c r="BQ9" i="1"/>
  <c r="BQ14" i="1" s="1"/>
  <c r="BP9" i="1"/>
  <c r="BP14" i="1" s="1"/>
  <c r="BO9" i="1"/>
  <c r="BO14" i="1" s="1"/>
  <c r="BN9" i="1"/>
  <c r="BN14" i="1" s="1"/>
  <c r="BM9" i="1"/>
  <c r="BM14" i="1" s="1"/>
  <c r="BL9" i="1"/>
  <c r="BL14" i="1" s="1"/>
  <c r="BK9" i="1"/>
  <c r="BK14" i="1" s="1"/>
  <c r="BJ9" i="1"/>
  <c r="BJ14" i="1" s="1"/>
  <c r="BI9" i="1"/>
  <c r="BI14" i="1" s="1"/>
  <c r="BH9" i="1"/>
  <c r="BH14" i="1" s="1"/>
  <c r="BG9" i="1"/>
  <c r="BG14" i="1" s="1"/>
  <c r="BF9" i="1"/>
  <c r="BF14" i="1" s="1"/>
  <c r="BE9" i="1"/>
  <c r="BE14" i="1" s="1"/>
  <c r="BD9" i="1"/>
  <c r="BD14" i="1" s="1"/>
  <c r="BC9" i="1"/>
  <c r="BC14" i="1" s="1"/>
  <c r="BB9" i="1"/>
  <c r="BB14" i="1" s="1"/>
  <c r="BA9" i="1"/>
  <c r="BA14" i="1" s="1"/>
  <c r="AZ9" i="1"/>
  <c r="AZ14" i="1" s="1"/>
  <c r="AY9" i="1"/>
  <c r="AY14" i="1" s="1"/>
  <c r="AX9" i="1"/>
  <c r="AX14" i="1" s="1"/>
  <c r="AW9" i="1"/>
  <c r="AW14" i="1" s="1"/>
  <c r="AV9" i="1"/>
  <c r="AV14" i="1" s="1"/>
  <c r="AU9" i="1"/>
  <c r="AU14" i="1" s="1"/>
  <c r="AT9" i="1"/>
  <c r="AT14" i="1" s="1"/>
  <c r="AS9" i="1"/>
  <c r="AS14" i="1" s="1"/>
  <c r="AR9" i="1"/>
  <c r="AR14" i="1" s="1"/>
  <c r="AQ9" i="1"/>
  <c r="AQ14" i="1" s="1"/>
  <c r="AP9" i="1"/>
  <c r="AP14" i="1" s="1"/>
  <c r="AN9" i="1"/>
  <c r="AN14" i="1" s="1"/>
  <c r="AM9" i="1"/>
  <c r="AM14" i="1" s="1"/>
  <c r="AL9" i="1"/>
  <c r="AL14" i="1" s="1"/>
  <c r="AK9" i="1"/>
  <c r="AK14" i="1" s="1"/>
  <c r="AJ9" i="1"/>
  <c r="AJ14" i="1" s="1"/>
  <c r="AI9" i="1"/>
  <c r="AI14" i="1" s="1"/>
  <c r="AH9" i="1"/>
  <c r="AH14" i="1" s="1"/>
  <c r="AG9" i="1"/>
  <c r="AG14" i="1" s="1"/>
  <c r="AF9" i="1"/>
  <c r="AF14" i="1" s="1"/>
  <c r="AE9" i="1"/>
  <c r="AE14" i="1" s="1"/>
  <c r="AD9" i="1"/>
  <c r="AD14" i="1" s="1"/>
  <c r="AC9" i="1"/>
  <c r="AC14" i="1" s="1"/>
  <c r="AB9" i="1"/>
  <c r="AB14" i="1" s="1"/>
  <c r="AA9" i="1"/>
  <c r="AA14" i="1" s="1"/>
  <c r="Z9" i="1"/>
  <c r="Z14" i="1" s="1"/>
  <c r="Y9" i="1"/>
  <c r="Y14" i="1" s="1"/>
  <c r="X9" i="1"/>
  <c r="X14" i="1" s="1"/>
  <c r="W9" i="1"/>
  <c r="W14" i="1" s="1"/>
  <c r="V9" i="1"/>
  <c r="V14" i="1" s="1"/>
  <c r="U9" i="1"/>
  <c r="U14" i="1" s="1"/>
  <c r="T9" i="1"/>
  <c r="T14" i="1" s="1"/>
  <c r="S9" i="1"/>
  <c r="S14" i="1" s="1"/>
  <c r="R9" i="1"/>
  <c r="R14" i="1" s="1"/>
  <c r="Q9" i="1"/>
  <c r="Q14" i="1" s="1"/>
  <c r="P9" i="1"/>
  <c r="P14" i="1" s="1"/>
  <c r="O9" i="1"/>
  <c r="O14" i="1" s="1"/>
  <c r="N9" i="1"/>
  <c r="N14" i="1" s="1"/>
  <c r="M9" i="1"/>
  <c r="M14" i="1" s="1"/>
  <c r="L9" i="1"/>
  <c r="L14" i="1" s="1"/>
  <c r="K9" i="1"/>
  <c r="K14" i="1" s="1"/>
  <c r="J9" i="1"/>
  <c r="J14" i="1" s="1"/>
  <c r="I9" i="1"/>
  <c r="I14" i="1" s="1"/>
  <c r="H9" i="1"/>
  <c r="H14" i="1" s="1"/>
  <c r="G9" i="1"/>
  <c r="G14" i="1" s="1"/>
  <c r="F9" i="1"/>
  <c r="F14" i="1" s="1"/>
  <c r="E9" i="1"/>
  <c r="E14" i="1" s="1"/>
  <c r="D9" i="1"/>
  <c r="D14" i="1" s="1"/>
  <c r="C9" i="1"/>
  <c r="C14" i="1" s="1"/>
  <c r="BY8" i="1"/>
  <c r="BY13" i="1" s="1"/>
  <c r="BX8" i="1"/>
  <c r="BX13" i="1" s="1"/>
  <c r="BW8" i="1"/>
  <c r="BW13" i="1" s="1"/>
  <c r="BV8" i="1"/>
  <c r="BV13" i="1" s="1"/>
  <c r="BU8" i="1"/>
  <c r="BU13" i="1" s="1"/>
  <c r="BT8" i="1"/>
  <c r="BT13" i="1" s="1"/>
  <c r="BS8" i="1"/>
  <c r="BS13" i="1" s="1"/>
  <c r="BR8" i="1"/>
  <c r="BR13" i="1" s="1"/>
  <c r="BQ8" i="1"/>
  <c r="BQ13" i="1" s="1"/>
  <c r="BP8" i="1"/>
  <c r="BP13" i="1" s="1"/>
  <c r="BO8" i="1"/>
  <c r="BO13" i="1" s="1"/>
  <c r="BN8" i="1"/>
  <c r="BN13" i="1" s="1"/>
  <c r="BM8" i="1"/>
  <c r="BM13" i="1" s="1"/>
  <c r="BL8" i="1"/>
  <c r="BL13" i="1" s="1"/>
  <c r="BK8" i="1"/>
  <c r="BK13" i="1" s="1"/>
  <c r="BJ8" i="1"/>
  <c r="BJ13" i="1" s="1"/>
  <c r="BI8" i="1"/>
  <c r="BI13" i="1" s="1"/>
  <c r="BH8" i="1"/>
  <c r="BH13" i="1" s="1"/>
  <c r="BG8" i="1"/>
  <c r="BG13" i="1" s="1"/>
  <c r="BF8" i="1"/>
  <c r="BF13" i="1" s="1"/>
  <c r="BE8" i="1"/>
  <c r="BE13" i="1" s="1"/>
  <c r="BD8" i="1"/>
  <c r="BD13" i="1" s="1"/>
  <c r="BC8" i="1"/>
  <c r="BC13" i="1" s="1"/>
  <c r="BB8" i="1"/>
  <c r="BB13" i="1" s="1"/>
  <c r="BA8" i="1"/>
  <c r="BA13" i="1" s="1"/>
  <c r="AZ8" i="1"/>
  <c r="AZ13" i="1" s="1"/>
  <c r="AY8" i="1"/>
  <c r="AY13" i="1" s="1"/>
  <c r="AX8" i="1"/>
  <c r="AX13" i="1" s="1"/>
  <c r="AW8" i="1"/>
  <c r="AW13" i="1" s="1"/>
  <c r="AV8" i="1"/>
  <c r="AV13" i="1" s="1"/>
  <c r="AU8" i="1"/>
  <c r="AU13" i="1" s="1"/>
  <c r="AT8" i="1"/>
  <c r="AT13" i="1" s="1"/>
  <c r="AS8" i="1"/>
  <c r="AS13" i="1" s="1"/>
  <c r="AR8" i="1"/>
  <c r="AR13" i="1" s="1"/>
  <c r="AQ8" i="1"/>
  <c r="AQ13" i="1" s="1"/>
  <c r="AP8" i="1"/>
  <c r="AP13" i="1" s="1"/>
  <c r="AN8" i="1"/>
  <c r="AN13" i="1" s="1"/>
  <c r="AM8" i="1"/>
  <c r="AM13" i="1" s="1"/>
  <c r="AL8" i="1"/>
  <c r="AL13" i="1" s="1"/>
  <c r="AK8" i="1"/>
  <c r="AK13" i="1" s="1"/>
  <c r="AJ8" i="1"/>
  <c r="AJ13" i="1" s="1"/>
  <c r="AI8" i="1"/>
  <c r="AI13" i="1" s="1"/>
  <c r="AH8" i="1"/>
  <c r="AH13" i="1" s="1"/>
  <c r="AG8" i="1"/>
  <c r="AG13" i="1" s="1"/>
  <c r="AF8" i="1"/>
  <c r="AF13" i="1" s="1"/>
  <c r="AE8" i="1"/>
  <c r="AE13" i="1" s="1"/>
  <c r="AD8" i="1"/>
  <c r="AD13" i="1" s="1"/>
  <c r="AC8" i="1"/>
  <c r="AC13" i="1" s="1"/>
  <c r="AB8" i="1"/>
  <c r="AB13" i="1" s="1"/>
  <c r="AA8" i="1"/>
  <c r="AA13" i="1" s="1"/>
  <c r="Z8" i="1"/>
  <c r="Z13" i="1" s="1"/>
  <c r="Y8" i="1"/>
  <c r="Y13" i="1" s="1"/>
  <c r="X8" i="1"/>
  <c r="X13" i="1" s="1"/>
  <c r="W8" i="1"/>
  <c r="W13" i="1" s="1"/>
  <c r="V8" i="1"/>
  <c r="V13" i="1" s="1"/>
  <c r="U8" i="1"/>
  <c r="U13" i="1" s="1"/>
  <c r="T8" i="1"/>
  <c r="T13" i="1" s="1"/>
  <c r="S8" i="1"/>
  <c r="S13" i="1" s="1"/>
  <c r="R8" i="1"/>
  <c r="R13" i="1" s="1"/>
  <c r="Q8" i="1"/>
  <c r="Q13" i="1" s="1"/>
  <c r="P8" i="1"/>
  <c r="P13" i="1" s="1"/>
  <c r="O8" i="1"/>
  <c r="O13" i="1" s="1"/>
  <c r="N8" i="1"/>
  <c r="N13" i="1" s="1"/>
  <c r="M8" i="1"/>
  <c r="M13" i="1" s="1"/>
  <c r="L8" i="1"/>
  <c r="L13" i="1" s="1"/>
  <c r="K8" i="1"/>
  <c r="K13" i="1" s="1"/>
  <c r="J8" i="1"/>
  <c r="J13" i="1" s="1"/>
  <c r="I8" i="1"/>
  <c r="I13" i="1" s="1"/>
  <c r="H8" i="1"/>
  <c r="H13" i="1" s="1"/>
  <c r="G8" i="1"/>
  <c r="G13" i="1" s="1"/>
  <c r="F8" i="1"/>
  <c r="F13" i="1" s="1"/>
  <c r="E8" i="1"/>
  <c r="E13" i="1" s="1"/>
  <c r="D8" i="1"/>
  <c r="D13" i="1" s="1"/>
  <c r="C8" i="1"/>
  <c r="C13" i="1" s="1"/>
  <c r="I6" i="1"/>
  <c r="F6" i="1"/>
  <c r="B6" i="1"/>
  <c r="K5" i="1"/>
  <c r="J5" i="1"/>
  <c r="I5" i="1"/>
  <c r="H5" i="1"/>
  <c r="F5" i="1"/>
  <c r="B5" i="1"/>
  <c r="K4" i="1"/>
  <c r="J4" i="1"/>
  <c r="I4" i="1"/>
  <c r="H4" i="1"/>
  <c r="F4" i="1"/>
  <c r="B4" i="1"/>
  <c r="K3" i="1"/>
  <c r="J3" i="1"/>
  <c r="I3" i="1"/>
  <c r="H3" i="1"/>
  <c r="F3" i="1"/>
  <c r="B3" i="1"/>
  <c r="K2" i="1"/>
  <c r="J2" i="1"/>
  <c r="I2" i="1"/>
  <c r="H2" i="1"/>
  <c r="F2" i="1"/>
  <c r="B2" i="1"/>
</calcChain>
</file>

<file path=xl/sharedStrings.xml><?xml version="1.0" encoding="utf-8"?>
<sst xmlns="http://schemas.openxmlformats.org/spreadsheetml/2006/main" count="540" uniqueCount="54">
  <si>
    <t>WELL TREATMENT SUMMARY</t>
  </si>
  <si>
    <t>Operator:</t>
  </si>
  <si>
    <t>Formation:</t>
  </si>
  <si>
    <t>Well Name:</t>
  </si>
  <si>
    <t>AFE:</t>
  </si>
  <si>
    <t>Customer:</t>
  </si>
  <si>
    <t>Max Psi:</t>
  </si>
  <si>
    <t>Location</t>
  </si>
  <si>
    <t>Job Type:</t>
  </si>
  <si>
    <t>Service Company:</t>
  </si>
  <si>
    <t>Stage</t>
  </si>
  <si>
    <t>AVERAGE</t>
  </si>
  <si>
    <t>Total</t>
  </si>
  <si>
    <t>Top Perf, ft</t>
  </si>
  <si>
    <t>Data from Set Up Tab</t>
  </si>
  <si>
    <t>Bottom Perf, ft</t>
  </si>
  <si>
    <t>Number of perforations</t>
  </si>
  <si>
    <t>Plug Depth, ft</t>
  </si>
  <si>
    <t>TVD, ft</t>
  </si>
  <si>
    <t>Capacity Top Perf, bbl</t>
  </si>
  <si>
    <t>Calculated data</t>
  </si>
  <si>
    <t>Capacity Bottom Perf, bbl</t>
  </si>
  <si>
    <t>Capacity Plug, bbl</t>
  </si>
  <si>
    <t xml:space="preserve">All data below is auto entered.  </t>
  </si>
  <si>
    <t>Date</t>
  </si>
  <si>
    <t>IWHP, psi</t>
  </si>
  <si>
    <t>Break, psi</t>
  </si>
  <si>
    <t>Start Time</t>
  </si>
  <si>
    <t>End Time</t>
  </si>
  <si>
    <t>Pump Time, h:mm</t>
  </si>
  <si>
    <t>Average Rate, bpm</t>
  </si>
  <si>
    <t>Average Pressure, psi</t>
  </si>
  <si>
    <t>Max Rate, bpm</t>
  </si>
  <si>
    <t>Max Pressure, psi</t>
  </si>
  <si>
    <t>ISIP, psi</t>
  </si>
  <si>
    <t>FG, psi/ft</t>
  </si>
  <si>
    <t>Design, bbl/ft</t>
  </si>
  <si>
    <t>Avg HHP</t>
  </si>
  <si>
    <t>15 minute SIP, psi</t>
  </si>
  <si>
    <t>Total Fluid, bbl</t>
  </si>
  <si>
    <t>Total Proppant, lb</t>
  </si>
  <si>
    <t>Delivered Total Prop, lb</t>
  </si>
  <si>
    <t>N/A</t>
  </si>
  <si>
    <t>NA</t>
  </si>
  <si>
    <t>Diesel</t>
  </si>
  <si>
    <t>15% HCL gal</t>
  </si>
  <si>
    <t>Plexslick 957, gal</t>
  </si>
  <si>
    <t>PolyGlide AFRE-4</t>
  </si>
  <si>
    <t>Chemplex 4-N-1, gal</t>
  </si>
  <si>
    <t>Payzone 845, gal</t>
  </si>
  <si>
    <t>Payzone 850, gal</t>
  </si>
  <si>
    <t>Payzone 217, gal</t>
  </si>
  <si>
    <t>Stim741 Gel, gal</t>
  </si>
  <si>
    <t>15%HCL gal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</si>
</sst>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#,##0&quot; ft&quot;"/>
    <numFmt numFmtId="165" formatCode="#,##0.00&quot; lbs&quot;"/>
    <numFmt numFmtId="166" formatCode="0.0"/>
    <numFmt numFmtId="167" formatCode="m/d/yy;@"/>
    <numFmt numFmtId="168" formatCode="h:mm;@"/>
    <numFmt numFmtId="169" formatCode="#,##0.000"/>
    <numFmt numFmtId="170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9"/>
      <name val="Calibri"/>
      <family val="2"/>
      <scheme val="minor"/>
    </font>
    <font>
      <sz val="10"/>
      <name val="Calibri"/>
      <family val="2"/>
      <scheme val="minor"/>
    </font>
    <font>
      <sz val="18"/>
      <name val="Calibri"/>
      <family val="2"/>
      <scheme val="minor"/>
    </font>
    <font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0"/>
      <name val="Arial"/>
      <family val="2"/>
    </font>
    <font>
      <b/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2D69A"/>
        <bgColor indexed="64"/>
      </patternFill>
    </fill>
  </fills>
  <borders count="29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13">
    <xf numFmtId="0" fontId="0" fillId="0" borderId="0" xfId="0"/>
    <xf numFmtId="0" fontId="0" fillId="0" borderId="0" xfId="0" applyAlignment="1">
      <alignment horizontal="justify" vertical="top"/>
    </xf>
    <xf numFmtId="0" fontId="3" fillId="0" borderId="0" xfId="0" applyFont="1" applyBorder="1" applyAlignment="1">
      <alignment horizontal="center"/>
    </xf>
    <xf numFmtId="0" fontId="6" fillId="3" borderId="6" xfId="0" applyFont="1" applyFill="1" applyBorder="1" applyAlignment="1">
      <alignment horizontal="right"/>
    </xf>
    <xf numFmtId="0" fontId="3" fillId="4" borderId="9" xfId="0" applyFont="1" applyFill="1" applyBorder="1" applyAlignment="1">
      <alignment horizontal="right"/>
    </xf>
    <xf numFmtId="164" fontId="6" fillId="4" borderId="9" xfId="0" applyNumberFormat="1" applyFont="1" applyFill="1" applyBorder="1" applyAlignment="1">
      <alignment horizontal="right"/>
    </xf>
    <xf numFmtId="0" fontId="6" fillId="4" borderId="9" xfId="0" applyFont="1" applyFill="1" applyBorder="1" applyAlignment="1">
      <alignment horizontal="center" shrinkToFit="1"/>
    </xf>
    <xf numFmtId="165" fontId="6" fillId="4" borderId="9" xfId="0" applyNumberFormat="1" applyFont="1" applyFill="1" applyBorder="1" applyAlignment="1">
      <alignment horizontal="center" shrinkToFit="1"/>
    </xf>
    <xf numFmtId="0" fontId="3" fillId="0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165" fontId="3" fillId="4" borderId="10" xfId="0" applyNumberFormat="1" applyFont="1" applyFill="1" applyBorder="1" applyAlignment="1">
      <alignment horizontal="right"/>
    </xf>
    <xf numFmtId="0" fontId="0" fillId="0" borderId="12" xfId="0" applyBorder="1" applyAlignment="1">
      <alignment horizontal="justify" vertical="top"/>
    </xf>
    <xf numFmtId="0" fontId="0" fillId="0" borderId="0" xfId="0" applyBorder="1" applyAlignment="1">
      <alignment horizontal="justify" vertical="top"/>
    </xf>
    <xf numFmtId="0" fontId="3" fillId="0" borderId="0" xfId="0" applyFont="1" applyBorder="1" applyAlignment="1"/>
    <xf numFmtId="1" fontId="6" fillId="3" borderId="13" xfId="0" applyNumberFormat="1" applyFont="1" applyFill="1" applyBorder="1" applyAlignment="1">
      <alignment horizontal="center"/>
    </xf>
    <xf numFmtId="1" fontId="6" fillId="3" borderId="14" xfId="0" applyNumberFormat="1" applyFont="1" applyFill="1" applyBorder="1" applyAlignment="1">
      <alignment horizontal="center"/>
    </xf>
    <xf numFmtId="1" fontId="6" fillId="3" borderId="15" xfId="0" applyNumberFormat="1" applyFont="1" applyFill="1" applyBorder="1" applyAlignment="1">
      <alignment horizontal="center"/>
    </xf>
    <xf numFmtId="1" fontId="6" fillId="4" borderId="16" xfId="0" applyNumberFormat="1" applyFont="1" applyFill="1" applyBorder="1" applyAlignment="1">
      <alignment horizontal="center"/>
    </xf>
    <xf numFmtId="0" fontId="6" fillId="5" borderId="17" xfId="0" applyFont="1" applyFill="1" applyBorder="1" applyAlignment="1">
      <alignment horizontal="right"/>
    </xf>
    <xf numFmtId="3" fontId="8" fillId="6" borderId="17" xfId="0" applyNumberFormat="1" applyFont="1" applyFill="1" applyBorder="1" applyAlignment="1"/>
    <xf numFmtId="0" fontId="6" fillId="5" borderId="14" xfId="0" applyFont="1" applyFill="1" applyBorder="1" applyAlignment="1">
      <alignment horizontal="right"/>
    </xf>
    <xf numFmtId="3" fontId="8" fillId="6" borderId="9" xfId="0" applyNumberFormat="1" applyFont="1" applyFill="1" applyBorder="1" applyAlignment="1"/>
    <xf numFmtId="0" fontId="6" fillId="5" borderId="16" xfId="0" applyFont="1" applyFill="1" applyBorder="1" applyAlignment="1">
      <alignment horizontal="right"/>
    </xf>
    <xf numFmtId="3" fontId="8" fillId="6" borderId="16" xfId="0" applyNumberFormat="1" applyFont="1" applyFill="1" applyBorder="1" applyAlignment="1"/>
    <xf numFmtId="3" fontId="8" fillId="6" borderId="14" xfId="0" applyNumberFormat="1" applyFont="1" applyFill="1" applyBorder="1" applyAlignment="1"/>
    <xf numFmtId="0" fontId="6" fillId="4" borderId="17" xfId="0" applyFont="1" applyFill="1" applyBorder="1" applyAlignment="1">
      <alignment horizontal="right"/>
    </xf>
    <xf numFmtId="166" fontId="8" fillId="4" borderId="17" xfId="0" applyNumberFormat="1" applyFont="1" applyFill="1" applyBorder="1" applyAlignment="1"/>
    <xf numFmtId="0" fontId="6" fillId="4" borderId="9" xfId="0" applyFont="1" applyFill="1" applyBorder="1" applyAlignment="1">
      <alignment horizontal="right"/>
    </xf>
    <xf numFmtId="166" fontId="8" fillId="4" borderId="9" xfId="0" applyNumberFormat="1" applyFont="1" applyFill="1" applyBorder="1" applyAlignment="1"/>
    <xf numFmtId="0" fontId="6" fillId="4" borderId="16" xfId="0" applyFont="1" applyFill="1" applyBorder="1" applyAlignment="1">
      <alignment horizontal="right"/>
    </xf>
    <xf numFmtId="166" fontId="8" fillId="4" borderId="16" xfId="0" applyNumberFormat="1" applyFont="1" applyFill="1" applyBorder="1" applyAlignment="1"/>
    <xf numFmtId="0" fontId="6" fillId="7" borderId="19" xfId="0" applyFont="1" applyFill="1" applyBorder="1" applyAlignment="1">
      <alignment horizontal="right"/>
    </xf>
    <xf numFmtId="3" fontId="8" fillId="7" borderId="19" xfId="0" applyNumberFormat="1" applyFont="1" applyFill="1" applyBorder="1" applyAlignment="1"/>
    <xf numFmtId="0" fontId="8" fillId="7" borderId="19" xfId="0" applyFont="1" applyFill="1" applyBorder="1" applyAlignment="1"/>
    <xf numFmtId="14" fontId="6" fillId="3" borderId="21" xfId="0" applyNumberFormat="1" applyFont="1" applyFill="1" applyBorder="1" applyAlignment="1">
      <alignment horizontal="right"/>
    </xf>
    <xf numFmtId="14" fontId="6" fillId="4" borderId="17" xfId="0" applyNumberFormat="1" applyFont="1" applyFill="1" applyBorder="1" applyAlignment="1">
      <alignment horizontal="center"/>
    </xf>
    <xf numFmtId="167" fontId="3" fillId="4" borderId="17" xfId="0" applyNumberFormat="1" applyFont="1" applyFill="1" applyBorder="1" applyAlignment="1"/>
    <xf numFmtId="14" fontId="3" fillId="0" borderId="5" xfId="0" applyNumberFormat="1" applyFont="1" applyFill="1" applyBorder="1" applyAlignment="1"/>
    <xf numFmtId="166" fontId="6" fillId="0" borderId="22" xfId="0" applyNumberFormat="1" applyFont="1" applyFill="1" applyBorder="1" applyAlignment="1">
      <alignment horizontal="right"/>
    </xf>
    <xf numFmtId="3" fontId="6" fillId="5" borderId="9" xfId="1" applyNumberFormat="1" applyFont="1" applyFill="1" applyBorder="1" applyAlignment="1"/>
    <xf numFmtId="3" fontId="3" fillId="5" borderId="8" xfId="1" applyNumberFormat="1" applyFont="1" applyFill="1" applyBorder="1" applyAlignment="1"/>
    <xf numFmtId="3" fontId="3" fillId="5" borderId="9" xfId="1" applyNumberFormat="1" applyFont="1" applyFill="1" applyBorder="1" applyAlignment="1"/>
    <xf numFmtId="166" fontId="3" fillId="0" borderId="5" xfId="1" applyNumberFormat="1" applyFont="1" applyFill="1" applyBorder="1" applyAlignment="1"/>
    <xf numFmtId="3" fontId="6" fillId="4" borderId="23" xfId="0" applyNumberFormat="1" applyFont="1" applyFill="1" applyBorder="1" applyAlignment="1">
      <alignment horizontal="right"/>
    </xf>
    <xf numFmtId="3" fontId="6" fillId="3" borderId="16" xfId="1" applyNumberFormat="1" applyFont="1" applyFill="1" applyBorder="1" applyAlignment="1"/>
    <xf numFmtId="3" fontId="3" fillId="4" borderId="24" xfId="1" applyNumberFormat="1" applyFont="1" applyFill="1" applyBorder="1" applyAlignment="1"/>
    <xf numFmtId="3" fontId="3" fillId="4" borderId="16" xfId="1" applyNumberFormat="1" applyFont="1" applyFill="1" applyBorder="1" applyAlignment="1"/>
    <xf numFmtId="3" fontId="3" fillId="0" borderId="5" xfId="1" applyNumberFormat="1" applyFont="1" applyFill="1" applyBorder="1" applyAlignment="1"/>
    <xf numFmtId="168" fontId="6" fillId="5" borderId="21" xfId="0" applyNumberFormat="1" applyFont="1" applyFill="1" applyBorder="1" applyAlignment="1">
      <alignment horizontal="right"/>
    </xf>
    <xf numFmtId="168" fontId="6" fillId="5" borderId="17" xfId="0" applyNumberFormat="1" applyFont="1" applyFill="1" applyBorder="1" applyAlignment="1"/>
    <xf numFmtId="168" fontId="3" fillId="5" borderId="25" xfId="0" applyNumberFormat="1" applyFont="1" applyFill="1" applyBorder="1" applyAlignment="1"/>
    <xf numFmtId="168" fontId="3" fillId="5" borderId="17" xfId="0" applyNumberFormat="1" applyFont="1" applyFill="1" applyBorder="1" applyAlignment="1"/>
    <xf numFmtId="168" fontId="3" fillId="0" borderId="5" xfId="0" applyNumberFormat="1" applyFont="1" applyFill="1" applyBorder="1" applyAlignment="1"/>
    <xf numFmtId="168" fontId="6" fillId="4" borderId="22" xfId="0" applyNumberFormat="1" applyFont="1" applyFill="1" applyBorder="1" applyAlignment="1">
      <alignment horizontal="right"/>
    </xf>
    <xf numFmtId="168" fontId="3" fillId="4" borderId="9" xfId="0" applyNumberFormat="1" applyFont="1" applyFill="1" applyBorder="1" applyAlignment="1"/>
    <xf numFmtId="168" fontId="3" fillId="4" borderId="8" xfId="0" applyNumberFormat="1" applyFont="1" applyFill="1" applyBorder="1" applyAlignment="1"/>
    <xf numFmtId="168" fontId="6" fillId="5" borderId="23" xfId="0" applyNumberFormat="1" applyFont="1" applyFill="1" applyBorder="1" applyAlignment="1">
      <alignment horizontal="right"/>
    </xf>
    <xf numFmtId="168" fontId="6" fillId="0" borderId="16" xfId="0" applyNumberFormat="1" applyFont="1" applyBorder="1" applyAlignment="1"/>
    <xf numFmtId="168" fontId="3" fillId="5" borderId="24" xfId="0" applyNumberFormat="1" applyFont="1" applyFill="1" applyBorder="1" applyAlignment="1"/>
    <xf numFmtId="168" fontId="3" fillId="5" borderId="16" xfId="0" applyNumberFormat="1" applyFont="1" applyFill="1" applyBorder="1" applyAlignment="1"/>
    <xf numFmtId="166" fontId="6" fillId="4" borderId="21" xfId="0" applyNumberFormat="1" applyFont="1" applyFill="1" applyBorder="1" applyAlignment="1">
      <alignment horizontal="right"/>
    </xf>
    <xf numFmtId="166" fontId="6" fillId="3" borderId="17" xfId="0" applyNumberFormat="1" applyFont="1" applyFill="1" applyBorder="1" applyAlignment="1"/>
    <xf numFmtId="166" fontId="3" fillId="4" borderId="25" xfId="0" applyNumberFormat="1" applyFont="1" applyFill="1" applyBorder="1" applyAlignment="1">
      <alignment horizontal="right"/>
    </xf>
    <xf numFmtId="166" fontId="3" fillId="4" borderId="17" xfId="0" applyNumberFormat="1" applyFont="1" applyFill="1" applyBorder="1" applyAlignment="1"/>
    <xf numFmtId="166" fontId="3" fillId="0" borderId="5" xfId="0" applyNumberFormat="1" applyFont="1" applyFill="1" applyBorder="1" applyAlignment="1"/>
    <xf numFmtId="1" fontId="6" fillId="5" borderId="22" xfId="0" applyNumberFormat="1" applyFont="1" applyFill="1" applyBorder="1" applyAlignment="1">
      <alignment horizontal="right"/>
    </xf>
    <xf numFmtId="3" fontId="6" fillId="5" borderId="9" xfId="0" applyNumberFormat="1" applyFont="1" applyFill="1" applyBorder="1" applyAlignment="1"/>
    <xf numFmtId="3" fontId="3" fillId="5" borderId="8" xfId="0" applyNumberFormat="1" applyFont="1" applyFill="1" applyBorder="1" applyAlignment="1">
      <alignment horizontal="right"/>
    </xf>
    <xf numFmtId="3" fontId="3" fillId="5" borderId="9" xfId="0" applyNumberFormat="1" applyFont="1" applyFill="1" applyBorder="1" applyAlignment="1"/>
    <xf numFmtId="1" fontId="3" fillId="0" borderId="5" xfId="0" applyNumberFormat="1" applyFont="1" applyFill="1" applyBorder="1" applyAlignment="1"/>
    <xf numFmtId="166" fontId="6" fillId="4" borderId="22" xfId="0" applyNumberFormat="1" applyFont="1" applyFill="1" applyBorder="1" applyAlignment="1">
      <alignment horizontal="right"/>
    </xf>
    <xf numFmtId="166" fontId="6" fillId="3" borderId="9" xfId="0" applyNumberFormat="1" applyFont="1" applyFill="1" applyBorder="1" applyAlignment="1"/>
    <xf numFmtId="166" fontId="3" fillId="4" borderId="8" xfId="0" applyNumberFormat="1" applyFont="1" applyFill="1" applyBorder="1" applyAlignment="1">
      <alignment horizontal="right"/>
    </xf>
    <xf numFmtId="166" fontId="3" fillId="4" borderId="9" xfId="0" applyNumberFormat="1" applyFont="1" applyFill="1" applyBorder="1" applyAlignment="1"/>
    <xf numFmtId="1" fontId="6" fillId="5" borderId="23" xfId="0" applyNumberFormat="1" applyFont="1" applyFill="1" applyBorder="1" applyAlignment="1">
      <alignment horizontal="right"/>
    </xf>
    <xf numFmtId="3" fontId="6" fillId="5" borderId="16" xfId="0" applyNumberFormat="1" applyFont="1" applyFill="1" applyBorder="1" applyAlignment="1"/>
    <xf numFmtId="3" fontId="3" fillId="5" borderId="24" xfId="0" applyNumberFormat="1" applyFont="1" applyFill="1" applyBorder="1" applyAlignment="1">
      <alignment horizontal="right"/>
    </xf>
    <xf numFmtId="3" fontId="3" fillId="5" borderId="16" xfId="0" applyNumberFormat="1" applyFont="1" applyFill="1" applyBorder="1" applyAlignment="1"/>
    <xf numFmtId="3" fontId="6" fillId="4" borderId="17" xfId="0" applyNumberFormat="1" applyFont="1" applyFill="1" applyBorder="1" applyAlignment="1">
      <alignment horizontal="right"/>
    </xf>
    <xf numFmtId="3" fontId="6" fillId="3" borderId="17" xfId="0" applyNumberFormat="1" applyFont="1" applyFill="1" applyBorder="1" applyAlignment="1"/>
    <xf numFmtId="3" fontId="3" fillId="4" borderId="25" xfId="0" applyNumberFormat="1" applyFont="1" applyFill="1" applyBorder="1" applyAlignment="1">
      <alignment horizontal="right"/>
    </xf>
    <xf numFmtId="3" fontId="3" fillId="4" borderId="17" xfId="0" applyNumberFormat="1" applyFont="1" applyFill="1" applyBorder="1" applyAlignment="1">
      <alignment horizontal="right"/>
    </xf>
    <xf numFmtId="169" fontId="6" fillId="5" borderId="9" xfId="0" applyNumberFormat="1" applyFont="1" applyFill="1" applyBorder="1" applyAlignment="1">
      <alignment horizontal="right"/>
    </xf>
    <xf numFmtId="169" fontId="6" fillId="5" borderId="9" xfId="0" applyNumberFormat="1" applyFont="1" applyFill="1" applyBorder="1" applyAlignment="1"/>
    <xf numFmtId="169" fontId="3" fillId="5" borderId="9" xfId="0" applyNumberFormat="1" applyFont="1" applyFill="1" applyBorder="1" applyAlignment="1">
      <alignment horizontal="right"/>
    </xf>
    <xf numFmtId="3" fontId="6" fillId="4" borderId="9" xfId="0" applyNumberFormat="1" applyFont="1" applyFill="1" applyBorder="1" applyAlignment="1">
      <alignment horizontal="right"/>
    </xf>
    <xf numFmtId="3" fontId="6" fillId="4" borderId="9" xfId="0" applyNumberFormat="1" applyFont="1" applyFill="1" applyBorder="1" applyAlignment="1"/>
    <xf numFmtId="3" fontId="3" fillId="4" borderId="8" xfId="0" applyNumberFormat="1" applyFont="1" applyFill="1" applyBorder="1" applyAlignment="1">
      <alignment horizontal="right"/>
    </xf>
    <xf numFmtId="3" fontId="3" fillId="4" borderId="9" xfId="0" applyNumberFormat="1" applyFont="1" applyFill="1" applyBorder="1" applyAlignment="1">
      <alignment horizontal="right"/>
    </xf>
    <xf numFmtId="3" fontId="6" fillId="0" borderId="9" xfId="0" applyNumberFormat="1" applyFont="1" applyFill="1" applyBorder="1" applyAlignment="1">
      <alignment horizontal="right"/>
    </xf>
    <xf numFmtId="3" fontId="6" fillId="0" borderId="9" xfId="0" applyNumberFormat="1" applyFont="1" applyFill="1" applyBorder="1" applyAlignment="1"/>
    <xf numFmtId="3" fontId="3" fillId="0" borderId="8" xfId="0" applyNumberFormat="1" applyFont="1" applyFill="1" applyBorder="1" applyAlignment="1">
      <alignment horizontal="right"/>
    </xf>
    <xf numFmtId="3" fontId="3" fillId="0" borderId="9" xfId="0" applyNumberFormat="1" applyFont="1" applyFill="1" applyBorder="1" applyAlignment="1">
      <alignment horizontal="right"/>
    </xf>
    <xf numFmtId="3" fontId="6" fillId="4" borderId="16" xfId="0" applyNumberFormat="1" applyFont="1" applyFill="1" applyBorder="1" applyAlignment="1">
      <alignment horizontal="right"/>
    </xf>
    <xf numFmtId="3" fontId="6" fillId="4" borderId="16" xfId="0" applyNumberFormat="1" applyFont="1" applyFill="1" applyBorder="1" applyAlignment="1"/>
    <xf numFmtId="3" fontId="3" fillId="4" borderId="24" xfId="0" applyNumberFormat="1" applyFont="1" applyFill="1" applyBorder="1" applyAlignment="1">
      <alignment horizontal="right"/>
    </xf>
    <xf numFmtId="3" fontId="3" fillId="4" borderId="16" xfId="0" applyNumberFormat="1" applyFont="1" applyFill="1" applyBorder="1" applyAlignment="1">
      <alignment horizontal="right"/>
    </xf>
    <xf numFmtId="3" fontId="3" fillId="4" borderId="26" xfId="0" applyNumberFormat="1" applyFont="1" applyFill="1" applyBorder="1" applyAlignment="1">
      <alignment horizontal="right"/>
    </xf>
    <xf numFmtId="166" fontId="3" fillId="0" borderId="26" xfId="0" applyNumberFormat="1" applyFont="1" applyFill="1" applyBorder="1" applyAlignment="1"/>
    <xf numFmtId="3" fontId="6" fillId="8" borderId="27" xfId="0" applyNumberFormat="1" applyFont="1" applyFill="1" applyBorder="1" applyAlignment="1">
      <alignment horizontal="right" vertical="center"/>
    </xf>
    <xf numFmtId="3" fontId="6" fillId="8" borderId="27" xfId="1" applyNumberFormat="1" applyFont="1" applyFill="1" applyBorder="1" applyAlignment="1">
      <alignment shrinkToFit="1"/>
    </xf>
    <xf numFmtId="3" fontId="3" fillId="8" borderId="28" xfId="0" applyNumberFormat="1" applyFont="1" applyFill="1" applyBorder="1" applyAlignment="1"/>
    <xf numFmtId="3" fontId="3" fillId="8" borderId="27" xfId="0" applyNumberFormat="1" applyFont="1" applyFill="1" applyBorder="1" applyAlignment="1"/>
    <xf numFmtId="3" fontId="6" fillId="8" borderId="28" xfId="1" applyNumberFormat="1" applyFont="1" applyFill="1" applyBorder="1" applyAlignment="1">
      <alignment shrinkToFit="1"/>
    </xf>
    <xf numFmtId="3" fontId="6" fillId="0" borderId="27" xfId="0" applyNumberFormat="1" applyFont="1" applyFill="1" applyBorder="1" applyAlignment="1">
      <alignment horizontal="right" vertical="center"/>
    </xf>
    <xf numFmtId="3" fontId="6" fillId="0" borderId="9" xfId="1" applyNumberFormat="1" applyFont="1" applyFill="1" applyBorder="1" applyAlignment="1">
      <alignment shrinkToFit="1"/>
    </xf>
    <xf numFmtId="3" fontId="3" fillId="0" borderId="8" xfId="0" applyNumberFormat="1" applyFont="1" applyFill="1" applyBorder="1" applyAlignment="1"/>
    <xf numFmtId="3" fontId="3" fillId="0" borderId="9" xfId="0" applyNumberFormat="1" applyFont="1" applyFill="1" applyBorder="1" applyAlignment="1"/>
    <xf numFmtId="3" fontId="6" fillId="0" borderId="8" xfId="1" applyNumberFormat="1" applyFont="1" applyFill="1" applyBorder="1" applyAlignment="1">
      <alignment shrinkToFit="1"/>
    </xf>
    <xf numFmtId="3" fontId="6" fillId="8" borderId="9" xfId="1" applyNumberFormat="1" applyFont="1" applyFill="1" applyBorder="1" applyAlignment="1">
      <alignment shrinkToFit="1"/>
    </xf>
    <xf numFmtId="3" fontId="3" fillId="8" borderId="8" xfId="0" applyNumberFormat="1" applyFont="1" applyFill="1" applyBorder="1" applyAlignment="1"/>
    <xf numFmtId="3" fontId="3" fillId="8" borderId="9" xfId="0" applyNumberFormat="1" applyFont="1" applyFill="1" applyBorder="1" applyAlignment="1"/>
    <xf numFmtId="170" fontId="6" fillId="8" borderId="16" xfId="0" applyNumberFormat="1" applyFont="1" applyFill="1" applyBorder="1" applyAlignment="1">
      <alignment horizontal="right"/>
    </xf>
    <xf numFmtId="3" fontId="6" fillId="8" borderId="16" xfId="1" applyNumberFormat="1" applyFont="1" applyFill="1" applyBorder="1" applyAlignment="1">
      <alignment shrinkToFit="1"/>
    </xf>
    <xf numFmtId="3" fontId="3" fillId="8" borderId="24" xfId="0" applyNumberFormat="1" applyFont="1" applyFill="1" applyBorder="1" applyAlignment="1"/>
    <xf numFmtId="3" fontId="3" fillId="8" borderId="16" xfId="0" applyNumberFormat="1" applyFont="1" applyFill="1" applyBorder="1" applyAlignment="1"/>
    <xf numFmtId="3" fontId="6" fillId="8" borderId="24" xfId="1" applyNumberFormat="1" applyFont="1" applyFill="1" applyBorder="1" applyAlignment="1">
      <alignment shrinkToFit="1"/>
    </xf>
    <xf numFmtId="3" fontId="6" fillId="9" borderId="27" xfId="0" applyNumberFormat="1" applyFont="1" applyFill="1" applyBorder="1" applyAlignment="1">
      <alignment horizontal="right" shrinkToFit="1"/>
    </xf>
    <xf numFmtId="3" fontId="6" fillId="9" borderId="27" xfId="1" applyNumberFormat="1" applyFont="1" applyFill="1" applyBorder="1" applyAlignment="1">
      <alignment shrinkToFit="1"/>
    </xf>
    <xf numFmtId="3" fontId="3" fillId="9" borderId="28" xfId="1" applyNumberFormat="1" applyFont="1" applyFill="1" applyBorder="1" applyAlignment="1">
      <alignment shrinkToFit="1"/>
    </xf>
    <xf numFmtId="3" fontId="3" fillId="9" borderId="27" xfId="1" applyNumberFormat="1" applyFont="1" applyFill="1" applyBorder="1" applyAlignment="1">
      <alignment shrinkToFit="1"/>
    </xf>
    <xf numFmtId="3" fontId="6" fillId="9" borderId="28" xfId="1" applyNumberFormat="1" applyFont="1" applyFill="1" applyBorder="1" applyAlignment="1">
      <alignment shrinkToFit="1"/>
    </xf>
    <xf numFmtId="3" fontId="6" fillId="0" borderId="9" xfId="0" applyNumberFormat="1" applyFont="1" applyFill="1" applyBorder="1" applyAlignment="1">
      <alignment horizontal="right" shrinkToFit="1"/>
    </xf>
    <xf numFmtId="3" fontId="3" fillId="0" borderId="8" xfId="1" applyNumberFormat="1" applyFont="1" applyFill="1" applyBorder="1" applyAlignment="1">
      <alignment shrinkToFit="1"/>
    </xf>
    <xf numFmtId="3" fontId="3" fillId="0" borderId="9" xfId="1" applyNumberFormat="1" applyFont="1" applyFill="1" applyBorder="1" applyAlignment="1">
      <alignment shrinkToFit="1"/>
    </xf>
    <xf numFmtId="3" fontId="6" fillId="9" borderId="9" xfId="0" applyNumberFormat="1" applyFont="1" applyFill="1" applyBorder="1" applyAlignment="1">
      <alignment horizontal="right" shrinkToFit="1"/>
    </xf>
    <xf numFmtId="3" fontId="6" fillId="9" borderId="9" xfId="1" applyNumberFormat="1" applyFont="1" applyFill="1" applyBorder="1" applyAlignment="1">
      <alignment shrinkToFit="1"/>
    </xf>
    <xf numFmtId="3" fontId="3" fillId="9" borderId="8" xfId="1" applyNumberFormat="1" applyFont="1" applyFill="1" applyBorder="1" applyAlignment="1">
      <alignment shrinkToFit="1"/>
    </xf>
    <xf numFmtId="3" fontId="3" fillId="9" borderId="9" xfId="1" applyNumberFormat="1" applyFont="1" applyFill="1" applyBorder="1" applyAlignment="1">
      <alignment shrinkToFit="1"/>
    </xf>
    <xf numFmtId="3" fontId="6" fillId="9" borderId="8" xfId="1" applyNumberFormat="1" applyFont="1" applyFill="1" applyBorder="1" applyAlignment="1">
      <alignment shrinkToFit="1"/>
    </xf>
    <xf numFmtId="3" fontId="6" fillId="9" borderId="16" xfId="0" applyNumberFormat="1" applyFont="1" applyFill="1" applyBorder="1" applyAlignment="1">
      <alignment horizontal="right" shrinkToFit="1"/>
    </xf>
    <xf numFmtId="3" fontId="3" fillId="9" borderId="24" xfId="1" applyNumberFormat="1" applyFont="1" applyFill="1" applyBorder="1" applyAlignment="1">
      <alignment shrinkToFit="1"/>
    </xf>
    <xf numFmtId="3" fontId="3" fillId="9" borderId="16" xfId="1" applyNumberFormat="1" applyFont="1" applyFill="1" applyBorder="1" applyAlignment="1">
      <alignment shrinkToFit="1"/>
    </xf>
    <xf numFmtId="3" fontId="6" fillId="9" borderId="16" xfId="1" applyNumberFormat="1" applyFont="1" applyFill="1" applyBorder="1" applyAlignment="1">
      <alignment shrinkToFit="1"/>
    </xf>
    <xf numFmtId="3" fontId="6" fillId="10" borderId="17" xfId="0" applyNumberFormat="1" applyFont="1" applyFill="1" applyBorder="1" applyAlignment="1">
      <alignment horizontal="right" shrinkToFit="1"/>
    </xf>
    <xf numFmtId="3" fontId="6" fillId="10" borderId="17" xfId="1" applyNumberFormat="1" applyFont="1" applyFill="1" applyBorder="1" applyAlignment="1">
      <alignment shrinkToFit="1"/>
    </xf>
    <xf numFmtId="3" fontId="3" fillId="10" borderId="17" xfId="1" applyNumberFormat="1" applyFont="1" applyFill="1" applyBorder="1" applyAlignment="1">
      <alignment shrinkToFit="1"/>
    </xf>
    <xf numFmtId="3" fontId="3" fillId="10" borderId="28" xfId="1" applyNumberFormat="1" applyFont="1" applyFill="1" applyBorder="1" applyAlignment="1">
      <alignment shrinkToFit="1"/>
    </xf>
    <xf numFmtId="3" fontId="6" fillId="10" borderId="28" xfId="1" applyNumberFormat="1" applyFont="1" applyFill="1" applyBorder="1" applyAlignment="1">
      <alignment shrinkToFit="1"/>
    </xf>
    <xf numFmtId="3" fontId="6" fillId="10" borderId="9" xfId="0" applyNumberFormat="1" applyFont="1" applyFill="1" applyBorder="1" applyAlignment="1">
      <alignment horizontal="right" shrinkToFit="1"/>
    </xf>
    <xf numFmtId="3" fontId="6" fillId="10" borderId="9" xfId="1" applyNumberFormat="1" applyFont="1" applyFill="1" applyBorder="1" applyAlignment="1">
      <alignment shrinkToFit="1"/>
    </xf>
    <xf numFmtId="3" fontId="3" fillId="10" borderId="9" xfId="1" applyNumberFormat="1" applyFont="1" applyFill="1" applyBorder="1" applyAlignment="1">
      <alignment shrinkToFit="1"/>
    </xf>
    <xf numFmtId="3" fontId="6" fillId="5" borderId="9" xfId="0" applyNumberFormat="1" applyFont="1" applyFill="1" applyBorder="1" applyAlignment="1">
      <alignment horizontal="right" shrinkToFit="1"/>
    </xf>
    <xf numFmtId="3" fontId="6" fillId="5" borderId="9" xfId="1" applyNumberFormat="1" applyFont="1" applyFill="1" applyBorder="1" applyAlignment="1">
      <alignment shrinkToFit="1"/>
    </xf>
    <xf numFmtId="3" fontId="6" fillId="10" borderId="16" xfId="0" applyNumberFormat="1" applyFont="1" applyFill="1" applyBorder="1" applyAlignment="1">
      <alignment horizontal="right" shrinkToFit="1"/>
    </xf>
    <xf numFmtId="3" fontId="6" fillId="10" borderId="16" xfId="1" applyNumberFormat="1" applyFont="1" applyFill="1" applyBorder="1" applyAlignment="1">
      <alignment shrinkToFit="1"/>
    </xf>
    <xf numFmtId="3" fontId="3" fillId="10" borderId="16" xfId="1" applyNumberFormat="1" applyFont="1" applyFill="1" applyBorder="1" applyAlignment="1">
      <alignment shrinkToFit="1"/>
    </xf>
    <xf numFmtId="3" fontId="6" fillId="11" borderId="27" xfId="0" applyNumberFormat="1" applyFont="1" applyFill="1" applyBorder="1" applyAlignment="1">
      <alignment horizontal="right" shrinkToFit="1"/>
    </xf>
    <xf numFmtId="3" fontId="6" fillId="11" borderId="27" xfId="0" applyNumberFormat="1" applyFont="1" applyFill="1" applyBorder="1" applyAlignment="1">
      <alignment shrinkToFit="1"/>
    </xf>
    <xf numFmtId="3" fontId="3" fillId="11" borderId="28" xfId="0" applyNumberFormat="1" applyFont="1" applyFill="1" applyBorder="1" applyAlignment="1">
      <alignment shrinkToFit="1"/>
    </xf>
    <xf numFmtId="3" fontId="3" fillId="11" borderId="27" xfId="0" applyNumberFormat="1" applyFont="1" applyFill="1" applyBorder="1" applyAlignment="1">
      <alignment shrinkToFit="1"/>
    </xf>
    <xf numFmtId="3" fontId="3" fillId="11" borderId="27" xfId="0" applyNumberFormat="1" applyFont="1" applyFill="1" applyBorder="1" applyAlignment="1"/>
    <xf numFmtId="3" fontId="3" fillId="11" borderId="28" xfId="0" applyNumberFormat="1" applyFont="1" applyFill="1" applyBorder="1" applyAlignment="1"/>
    <xf numFmtId="3" fontId="6" fillId="11" borderId="28" xfId="0" applyNumberFormat="1" applyFont="1" applyFill="1" applyBorder="1" applyAlignment="1"/>
    <xf numFmtId="3" fontId="6" fillId="0" borderId="27" xfId="0" applyNumberFormat="1" applyFont="1" applyFill="1" applyBorder="1" applyAlignment="1">
      <alignment horizontal="right" shrinkToFit="1"/>
    </xf>
    <xf numFmtId="3" fontId="6" fillId="0" borderId="27" xfId="0" applyNumberFormat="1" applyFont="1" applyFill="1" applyBorder="1" applyAlignment="1">
      <alignment shrinkToFit="1"/>
    </xf>
    <xf numFmtId="3" fontId="3" fillId="0" borderId="8" xfId="0" applyNumberFormat="1" applyFont="1" applyFill="1" applyBorder="1" applyAlignment="1">
      <alignment shrinkToFit="1"/>
    </xf>
    <xf numFmtId="3" fontId="3" fillId="0" borderId="9" xfId="0" applyNumberFormat="1" applyFont="1" applyFill="1" applyBorder="1" applyAlignment="1">
      <alignment shrinkToFit="1"/>
    </xf>
    <xf numFmtId="3" fontId="6" fillId="0" borderId="8" xfId="0" applyNumberFormat="1" applyFont="1" applyFill="1" applyBorder="1" applyAlignment="1"/>
    <xf numFmtId="3" fontId="3" fillId="11" borderId="8" xfId="0" applyNumberFormat="1" applyFont="1" applyFill="1" applyBorder="1" applyAlignment="1">
      <alignment shrinkToFit="1"/>
    </xf>
    <xf numFmtId="3" fontId="3" fillId="11" borderId="9" xfId="0" applyNumberFormat="1" applyFont="1" applyFill="1" applyBorder="1" applyAlignment="1">
      <alignment shrinkToFit="1"/>
    </xf>
    <xf numFmtId="3" fontId="3" fillId="11" borderId="9" xfId="0" applyNumberFormat="1" applyFont="1" applyFill="1" applyBorder="1" applyAlignment="1"/>
    <xf numFmtId="3" fontId="3" fillId="11" borderId="8" xfId="0" applyNumberFormat="1" applyFont="1" applyFill="1" applyBorder="1" applyAlignment="1"/>
    <xf numFmtId="3" fontId="6" fillId="11" borderId="8" xfId="0" applyNumberFormat="1" applyFont="1" applyFill="1" applyBorder="1" applyAlignment="1"/>
    <xf numFmtId="3" fontId="6" fillId="11" borderId="9" xfId="0" applyNumberFormat="1" applyFont="1" applyFill="1" applyBorder="1" applyAlignment="1">
      <alignment horizontal="right" shrinkToFit="1"/>
    </xf>
    <xf numFmtId="3" fontId="6" fillId="11" borderId="9" xfId="0" applyNumberFormat="1" applyFont="1" applyFill="1" applyBorder="1" applyAlignment="1">
      <alignment shrinkToFit="1"/>
    </xf>
    <xf numFmtId="4" fontId="6" fillId="0" borderId="9" xfId="0" applyNumberFormat="1" applyFont="1" applyFill="1" applyBorder="1" applyAlignment="1">
      <alignment horizontal="right" shrinkToFit="1"/>
    </xf>
    <xf numFmtId="3" fontId="6" fillId="0" borderId="9" xfId="0" applyNumberFormat="1" applyFont="1" applyFill="1" applyBorder="1" applyAlignment="1">
      <alignment shrinkToFit="1"/>
    </xf>
    <xf numFmtId="0" fontId="3" fillId="0" borderId="0" xfId="0" applyFont="1"/>
    <xf numFmtId="0" fontId="3" fillId="5" borderId="0" xfId="0" applyFont="1" applyFill="1" applyBorder="1" applyAlignment="1">
      <alignment horizontal="center"/>
    </xf>
    <xf numFmtId="0" fontId="3" fillId="5" borderId="0" xfId="0" applyFont="1" applyFill="1" applyBorder="1" applyAlignment="1"/>
    <xf numFmtId="14" fontId="3" fillId="5" borderId="5" xfId="0" applyNumberFormat="1" applyFont="1" applyFill="1" applyBorder="1" applyAlignment="1"/>
    <xf numFmtId="166" fontId="3" fillId="5" borderId="5" xfId="1" applyNumberFormat="1" applyFont="1" applyFill="1" applyBorder="1" applyAlignment="1"/>
    <xf numFmtId="3" fontId="3" fillId="5" borderId="5" xfId="1" applyNumberFormat="1" applyFont="1" applyFill="1" applyBorder="1" applyAlignment="1"/>
    <xf numFmtId="168" fontId="3" fillId="5" borderId="5" xfId="0" applyNumberFormat="1" applyFont="1" applyFill="1" applyBorder="1" applyAlignment="1"/>
    <xf numFmtId="166" fontId="3" fillId="5" borderId="5" xfId="0" applyNumberFormat="1" applyFont="1" applyFill="1" applyBorder="1" applyAlignment="1"/>
    <xf numFmtId="1" fontId="3" fillId="5" borderId="5" xfId="0" applyNumberFormat="1" applyFont="1" applyFill="1" applyBorder="1" applyAlignment="1"/>
    <xf numFmtId="0" fontId="0" fillId="0" borderId="5" xfId="0" applyBorder="1" applyAlignment="1">
      <alignment vertical="top"/>
    </xf>
    <xf numFmtId="0" fontId="0" fillId="0" borderId="0" xfId="0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0" fillId="0" borderId="5" xfId="0" applyBorder="1" applyAlignment="1">
      <alignment horizontal="justify" vertical="top"/>
    </xf>
    <xf numFmtId="0" fontId="0" fillId="0" borderId="11" xfId="0" applyBorder="1" applyAlignment="1">
      <alignment horizontal="justify" vertical="top"/>
    </xf>
    <xf numFmtId="3" fontId="6" fillId="7" borderId="5" xfId="0" applyNumberFormat="1" applyFont="1" applyFill="1" applyBorder="1" applyAlignment="1">
      <alignment horizontal="center"/>
    </xf>
    <xf numFmtId="3" fontId="10" fillId="7" borderId="0" xfId="0" applyNumberFormat="1" applyFont="1" applyFill="1" applyBorder="1" applyAlignment="1">
      <alignment horizontal="center"/>
    </xf>
    <xf numFmtId="3" fontId="10" fillId="7" borderId="15" xfId="0" applyNumberFormat="1" applyFont="1" applyFill="1" applyBorder="1" applyAlignment="1">
      <alignment horizontal="center"/>
    </xf>
    <xf numFmtId="164" fontId="6" fillId="4" borderId="10" xfId="0" applyNumberFormat="1" applyFont="1" applyFill="1" applyBorder="1" applyAlignment="1">
      <alignment horizontal="center" shrinkToFit="1"/>
    </xf>
    <xf numFmtId="0" fontId="0" fillId="4" borderId="8" xfId="0" applyFill="1" applyBorder="1" applyAlignment="1">
      <alignment horizontal="center" shrinkToFit="1"/>
    </xf>
    <xf numFmtId="0" fontId="6" fillId="4" borderId="7" xfId="0" applyFont="1" applyFill="1" applyBorder="1" applyAlignment="1">
      <alignment horizontal="center"/>
    </xf>
    <xf numFmtId="0" fontId="6" fillId="4" borderId="7" xfId="0" applyFont="1" applyFill="1" applyBorder="1" applyAlignment="1"/>
    <xf numFmtId="0" fontId="6" fillId="4" borderId="8" xfId="0" applyFont="1" applyFill="1" applyBorder="1" applyAlignment="1"/>
    <xf numFmtId="0" fontId="6" fillId="4" borderId="10" xfId="0" applyFont="1" applyFill="1" applyBorder="1" applyAlignment="1">
      <alignment horizontal="center" shrinkToFit="1"/>
    </xf>
    <xf numFmtId="0" fontId="6" fillId="4" borderId="7" xfId="0" applyFont="1" applyFill="1" applyBorder="1" applyAlignment="1">
      <alignment horizontal="center" shrinkToFit="1"/>
    </xf>
    <xf numFmtId="0" fontId="6" fillId="4" borderId="8" xfId="0" applyFont="1" applyFill="1" applyBorder="1" applyAlignment="1">
      <alignment horizontal="center" shrinkToFit="1"/>
    </xf>
    <xf numFmtId="1" fontId="6" fillId="5" borderId="18" xfId="0" applyNumberFormat="1" applyFont="1" applyFill="1" applyBorder="1" applyAlignment="1">
      <alignment horizontal="center" vertical="center" wrapText="1" shrinkToFit="1"/>
    </xf>
    <xf numFmtId="0" fontId="9" fillId="0" borderId="19" xfId="0" applyFont="1" applyBorder="1" applyAlignment="1">
      <alignment horizontal="center" vertical="center" wrapText="1" shrinkToFit="1"/>
    </xf>
    <xf numFmtId="0" fontId="6" fillId="0" borderId="18" xfId="0" applyFont="1" applyBorder="1" applyAlignment="1">
      <alignment horizontal="center" vertical="center" wrapText="1" shrinkToFit="1"/>
    </xf>
    <xf numFmtId="0" fontId="9" fillId="0" borderId="20" xfId="0" applyFont="1" applyBorder="1" applyAlignment="1">
      <alignment horizontal="center" vertical="center" wrapText="1" shrinkToFit="1"/>
    </xf>
    <xf numFmtId="0" fontId="2" fillId="2" borderId="1" xfId="0" applyFont="1" applyFill="1" applyBorder="1" applyAlignment="1" applyProtection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2" borderId="5" xfId="0" applyFont="1" applyFill="1" applyBorder="1" applyAlignment="1">
      <alignment horizontal="justify" vertical="top" wrapText="1"/>
    </xf>
    <xf numFmtId="0" fontId="0" fillId="0" borderId="0" xfId="0" applyAlignment="1">
      <alignment horizontal="justify" vertical="top"/>
    </xf>
    <xf numFmtId="0" fontId="0" fillId="0" borderId="5" xfId="0" applyBorder="1" applyAlignment="1">
      <alignment horizontal="justify" vertical="top"/>
    </xf>
    <xf numFmtId="0" fontId="0" fillId="0" borderId="11" xfId="0" applyBorder="1" applyAlignment="1">
      <alignment horizontal="justify" vertical="top"/>
    </xf>
    <xf numFmtId="0" fontId="0" fillId="0" borderId="12" xfId="0" applyBorder="1" applyAlignment="1">
      <alignment horizontal="justify" vertical="top"/>
    </xf>
    <xf numFmtId="0" fontId="0" fillId="0" borderId="7" xfId="0" applyBorder="1" applyAlignment="1"/>
    <xf numFmtId="0" fontId="0" fillId="0" borderId="8" xfId="0" applyBorder="1" applyAlignment="1"/>
    <xf numFmtId="0" fontId="3" fillId="4" borderId="10" xfId="0" applyFont="1" applyFill="1" applyBorder="1" applyAlignment="1">
      <alignment shrinkToFit="1"/>
    </xf>
    <xf numFmtId="0" fontId="0" fillId="0" borderId="8" xfId="0" applyBorder="1" applyAlignment="1">
      <alignment shrinkToFit="1"/>
    </xf>
    <xf numFmtId="3" fontId="7" fillId="4" borderId="10" xfId="0" applyNumberFormat="1" applyFont="1" applyFill="1" applyBorder="1" applyAlignment="1">
      <alignment horizontal="center" shrinkToFit="1"/>
    </xf>
    <xf numFmtId="3" fontId="0" fillId="4" borderId="8" xfId="0" applyNumberFormat="1" applyFill="1" applyBorder="1" applyAlignment="1">
      <alignment horizontal="center" shrinkToFi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externalLink" Target="externalLinks/externalLink1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Pump 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'Silvertip A 1H'!$B$3:$D$3</c:f>
              <c:strCache>
                <c:ptCount val="3"/>
                <c:pt idx="0">
                  <c:v>SilverTip 76-7 Unit A 1H</c:v>
                </c:pt>
              </c:strCache>
            </c:strRef>
          </c:tx>
          <c:marker>
            <c:symbol val="none"/>
          </c:marker>
          <c:val>
            <c:numRef>
              <c:f>'Silvertip A 1H'!$C$23:$BC$23</c:f>
              <c:numCache>
                <c:formatCode>0.0</c:formatCode>
                <c:ptCount val="53"/>
                <c:pt idx="0">
                  <c:v>56</c:v>
                </c:pt>
                <c:pt idx="1">
                  <c:v>58</c:v>
                </c:pt>
                <c:pt idx="2">
                  <c:v>53.7</c:v>
                </c:pt>
                <c:pt idx="3">
                  <c:v>57.5</c:v>
                </c:pt>
                <c:pt idx="4">
                  <c:v>58.6</c:v>
                </c:pt>
                <c:pt idx="5">
                  <c:v>59.2</c:v>
                </c:pt>
                <c:pt idx="6">
                  <c:v>61</c:v>
                </c:pt>
                <c:pt idx="7">
                  <c:v>56</c:v>
                </c:pt>
                <c:pt idx="8">
                  <c:v>54.6</c:v>
                </c:pt>
                <c:pt idx="9">
                  <c:v>58.3</c:v>
                </c:pt>
                <c:pt idx="10">
                  <c:v>54</c:v>
                </c:pt>
                <c:pt idx="11">
                  <c:v>61.1</c:v>
                </c:pt>
                <c:pt idx="12">
                  <c:v>51</c:v>
                </c:pt>
                <c:pt idx="13">
                  <c:v>58</c:v>
                </c:pt>
                <c:pt idx="14">
                  <c:v>62.5</c:v>
                </c:pt>
                <c:pt idx="15">
                  <c:v>61</c:v>
                </c:pt>
                <c:pt idx="16">
                  <c:v>53.3</c:v>
                </c:pt>
                <c:pt idx="17">
                  <c:v>58</c:v>
                </c:pt>
                <c:pt idx="18">
                  <c:v>59.5</c:v>
                </c:pt>
                <c:pt idx="19">
                  <c:v>63.8</c:v>
                </c:pt>
                <c:pt idx="20">
                  <c:v>61.8</c:v>
                </c:pt>
                <c:pt idx="21">
                  <c:v>60.5</c:v>
                </c:pt>
                <c:pt idx="22">
                  <c:v>61</c:v>
                </c:pt>
                <c:pt idx="23">
                  <c:v>60.5</c:v>
                </c:pt>
                <c:pt idx="24">
                  <c:v>59.6</c:v>
                </c:pt>
                <c:pt idx="25">
                  <c:v>59</c:v>
                </c:pt>
                <c:pt idx="26">
                  <c:v>58</c:v>
                </c:pt>
                <c:pt idx="27">
                  <c:v>64.400000000000006</c:v>
                </c:pt>
                <c:pt idx="28">
                  <c:v>62</c:v>
                </c:pt>
                <c:pt idx="29">
                  <c:v>56</c:v>
                </c:pt>
                <c:pt idx="30">
                  <c:v>59.6</c:v>
                </c:pt>
                <c:pt idx="31">
                  <c:v>62</c:v>
                </c:pt>
                <c:pt idx="32">
                  <c:v>63.8</c:v>
                </c:pt>
                <c:pt idx="33">
                  <c:v>58</c:v>
                </c:pt>
                <c:pt idx="34">
                  <c:v>60.1</c:v>
                </c:pt>
                <c:pt idx="35">
                  <c:v>59</c:v>
                </c:pt>
                <c:pt idx="36">
                  <c:v>58.7</c:v>
                </c:pt>
                <c:pt idx="37">
                  <c:v>62.2</c:v>
                </c:pt>
                <c:pt idx="38">
                  <c:v>60.1</c:v>
                </c:pt>
                <c:pt idx="39">
                  <c:v>59.9</c:v>
                </c:pt>
                <c:pt idx="40">
                  <c:v>61.4</c:v>
                </c:pt>
                <c:pt idx="41">
                  <c:v>62.1</c:v>
                </c:pt>
                <c:pt idx="42">
                  <c:v>66.099999999999994</c:v>
                </c:pt>
                <c:pt idx="43">
                  <c:v>66.7</c:v>
                </c:pt>
                <c:pt idx="44">
                  <c:v>64.400000000000006</c:v>
                </c:pt>
                <c:pt idx="45">
                  <c:v>68.8</c:v>
                </c:pt>
                <c:pt idx="46">
                  <c:v>65.400000000000006</c:v>
                </c:pt>
                <c:pt idx="47">
                  <c:v>70.2</c:v>
                </c:pt>
                <c:pt idx="48">
                  <c:v>68.5</c:v>
                </c:pt>
                <c:pt idx="49">
                  <c:v>70</c:v>
                </c:pt>
                <c:pt idx="50">
                  <c:v>66.3</c:v>
                </c:pt>
                <c:pt idx="51">
                  <c:v>69.3</c:v>
                </c:pt>
                <c:pt idx="5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F01-48AC-BD1C-11F6A03F974E}"/>
            </c:ext>
          </c:extLst>
        </c:ser>
        <c:ser>
          <c:idx val="0"/>
          <c:order val="1"/>
          <c:tx>
            <c:strRef>
              <c:f>'Silvertip A 2H'!$B$3:$D$3</c:f>
              <c:strCache>
                <c:ptCount val="3"/>
                <c:pt idx="0">
                  <c:v>Silvertip 76-7 Unit A 2H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'Silvertip A 2H'!$C$23:$BC$23</c:f>
              <c:numCache>
                <c:formatCode>0.0</c:formatCode>
                <c:ptCount val="53"/>
                <c:pt idx="0">
                  <c:v>58</c:v>
                </c:pt>
                <c:pt idx="1">
                  <c:v>69.7</c:v>
                </c:pt>
                <c:pt idx="2">
                  <c:v>69.5</c:v>
                </c:pt>
                <c:pt idx="3">
                  <c:v>63.1</c:v>
                </c:pt>
                <c:pt idx="4">
                  <c:v>61.2</c:v>
                </c:pt>
                <c:pt idx="5">
                  <c:v>60.1</c:v>
                </c:pt>
                <c:pt idx="6">
                  <c:v>62.5</c:v>
                </c:pt>
                <c:pt idx="7">
                  <c:v>60.7</c:v>
                </c:pt>
                <c:pt idx="8">
                  <c:v>59.3</c:v>
                </c:pt>
                <c:pt idx="9">
                  <c:v>60.1</c:v>
                </c:pt>
                <c:pt idx="10">
                  <c:v>61.4</c:v>
                </c:pt>
                <c:pt idx="11">
                  <c:v>60.8</c:v>
                </c:pt>
                <c:pt idx="12">
                  <c:v>63.3</c:v>
                </c:pt>
                <c:pt idx="13">
                  <c:v>60.8</c:v>
                </c:pt>
                <c:pt idx="14">
                  <c:v>50.7</c:v>
                </c:pt>
                <c:pt idx="15">
                  <c:v>64.599999999999994</c:v>
                </c:pt>
                <c:pt idx="16">
                  <c:v>60.7</c:v>
                </c:pt>
                <c:pt idx="17">
                  <c:v>61.6</c:v>
                </c:pt>
                <c:pt idx="18">
                  <c:v>59.6</c:v>
                </c:pt>
                <c:pt idx="19">
                  <c:v>63.6</c:v>
                </c:pt>
                <c:pt idx="20">
                  <c:v>61.1</c:v>
                </c:pt>
                <c:pt idx="21">
                  <c:v>63.9</c:v>
                </c:pt>
                <c:pt idx="22">
                  <c:v>60.3</c:v>
                </c:pt>
                <c:pt idx="23">
                  <c:v>61.4</c:v>
                </c:pt>
                <c:pt idx="24">
                  <c:v>69.3</c:v>
                </c:pt>
                <c:pt idx="25">
                  <c:v>62.9</c:v>
                </c:pt>
                <c:pt idx="26">
                  <c:v>64.400000000000006</c:v>
                </c:pt>
                <c:pt idx="27">
                  <c:v>58.7</c:v>
                </c:pt>
                <c:pt idx="28">
                  <c:v>69.5</c:v>
                </c:pt>
                <c:pt idx="29">
                  <c:v>68.900000000000006</c:v>
                </c:pt>
                <c:pt idx="30">
                  <c:v>67.900000000000006</c:v>
                </c:pt>
                <c:pt idx="31">
                  <c:v>69.599999999999994</c:v>
                </c:pt>
                <c:pt idx="32">
                  <c:v>69.7</c:v>
                </c:pt>
                <c:pt idx="33">
                  <c:v>68.7</c:v>
                </c:pt>
                <c:pt idx="34">
                  <c:v>70</c:v>
                </c:pt>
                <c:pt idx="35">
                  <c:v>67.7</c:v>
                </c:pt>
                <c:pt idx="36">
                  <c:v>66</c:v>
                </c:pt>
                <c:pt idx="37">
                  <c:v>67.8</c:v>
                </c:pt>
                <c:pt idx="38">
                  <c:v>69.900000000000006</c:v>
                </c:pt>
                <c:pt idx="39">
                  <c:v>69.099999999999994</c:v>
                </c:pt>
                <c:pt idx="40">
                  <c:v>69.599999999999994</c:v>
                </c:pt>
                <c:pt idx="41">
                  <c:v>66.400000000000006</c:v>
                </c:pt>
                <c:pt idx="42">
                  <c:v>63.9</c:v>
                </c:pt>
                <c:pt idx="43">
                  <c:v>67.099999999999994</c:v>
                </c:pt>
                <c:pt idx="44">
                  <c:v>69</c:v>
                </c:pt>
                <c:pt idx="45">
                  <c:v>69.7</c:v>
                </c:pt>
                <c:pt idx="46">
                  <c:v>69.900000000000006</c:v>
                </c:pt>
                <c:pt idx="47">
                  <c:v>69.3</c:v>
                </c:pt>
                <c:pt idx="48">
                  <c:v>69.3</c:v>
                </c:pt>
                <c:pt idx="49">
                  <c:v>69.599999999999994</c:v>
                </c:pt>
                <c:pt idx="50">
                  <c:v>68.2</c:v>
                </c:pt>
                <c:pt idx="51">
                  <c:v>69.099999999999994</c:v>
                </c:pt>
                <c:pt idx="52">
                  <c:v>67.400000000000006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01-48AC-BD1C-11F6A03F9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212048"/>
        <c:axId val="476211088"/>
      </c:lineChart>
      <c:catAx>
        <c:axId val="4762120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11088"/>
        <c:crosses val="autoZero"/>
        <c:auto val="1"/>
        <c:lblAlgn val="ctr"/>
        <c:lblOffset val="100"/>
        <c:noMultiLvlLbl val="0"/>
      </c:catAx>
      <c:valAx>
        <c:axId val="47621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1204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196849</xdr:colOff>
      <xdr:row>3</xdr:row>
      <xdr:rowOff>153988</xdr:rowOff>
    </xdr:from>
    <xdr:to>
      <xdr:col>12</xdr:col>
      <xdr:colOff>390524</xdr:colOff>
      <xdr:row>18</xdr:row>
      <xdr:rowOff>152401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46CAFC-24D9-4CE8-9E0F-0F760ABF40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104775</xdr:rowOff>
    </xdr:from>
    <xdr:to>
      <xdr:col>3</xdr:col>
      <xdr:colOff>190500</xdr:colOff>
      <xdr:row>0</xdr:row>
      <xdr:rowOff>485775</xdr:rowOff>
    </xdr:to>
    <xdr:pic>
      <xdr:nvPicPr>
        <xdr:cNvPr id="2" name="Picture 1" descr="ELYLOGO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04775"/>
          <a:ext cx="2819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104775</xdr:rowOff>
    </xdr:from>
    <xdr:to>
      <xdr:col>3</xdr:col>
      <xdr:colOff>190500</xdr:colOff>
      <xdr:row>0</xdr:row>
      <xdr:rowOff>485775</xdr:rowOff>
    </xdr:to>
    <xdr:pic>
      <xdr:nvPicPr>
        <xdr:cNvPr id="2" name="Picture 1" descr="ELYLOGO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04775"/>
          <a:ext cx="2819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104775</xdr:rowOff>
    </xdr:from>
    <xdr:to>
      <xdr:col>3</xdr:col>
      <xdr:colOff>190500</xdr:colOff>
      <xdr:row>0</xdr:row>
      <xdr:rowOff>485775</xdr:rowOff>
    </xdr:to>
    <xdr:pic>
      <xdr:nvPicPr>
        <xdr:cNvPr id="2" name="Picture 1" descr="ELYLOGO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04775"/>
          <a:ext cx="20383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104775</xdr:rowOff>
    </xdr:from>
    <xdr:to>
      <xdr:col>3</xdr:col>
      <xdr:colOff>190500</xdr:colOff>
      <xdr:row>0</xdr:row>
      <xdr:rowOff>485775</xdr:rowOff>
    </xdr:to>
    <xdr:pic>
      <xdr:nvPicPr>
        <xdr:cNvPr id="2" name="Picture 1" descr="ELYLOGO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04775"/>
          <a:ext cx="2819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104775</xdr:rowOff>
    </xdr:from>
    <xdr:to>
      <xdr:col>3</xdr:col>
      <xdr:colOff>190500</xdr:colOff>
      <xdr:row>0</xdr:row>
      <xdr:rowOff>485775</xdr:rowOff>
    </xdr:to>
    <xdr:pic>
      <xdr:nvPicPr>
        <xdr:cNvPr id="2" name="Picture 1" descr="ELYLOGO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04775"/>
          <a:ext cx="2819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104775</xdr:rowOff>
    </xdr:from>
    <xdr:to>
      <xdr:col>3</xdr:col>
      <xdr:colOff>190500</xdr:colOff>
      <xdr:row>0</xdr:row>
      <xdr:rowOff>485775</xdr:rowOff>
    </xdr:to>
    <xdr:pic>
      <xdr:nvPicPr>
        <xdr:cNvPr id="2" name="Picture 1" descr="ELYLOGO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04775"/>
          <a:ext cx="2819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104775</xdr:rowOff>
    </xdr:from>
    <xdr:to>
      <xdr:col>3</xdr:col>
      <xdr:colOff>190500</xdr:colOff>
      <xdr:row>0</xdr:row>
      <xdr:rowOff>485775</xdr:rowOff>
    </xdr:to>
    <xdr:pic>
      <xdr:nvPicPr>
        <xdr:cNvPr id="2" name="Picture 1" descr="ELYLOGO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04775"/>
          <a:ext cx="2819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104775</xdr:rowOff>
    </xdr:from>
    <xdr:to>
      <xdr:col>3</xdr:col>
      <xdr:colOff>190500</xdr:colOff>
      <xdr:row>0</xdr:row>
      <xdr:rowOff>485775</xdr:rowOff>
    </xdr:to>
    <xdr:pic>
      <xdr:nvPicPr>
        <xdr:cNvPr id="2" name="Picture 1" descr="ELYLOGO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04775"/>
          <a:ext cx="2819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104775</xdr:rowOff>
    </xdr:from>
    <xdr:to>
      <xdr:col>3</xdr:col>
      <xdr:colOff>190500</xdr:colOff>
      <xdr:row>0</xdr:row>
      <xdr:rowOff>485775</xdr:rowOff>
    </xdr:to>
    <xdr:pic>
      <xdr:nvPicPr>
        <xdr:cNvPr id="2" name="Picture 1" descr="ELYLOGO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04775"/>
          <a:ext cx="2819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haredData\Houston\SWRegion\Delaware\WELL_FILES\TX_LOVING\Silvertip%2076-7%20Unit%20A%201H\Completion\Post%20Frac\ElyQC%20Silvertip%2076-7%20Unit%20A%201H%20(53-Stages)_(PumpCo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haredData\Houston\SWRegion\Delaware\WELL_FILES\TX_LOVING\Silvertip%2076-7%20Unit%20A%202H\Completion\Post%20Job%20Reports\ElyFrac\ElyQC%20Silvertip%2076-7%20Unit%20A%202H%20(53-Stages)_(PumpCo%202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haredData\Houston\SWRegion\Delaware\WELL_FILES\TX_LOVING\Silvertip%2076-7%20Unit%20A%203H\Completion\Post%20Job%20Reports\Ely%20Frac\ElyQC%20Silvertip%2076-7%20Unit%20A%203H%20(53-Stages)_(PumpCo2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haredData\Houston\SWRegion\Delaware\WELL_FILES\TX_LOVING\Silvertip%2076-7%20Unit%20A%204H\Completion\Post%20Job%20Reports\Elyfrac\ElyQC%20Silvertip%2076-7%20Unit%20A%204H%20(53-Stages)_(PumpCo%202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haredData\Houston\SWRegion\Delaware\WELL_FILES\TX_LOVING\Silvertip%2076-7%20Unit%20A%205H\Completion\Post%20Frac\ElyQC%20Silvertip%2076-7%20Unit%20A%205H%20(53-Stages)_(PumpCo)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haredData\Houston\SWRegion\Delaware\WELL_FILES\TX_LOVING\Silvertip%2076-7%20Unit%20A%206H\Completion\Post%20Job%20Reports\ElyFrac\ElyQC%20Silvertip%2076-7%20Unit%20A%206H%20(34-Stages)_(PumpCo%202)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haredData\Houston\SWRegion\Delaware\WELL_FILES\TX_LOVING\Silvertip%2076-7%20Unit%20A%207H\Completion\Post%20Frac\ElyQC%20Silvertip%2076-7%20Unit%20A%207H%20(53-Stages)_(PumpCo)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haredData\Houston\SWRegion\Delaware\WELL_FILES\TX_LOVING\Silvertip%2076-7%20Unit%20A%208H\Completion\Post%20Frac\ElyQC%20SILVERTIP%2076-7%20UNIT%20A%208H%20(52-Stages)_(PumpCo).new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haredData\Houston\SWRegion\Delaware\WELL_FILES\TX_LOVING\Silvertip%2076-7%20Unit%20A%209H\Completion\Post%20Frac\ElyQC%20SILVERTIP%2076-7%20UNIT%20A%209H%20(53-Stages)_(PumpCo)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haredData\Houston\SWRegion\Delaware\WELL_FILES\TX_LOVING\Silvertip%2076-7%20Unit%20A%2010H\Completion\Post%20Frac\ElyQC%20Silvertip%2076-7%20Unit%20A%2010H%20(48-Stages)_(PumpCo3)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haredData\Houston\SWRegion\Delaware\WELL_FILES\TX_LOVING\Silvertip%2076-7%20Unit%20B%202H\Completion\Post%20Frac\ElyQC%20Silvertip%2076-7%20Unit%20B%202H%20(53-Stages)_(PumpCo3)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haredData\Houston\SWRegion\Delaware\WELL_FILES\TX_LOVING\Silvertip%2076-7%20Unit%20B%203H\Completion\Post%20Frac\Ely%20Frac\Working%20Files\ElyQC%20Silvertip%2076-7%20Unit%20B%203H%20(39-Stages)_(PumpCo3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hecklist"/>
      <sheetName val="Rig Up"/>
      <sheetName val="Base Fluid"/>
      <sheetName val="Base Gel"/>
      <sheetName val="Break Tests"/>
      <sheetName val="Stage 1"/>
      <sheetName val="Stage 2"/>
      <sheetName val="Stage 3"/>
      <sheetName val="Stage 4"/>
      <sheetName val="Stage 5"/>
      <sheetName val="Stage 6"/>
      <sheetName val="Stage 7"/>
      <sheetName val="Stage 8"/>
      <sheetName val="Stage 9"/>
      <sheetName val="Stage 10"/>
      <sheetName val="Stage 11"/>
      <sheetName val="Stage 12"/>
      <sheetName val="Stage 13"/>
      <sheetName val="Stage 14"/>
      <sheetName val="Stage 15"/>
      <sheetName val="Stage 16"/>
      <sheetName val="Stage 17"/>
      <sheetName val="Stage 18"/>
      <sheetName val="Stage 19"/>
      <sheetName val="Stage 20"/>
      <sheetName val="Stage 21"/>
      <sheetName val="Stage 22"/>
      <sheetName val="Stage 23"/>
      <sheetName val="Stage 24"/>
      <sheetName val="Stage 25"/>
      <sheetName val="Stage 26"/>
      <sheetName val="Stage 27"/>
      <sheetName val="Stage 28"/>
      <sheetName val="Stage 29"/>
      <sheetName val="Stage 30"/>
      <sheetName val="Stage 31"/>
      <sheetName val="Stage 32"/>
      <sheetName val="Stage 33"/>
      <sheetName val="Stage 34"/>
      <sheetName val="Stage 35"/>
      <sheetName val="Stage 36"/>
      <sheetName val="Stage 37"/>
      <sheetName val="Stage 38"/>
      <sheetName val="Stage 39"/>
      <sheetName val="Stage 40"/>
      <sheetName val="Stage 41"/>
      <sheetName val="Stage 42"/>
      <sheetName val="Stage 43"/>
      <sheetName val="Stage 44"/>
      <sheetName val="Stage 45"/>
      <sheetName val="Stage 46"/>
      <sheetName val="Stage 47"/>
      <sheetName val="Stage 48"/>
      <sheetName val="Stage 49"/>
      <sheetName val="Stage 50"/>
      <sheetName val="Stage 51"/>
      <sheetName val="Stage 52"/>
      <sheetName val="Stage 53"/>
      <sheetName val="Set Up"/>
      <sheetName val="Treatment Summary"/>
      <sheetName val="Variance"/>
      <sheetName val="Chem Reference"/>
      <sheetName val="Pipe Reference"/>
      <sheetName val="Prop Referen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>
        <row r="2">
          <cell r="R2">
            <v>12500</v>
          </cell>
          <cell r="U2">
            <v>23230</v>
          </cell>
          <cell r="V2">
            <v>23392</v>
          </cell>
          <cell r="W2">
            <v>24</v>
          </cell>
          <cell r="X2">
            <v>23411</v>
          </cell>
          <cell r="AA2">
            <v>12540</v>
          </cell>
        </row>
        <row r="3">
          <cell r="U3">
            <v>23029</v>
          </cell>
          <cell r="V3">
            <v>23191</v>
          </cell>
          <cell r="W3">
            <v>24</v>
          </cell>
          <cell r="X3">
            <v>23210</v>
          </cell>
          <cell r="AA3">
            <v>12534</v>
          </cell>
        </row>
        <row r="4">
          <cell r="U4">
            <v>22829</v>
          </cell>
          <cell r="V4">
            <v>22990</v>
          </cell>
          <cell r="W4">
            <v>24</v>
          </cell>
          <cell r="X4">
            <v>23009</v>
          </cell>
          <cell r="AA4">
            <v>12531</v>
          </cell>
        </row>
        <row r="5">
          <cell r="E5" t="str">
            <v>Anadarko Petroleum Corporation</v>
          </cell>
          <cell r="U5">
            <v>22628</v>
          </cell>
          <cell r="V5">
            <v>22790</v>
          </cell>
          <cell r="W5">
            <v>24</v>
          </cell>
          <cell r="X5">
            <v>22809</v>
          </cell>
          <cell r="AA5">
            <v>12523</v>
          </cell>
        </row>
        <row r="6">
          <cell r="E6" t="str">
            <v>Allie Lay</v>
          </cell>
          <cell r="U6">
            <v>22427</v>
          </cell>
          <cell r="V6">
            <v>22589</v>
          </cell>
          <cell r="W6">
            <v>32</v>
          </cell>
          <cell r="X6">
            <v>22608</v>
          </cell>
          <cell r="AA6">
            <v>12509</v>
          </cell>
        </row>
        <row r="7">
          <cell r="E7" t="str">
            <v>SilverTip 76-7 Unit A 1H</v>
          </cell>
          <cell r="J7" t="str">
            <v>2121783.CMP</v>
          </cell>
          <cell r="U7">
            <v>22227</v>
          </cell>
          <cell r="V7">
            <v>22388</v>
          </cell>
          <cell r="W7">
            <v>24</v>
          </cell>
          <cell r="X7">
            <v>22407</v>
          </cell>
          <cell r="AA7">
            <v>12505</v>
          </cell>
        </row>
        <row r="8">
          <cell r="E8" t="str">
            <v>Loving County Tx</v>
          </cell>
          <cell r="U8">
            <v>22026</v>
          </cell>
          <cell r="V8">
            <v>22188</v>
          </cell>
          <cell r="W8">
            <v>24</v>
          </cell>
          <cell r="X8">
            <v>22207</v>
          </cell>
          <cell r="AA8">
            <v>12513</v>
          </cell>
        </row>
        <row r="9">
          <cell r="E9" t="str">
            <v>Wolfcamp Upper Delta</v>
          </cell>
          <cell r="U9">
            <v>21825</v>
          </cell>
          <cell r="V9">
            <v>21987</v>
          </cell>
          <cell r="W9">
            <v>24</v>
          </cell>
          <cell r="X9">
            <v>22006</v>
          </cell>
          <cell r="AA9">
            <v>12526</v>
          </cell>
        </row>
        <row r="10">
          <cell r="E10" t="str">
            <v>PumpCo 2</v>
          </cell>
          <cell r="U10">
            <v>21625</v>
          </cell>
          <cell r="V10">
            <v>21786</v>
          </cell>
          <cell r="W10">
            <v>24</v>
          </cell>
          <cell r="X10">
            <v>21805</v>
          </cell>
          <cell r="AA10">
            <v>12536</v>
          </cell>
        </row>
        <row r="11">
          <cell r="E11" t="str">
            <v>Odessa</v>
          </cell>
          <cell r="R11" t="str">
            <v>53-Stage SW Plug &amp; Perf</v>
          </cell>
          <cell r="U11">
            <v>21424</v>
          </cell>
          <cell r="V11">
            <v>21586</v>
          </cell>
          <cell r="W11">
            <v>24</v>
          </cell>
          <cell r="X11">
            <v>21605</v>
          </cell>
          <cell r="AA11">
            <v>12536</v>
          </cell>
        </row>
        <row r="12">
          <cell r="E12" t="str">
            <v xml:space="preserve">Julian Weaver/ Jarvis Weaver </v>
          </cell>
          <cell r="U12">
            <v>21223</v>
          </cell>
          <cell r="V12">
            <v>21385</v>
          </cell>
          <cell r="W12">
            <v>24</v>
          </cell>
          <cell r="X12">
            <v>21404</v>
          </cell>
          <cell r="AA12">
            <v>12534</v>
          </cell>
        </row>
        <row r="13">
          <cell r="U13">
            <v>21023</v>
          </cell>
          <cell r="V13">
            <v>21184</v>
          </cell>
          <cell r="W13">
            <v>24</v>
          </cell>
          <cell r="X13">
            <v>21203</v>
          </cell>
          <cell r="AA13">
            <v>12535</v>
          </cell>
        </row>
        <row r="14">
          <cell r="U14">
            <v>20822</v>
          </cell>
          <cell r="V14">
            <v>20984</v>
          </cell>
          <cell r="W14">
            <v>24</v>
          </cell>
          <cell r="X14">
            <v>21003</v>
          </cell>
          <cell r="AA14">
            <v>12531</v>
          </cell>
        </row>
        <row r="15">
          <cell r="E15" t="str">
            <v>5-1/2"</v>
          </cell>
          <cell r="F15">
            <v>23</v>
          </cell>
          <cell r="H15" t="str">
            <v>P-110</v>
          </cell>
          <cell r="J15">
            <v>12244</v>
          </cell>
          <cell r="K15">
            <v>12244</v>
          </cell>
          <cell r="N15">
            <v>2.1191590531075062E-2</v>
          </cell>
          <cell r="O15">
            <v>259.46983446248305</v>
          </cell>
          <cell r="U15">
            <v>20621</v>
          </cell>
          <cell r="V15">
            <v>20783</v>
          </cell>
          <cell r="W15">
            <v>24</v>
          </cell>
          <cell r="X15">
            <v>20802</v>
          </cell>
          <cell r="AA15">
            <v>12525</v>
          </cell>
        </row>
        <row r="16">
          <cell r="E16" t="str">
            <v>4-1/2"</v>
          </cell>
          <cell r="F16">
            <v>13.5</v>
          </cell>
          <cell r="H16" t="str">
            <v>P-110</v>
          </cell>
          <cell r="J16">
            <v>23483</v>
          </cell>
          <cell r="K16">
            <v>11239</v>
          </cell>
          <cell r="N16">
            <v>1.4931448020611394E-2</v>
          </cell>
          <cell r="O16">
            <v>167.81454430365147</v>
          </cell>
          <cell r="U16">
            <v>20421</v>
          </cell>
          <cell r="V16">
            <v>20582</v>
          </cell>
          <cell r="W16">
            <v>24</v>
          </cell>
          <cell r="X16">
            <v>20601</v>
          </cell>
          <cell r="AA16">
            <v>12513</v>
          </cell>
        </row>
        <row r="17">
          <cell r="E17" t="str">
            <v/>
          </cell>
          <cell r="F17" t="str">
            <v/>
          </cell>
          <cell r="H17" t="str">
            <v/>
          </cell>
          <cell r="K17" t="str">
            <v/>
          </cell>
          <cell r="N17" t="str">
            <v/>
          </cell>
          <cell r="O17" t="str">
            <v/>
          </cell>
          <cell r="U17">
            <v>20220</v>
          </cell>
          <cell r="V17">
            <v>20382</v>
          </cell>
          <cell r="W17">
            <v>24</v>
          </cell>
          <cell r="X17">
            <v>20401</v>
          </cell>
          <cell r="AA17">
            <v>12512</v>
          </cell>
        </row>
        <row r="18">
          <cell r="E18" t="str">
            <v/>
          </cell>
          <cell r="F18" t="str">
            <v/>
          </cell>
          <cell r="H18" t="str">
            <v/>
          </cell>
          <cell r="K18" t="str">
            <v/>
          </cell>
          <cell r="N18" t="str">
            <v/>
          </cell>
          <cell r="U18">
            <v>20019</v>
          </cell>
          <cell r="V18">
            <v>20181</v>
          </cell>
          <cell r="W18">
            <v>24</v>
          </cell>
          <cell r="X18">
            <v>20200</v>
          </cell>
          <cell r="AA18">
            <v>12517</v>
          </cell>
        </row>
        <row r="19">
          <cell r="U19">
            <v>19819</v>
          </cell>
          <cell r="V19">
            <v>19980</v>
          </cell>
          <cell r="W19">
            <v>24</v>
          </cell>
          <cell r="X19">
            <v>19999</v>
          </cell>
          <cell r="AA19">
            <v>12519</v>
          </cell>
        </row>
        <row r="20">
          <cell r="U20">
            <v>19618</v>
          </cell>
          <cell r="V20">
            <v>19780</v>
          </cell>
          <cell r="W20">
            <v>24</v>
          </cell>
          <cell r="X20">
            <v>19799</v>
          </cell>
          <cell r="AA20">
            <v>12516</v>
          </cell>
        </row>
        <row r="21">
          <cell r="U21">
            <v>19418</v>
          </cell>
          <cell r="V21">
            <v>19579</v>
          </cell>
          <cell r="W21">
            <v>24</v>
          </cell>
          <cell r="X21">
            <v>19598</v>
          </cell>
          <cell r="AA21">
            <v>12518</v>
          </cell>
        </row>
        <row r="22">
          <cell r="U22">
            <v>19217</v>
          </cell>
          <cell r="V22">
            <v>19379</v>
          </cell>
          <cell r="W22">
            <v>24</v>
          </cell>
          <cell r="X22">
            <v>19398</v>
          </cell>
          <cell r="AA22">
            <v>12521</v>
          </cell>
        </row>
        <row r="23">
          <cell r="U23">
            <v>19016</v>
          </cell>
          <cell r="V23">
            <v>19178</v>
          </cell>
          <cell r="W23">
            <v>24</v>
          </cell>
          <cell r="X23">
            <v>19197</v>
          </cell>
          <cell r="AA23">
            <v>12520.24</v>
          </cell>
        </row>
        <row r="24">
          <cell r="U24">
            <v>18816</v>
          </cell>
          <cell r="V24">
            <v>18977</v>
          </cell>
          <cell r="W24">
            <v>24</v>
          </cell>
          <cell r="X24">
            <v>18996</v>
          </cell>
          <cell r="AA24">
            <v>12511</v>
          </cell>
        </row>
        <row r="25">
          <cell r="U25">
            <v>18615</v>
          </cell>
          <cell r="V25">
            <v>18777</v>
          </cell>
          <cell r="W25">
            <v>24</v>
          </cell>
          <cell r="X25">
            <v>18796</v>
          </cell>
          <cell r="AA25">
            <v>12494</v>
          </cell>
        </row>
        <row r="26">
          <cell r="U26">
            <v>18414</v>
          </cell>
          <cell r="V26">
            <v>18576</v>
          </cell>
          <cell r="W26">
            <v>24</v>
          </cell>
          <cell r="X26">
            <v>18595</v>
          </cell>
          <cell r="AA26">
            <v>12483</v>
          </cell>
        </row>
        <row r="27">
          <cell r="U27">
            <v>18214</v>
          </cell>
          <cell r="V27">
            <v>18375</v>
          </cell>
          <cell r="W27">
            <v>24</v>
          </cell>
          <cell r="X27">
            <v>18394</v>
          </cell>
          <cell r="AA27">
            <v>12487</v>
          </cell>
        </row>
        <row r="28">
          <cell r="U28">
            <v>18013</v>
          </cell>
          <cell r="V28">
            <v>18175</v>
          </cell>
          <cell r="W28">
            <v>24</v>
          </cell>
          <cell r="X28">
            <v>18194</v>
          </cell>
          <cell r="AA28">
            <v>12500</v>
          </cell>
        </row>
        <row r="29">
          <cell r="U29">
            <v>17812</v>
          </cell>
          <cell r="V29">
            <v>17974</v>
          </cell>
          <cell r="W29">
            <v>24</v>
          </cell>
          <cell r="X29">
            <v>17993</v>
          </cell>
          <cell r="AA29">
            <v>12511</v>
          </cell>
        </row>
        <row r="30">
          <cell r="U30">
            <v>17612</v>
          </cell>
          <cell r="V30">
            <v>17773</v>
          </cell>
          <cell r="W30">
            <v>24</v>
          </cell>
          <cell r="X30">
            <v>17792</v>
          </cell>
          <cell r="AA30">
            <v>12519</v>
          </cell>
        </row>
        <row r="31">
          <cell r="U31">
            <v>17411</v>
          </cell>
          <cell r="V31">
            <v>17573</v>
          </cell>
          <cell r="W31">
            <v>24</v>
          </cell>
          <cell r="X31">
            <v>17592</v>
          </cell>
          <cell r="AA31">
            <v>12514</v>
          </cell>
        </row>
        <row r="32">
          <cell r="U32">
            <v>17210</v>
          </cell>
          <cell r="V32">
            <v>17372</v>
          </cell>
          <cell r="W32">
            <v>24</v>
          </cell>
          <cell r="X32">
            <v>17391</v>
          </cell>
          <cell r="AA32">
            <v>12511</v>
          </cell>
        </row>
        <row r="33">
          <cell r="U33">
            <v>17010</v>
          </cell>
          <cell r="V33">
            <v>17171</v>
          </cell>
          <cell r="W33">
            <v>24</v>
          </cell>
          <cell r="X33">
            <v>17190</v>
          </cell>
          <cell r="AA33">
            <v>12503</v>
          </cell>
        </row>
        <row r="34">
          <cell r="U34">
            <v>16809</v>
          </cell>
          <cell r="V34">
            <v>16971</v>
          </cell>
          <cell r="W34">
            <v>24</v>
          </cell>
          <cell r="X34">
            <v>16990</v>
          </cell>
          <cell r="AA34">
            <v>12496</v>
          </cell>
        </row>
        <row r="35">
          <cell r="E35" t="str">
            <v>100 Mesh</v>
          </cell>
          <cell r="U35">
            <v>16608</v>
          </cell>
          <cell r="V35">
            <v>16770</v>
          </cell>
          <cell r="W35">
            <v>24</v>
          </cell>
          <cell r="X35">
            <v>16789</v>
          </cell>
          <cell r="AA35">
            <v>12493</v>
          </cell>
        </row>
        <row r="36">
          <cell r="E36">
            <v>0</v>
          </cell>
          <cell r="U36">
            <v>16408</v>
          </cell>
          <cell r="V36">
            <v>16569</v>
          </cell>
          <cell r="W36">
            <v>24</v>
          </cell>
          <cell r="X36">
            <v>16588</v>
          </cell>
          <cell r="AA36">
            <v>12493</v>
          </cell>
        </row>
        <row r="37">
          <cell r="E37">
            <v>0</v>
          </cell>
          <cell r="U37">
            <v>16207</v>
          </cell>
          <cell r="V37">
            <v>16369</v>
          </cell>
          <cell r="W37">
            <v>24</v>
          </cell>
          <cell r="X37">
            <v>16388</v>
          </cell>
          <cell r="AA37">
            <v>12492</v>
          </cell>
        </row>
        <row r="38">
          <cell r="E38">
            <v>0</v>
          </cell>
          <cell r="U38">
            <v>16006</v>
          </cell>
          <cell r="V38">
            <v>16168</v>
          </cell>
          <cell r="W38">
            <v>24</v>
          </cell>
          <cell r="X38">
            <v>16187</v>
          </cell>
          <cell r="AA38">
            <v>12493</v>
          </cell>
        </row>
        <row r="39">
          <cell r="U39">
            <v>15806</v>
          </cell>
          <cell r="V39">
            <v>15967</v>
          </cell>
          <cell r="W39">
            <v>24</v>
          </cell>
          <cell r="X39">
            <v>15986</v>
          </cell>
          <cell r="AA39">
            <v>12492</v>
          </cell>
        </row>
        <row r="41">
          <cell r="E41" t="str">
            <v>15% HCl Acid</v>
          </cell>
          <cell r="U41">
            <v>15405</v>
          </cell>
          <cell r="V41">
            <v>15566</v>
          </cell>
          <cell r="W41">
            <v>24</v>
          </cell>
          <cell r="X41">
            <v>15585</v>
          </cell>
          <cell r="AA41">
            <v>12475</v>
          </cell>
        </row>
        <row r="42">
          <cell r="E42" t="str">
            <v>Slickwater</v>
          </cell>
          <cell r="U42">
            <v>15204</v>
          </cell>
          <cell r="V42">
            <v>15366</v>
          </cell>
          <cell r="W42">
            <v>24</v>
          </cell>
          <cell r="X42">
            <v>15385</v>
          </cell>
          <cell r="AA42">
            <v>12483</v>
          </cell>
        </row>
        <row r="43">
          <cell r="E43" t="str">
            <v>Pump Down</v>
          </cell>
          <cell r="U43">
            <v>15003</v>
          </cell>
          <cell r="V43">
            <v>15165</v>
          </cell>
          <cell r="W43">
            <v>24</v>
          </cell>
          <cell r="X43">
            <v>15184</v>
          </cell>
          <cell r="AA43">
            <v>12476</v>
          </cell>
        </row>
        <row r="44">
          <cell r="U44">
            <v>14803</v>
          </cell>
          <cell r="V44">
            <v>14964</v>
          </cell>
          <cell r="W44">
            <v>24</v>
          </cell>
          <cell r="X44">
            <v>14983</v>
          </cell>
          <cell r="AA44">
            <v>12475</v>
          </cell>
        </row>
        <row r="45">
          <cell r="U45">
            <v>14602</v>
          </cell>
          <cell r="V45">
            <v>14764</v>
          </cell>
          <cell r="W45">
            <v>24</v>
          </cell>
          <cell r="X45">
            <v>14783</v>
          </cell>
          <cell r="AA45">
            <v>12471</v>
          </cell>
        </row>
        <row r="46">
          <cell r="U46">
            <v>14401</v>
          </cell>
          <cell r="V46">
            <v>14563</v>
          </cell>
          <cell r="W46">
            <v>24</v>
          </cell>
          <cell r="X46">
            <v>14582</v>
          </cell>
          <cell r="AA46">
            <v>12467</v>
          </cell>
        </row>
        <row r="47">
          <cell r="U47">
            <v>14201</v>
          </cell>
          <cell r="V47">
            <v>14362</v>
          </cell>
          <cell r="W47">
            <v>24</v>
          </cell>
          <cell r="X47">
            <v>14381</v>
          </cell>
          <cell r="AA47">
            <v>12466</v>
          </cell>
        </row>
        <row r="48">
          <cell r="U48">
            <v>14000</v>
          </cell>
          <cell r="V48">
            <v>14162</v>
          </cell>
          <cell r="W48">
            <v>24</v>
          </cell>
          <cell r="X48">
            <v>14181</v>
          </cell>
          <cell r="AA48">
            <v>12472</v>
          </cell>
        </row>
        <row r="49">
          <cell r="U49">
            <v>13799</v>
          </cell>
          <cell r="V49">
            <v>13961</v>
          </cell>
          <cell r="W49">
            <v>24</v>
          </cell>
          <cell r="X49">
            <v>13980</v>
          </cell>
          <cell r="AA49">
            <v>12472</v>
          </cell>
        </row>
        <row r="50">
          <cell r="U50">
            <v>13599</v>
          </cell>
          <cell r="V50">
            <v>13760</v>
          </cell>
          <cell r="W50">
            <v>24</v>
          </cell>
          <cell r="X50">
            <v>13779</v>
          </cell>
          <cell r="AA50">
            <v>12466</v>
          </cell>
        </row>
        <row r="51">
          <cell r="E51" t="str">
            <v>Plexslick 957, gal</v>
          </cell>
          <cell r="U51">
            <v>13398</v>
          </cell>
          <cell r="V51">
            <v>13560</v>
          </cell>
          <cell r="W51">
            <v>24</v>
          </cell>
          <cell r="X51">
            <v>13579</v>
          </cell>
          <cell r="AA51">
            <v>12456</v>
          </cell>
        </row>
        <row r="52">
          <cell r="E52" t="str">
            <v>Chemplex 4-N-1, gal</v>
          </cell>
          <cell r="U52">
            <v>13197</v>
          </cell>
          <cell r="V52">
            <v>13359</v>
          </cell>
          <cell r="W52">
            <v>24</v>
          </cell>
          <cell r="X52">
            <v>13378</v>
          </cell>
          <cell r="AA52">
            <v>12449</v>
          </cell>
        </row>
        <row r="53">
          <cell r="E53" t="str">
            <v>Payzone 845, gal</v>
          </cell>
          <cell r="U53">
            <v>12997</v>
          </cell>
          <cell r="V53">
            <v>13158</v>
          </cell>
          <cell r="W53">
            <v>24</v>
          </cell>
          <cell r="X53">
            <v>13177</v>
          </cell>
          <cell r="AA53">
            <v>12457</v>
          </cell>
        </row>
        <row r="54">
          <cell r="E54" t="str">
            <v>Payzone 850, gal</v>
          </cell>
          <cell r="U54">
            <v>12769</v>
          </cell>
          <cell r="V54">
            <v>12958</v>
          </cell>
          <cell r="W54">
            <v>24</v>
          </cell>
          <cell r="X54">
            <v>12977</v>
          </cell>
          <cell r="AA54">
            <v>12459</v>
          </cell>
        </row>
        <row r="55">
          <cell r="E55" t="str">
            <v>Payzone 217, gal</v>
          </cell>
        </row>
        <row r="56">
          <cell r="E56" t="str">
            <v>Stim741 Gel, gal</v>
          </cell>
        </row>
        <row r="62">
          <cell r="E62" t="str">
            <v>15% HCl Acid, gal</v>
          </cell>
        </row>
      </sheetData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hecklist"/>
      <sheetName val="Rig Up"/>
      <sheetName val="Base Fluid"/>
      <sheetName val="Base Gel"/>
      <sheetName val="Break Tests"/>
      <sheetName val="Stage 1"/>
      <sheetName val="Stage 2"/>
      <sheetName val="Stage 3"/>
      <sheetName val="Stage 4"/>
      <sheetName val="Stage 5"/>
      <sheetName val="Stage 6"/>
      <sheetName val="Stage 7"/>
      <sheetName val="Stage 8"/>
      <sheetName val="Stage 9"/>
      <sheetName val="Stage 10"/>
      <sheetName val="Stage 11"/>
      <sheetName val="Stage 12"/>
      <sheetName val="Stage 13"/>
      <sheetName val="Stage 14"/>
      <sheetName val="Stage 15"/>
      <sheetName val="Stage 16"/>
      <sheetName val="Stage 17"/>
      <sheetName val="Stage 18"/>
      <sheetName val="Stage 19"/>
      <sheetName val="Stage 20"/>
      <sheetName val="Stage 21"/>
      <sheetName val="Stage 22"/>
      <sheetName val="Stage 23"/>
      <sheetName val="Stage 24"/>
      <sheetName val="Stage 25"/>
      <sheetName val="Stage 26"/>
      <sheetName val="Stage 27"/>
      <sheetName val="Stage 28"/>
      <sheetName val="Stage 29"/>
      <sheetName val="Stage 30"/>
      <sheetName val="Stage 31"/>
      <sheetName val="Stage 32"/>
      <sheetName val="Stage 33"/>
      <sheetName val="Stage 34"/>
      <sheetName val="Stage 35"/>
      <sheetName val="Stage 36"/>
      <sheetName val="Stage 37"/>
      <sheetName val="Stage 38"/>
      <sheetName val="Stage 39"/>
      <sheetName val="Stage 40"/>
      <sheetName val="Stage 41"/>
      <sheetName val="Stage 42"/>
      <sheetName val="Stage 43"/>
      <sheetName val="Stage 44"/>
      <sheetName val="Stage 45"/>
      <sheetName val="Stage 46"/>
      <sheetName val="Stage 47"/>
      <sheetName val="Stage 48"/>
      <sheetName val="Stage 49"/>
      <sheetName val="Stage 50"/>
      <sheetName val="Stage 51"/>
      <sheetName val="Stage 52"/>
      <sheetName val="Stage 53"/>
      <sheetName val="Stage 54"/>
      <sheetName val="Set Up"/>
      <sheetName val="Treatment Summary"/>
      <sheetName val="Variance"/>
      <sheetName val="Chem Reference"/>
      <sheetName val="Pipe Reference"/>
      <sheetName val="Prop Referen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>
        <row r="2">
          <cell r="R2">
            <v>12500</v>
          </cell>
          <cell r="U2">
            <v>23108</v>
          </cell>
          <cell r="V2">
            <v>23270</v>
          </cell>
          <cell r="W2">
            <v>24</v>
          </cell>
          <cell r="X2">
            <v>23289</v>
          </cell>
          <cell r="AA2">
            <v>12440</v>
          </cell>
        </row>
        <row r="3">
          <cell r="U3">
            <v>22907</v>
          </cell>
          <cell r="V3">
            <v>23069</v>
          </cell>
          <cell r="W3">
            <v>24</v>
          </cell>
          <cell r="X3">
            <v>23088</v>
          </cell>
          <cell r="AA3">
            <v>12439</v>
          </cell>
        </row>
        <row r="4">
          <cell r="U4">
            <v>22706</v>
          </cell>
          <cell r="V4">
            <v>22868</v>
          </cell>
          <cell r="W4">
            <v>24</v>
          </cell>
          <cell r="X4">
            <v>22887</v>
          </cell>
          <cell r="AA4">
            <v>12435</v>
          </cell>
        </row>
        <row r="5">
          <cell r="E5" t="str">
            <v>Anadarko Petroleum Corporation</v>
          </cell>
          <cell r="U5">
            <v>22505</v>
          </cell>
          <cell r="V5">
            <v>22667</v>
          </cell>
          <cell r="W5">
            <v>24</v>
          </cell>
          <cell r="X5">
            <v>22686</v>
          </cell>
          <cell r="AA5">
            <v>12437</v>
          </cell>
        </row>
        <row r="6">
          <cell r="E6" t="str">
            <v>Allie Lay</v>
          </cell>
          <cell r="U6">
            <v>22304</v>
          </cell>
          <cell r="V6">
            <v>22466</v>
          </cell>
          <cell r="W6">
            <v>24</v>
          </cell>
          <cell r="X6">
            <v>22485</v>
          </cell>
          <cell r="AA6">
            <v>12428</v>
          </cell>
        </row>
        <row r="7">
          <cell r="E7" t="str">
            <v>Silvertip 76-7 Unit A 2H</v>
          </cell>
          <cell r="J7" t="str">
            <v>2121762.CMP</v>
          </cell>
          <cell r="U7">
            <v>22103</v>
          </cell>
          <cell r="V7">
            <v>22265</v>
          </cell>
          <cell r="W7">
            <v>24</v>
          </cell>
          <cell r="X7">
            <v>22284</v>
          </cell>
          <cell r="AA7">
            <v>12425</v>
          </cell>
        </row>
        <row r="8">
          <cell r="E8" t="str">
            <v>Loving County, TX</v>
          </cell>
          <cell r="U8">
            <v>21902</v>
          </cell>
          <cell r="V8">
            <v>22064</v>
          </cell>
          <cell r="W8">
            <v>24</v>
          </cell>
          <cell r="X8">
            <v>22083</v>
          </cell>
          <cell r="AA8">
            <v>12421</v>
          </cell>
        </row>
        <row r="9">
          <cell r="E9" t="str">
            <v>Wolfcamp Middle Beta</v>
          </cell>
          <cell r="U9">
            <v>21701</v>
          </cell>
          <cell r="V9">
            <v>21863</v>
          </cell>
          <cell r="W9">
            <v>24</v>
          </cell>
          <cell r="X9">
            <v>21882</v>
          </cell>
          <cell r="AA9">
            <v>12421</v>
          </cell>
        </row>
        <row r="10">
          <cell r="E10" t="str">
            <v>PumpCo 2</v>
          </cell>
          <cell r="U10">
            <v>21500</v>
          </cell>
          <cell r="V10">
            <v>21662</v>
          </cell>
          <cell r="W10">
            <v>24</v>
          </cell>
          <cell r="X10">
            <v>21681</v>
          </cell>
          <cell r="AA10">
            <v>12419</v>
          </cell>
        </row>
        <row r="11">
          <cell r="E11" t="str">
            <v>Odessa</v>
          </cell>
          <cell r="R11" t="str">
            <v>53-Stage SW Plug &amp; Perf</v>
          </cell>
          <cell r="U11">
            <v>21299</v>
          </cell>
          <cell r="V11">
            <v>21461</v>
          </cell>
          <cell r="W11">
            <v>24</v>
          </cell>
          <cell r="X11">
            <v>21480</v>
          </cell>
          <cell r="AA11">
            <v>12415</v>
          </cell>
        </row>
        <row r="12">
          <cell r="E12" t="str">
            <v>Julian Weaver/Jarvis Weaver</v>
          </cell>
          <cell r="U12">
            <v>21099</v>
          </cell>
          <cell r="V12">
            <v>21260</v>
          </cell>
          <cell r="W12">
            <v>24</v>
          </cell>
          <cell r="X12">
            <v>21279</v>
          </cell>
          <cell r="AA12">
            <v>12413</v>
          </cell>
        </row>
        <row r="13">
          <cell r="U13">
            <v>20898</v>
          </cell>
          <cell r="V13">
            <v>21060</v>
          </cell>
          <cell r="W13">
            <v>24</v>
          </cell>
          <cell r="X13">
            <v>21079</v>
          </cell>
          <cell r="AA13">
            <v>12415</v>
          </cell>
        </row>
        <row r="14">
          <cell r="U14">
            <v>20697</v>
          </cell>
          <cell r="V14">
            <v>20859</v>
          </cell>
          <cell r="W14">
            <v>24</v>
          </cell>
          <cell r="X14">
            <v>20878</v>
          </cell>
          <cell r="AA14">
            <v>12412</v>
          </cell>
        </row>
        <row r="15">
          <cell r="E15" t="str">
            <v>5-1/2"</v>
          </cell>
          <cell r="F15">
            <v>23</v>
          </cell>
          <cell r="H15" t="str">
            <v>P-110</v>
          </cell>
          <cell r="J15">
            <v>12139</v>
          </cell>
          <cell r="K15">
            <v>12139</v>
          </cell>
          <cell r="N15">
            <v>2.1191590531075062E-2</v>
          </cell>
          <cell r="O15">
            <v>257.2447174567202</v>
          </cell>
          <cell r="U15">
            <v>20496</v>
          </cell>
          <cell r="V15">
            <v>20658</v>
          </cell>
          <cell r="W15">
            <v>24</v>
          </cell>
          <cell r="X15">
            <v>20677</v>
          </cell>
          <cell r="AA15">
            <v>12411</v>
          </cell>
        </row>
        <row r="16">
          <cell r="E16" t="str">
            <v>4-1/2"</v>
          </cell>
          <cell r="F16">
            <v>13.5</v>
          </cell>
          <cell r="H16" t="str">
            <v>P-110</v>
          </cell>
          <cell r="J16">
            <v>23433</v>
          </cell>
          <cell r="K16">
            <v>11294</v>
          </cell>
          <cell r="N16">
            <v>1.4931448020611394E-2</v>
          </cell>
          <cell r="O16">
            <v>168.63577394478509</v>
          </cell>
          <cell r="U16">
            <v>20295</v>
          </cell>
          <cell r="V16">
            <v>20457</v>
          </cell>
          <cell r="W16">
            <v>24</v>
          </cell>
          <cell r="X16">
            <v>20476</v>
          </cell>
          <cell r="AA16">
            <v>12412</v>
          </cell>
        </row>
        <row r="17">
          <cell r="E17" t="str">
            <v/>
          </cell>
          <cell r="F17" t="str">
            <v/>
          </cell>
          <cell r="H17" t="str">
            <v/>
          </cell>
          <cell r="K17" t="str">
            <v/>
          </cell>
          <cell r="N17" t="str">
            <v/>
          </cell>
          <cell r="O17" t="str">
            <v/>
          </cell>
          <cell r="U17">
            <v>20094</v>
          </cell>
          <cell r="V17">
            <v>20256</v>
          </cell>
          <cell r="W17">
            <v>24</v>
          </cell>
          <cell r="X17">
            <v>20275</v>
          </cell>
          <cell r="AA17">
            <v>12409</v>
          </cell>
        </row>
        <row r="18">
          <cell r="E18" t="str">
            <v/>
          </cell>
          <cell r="F18" t="str">
            <v/>
          </cell>
          <cell r="H18" t="str">
            <v/>
          </cell>
          <cell r="K18" t="str">
            <v/>
          </cell>
          <cell r="N18" t="str">
            <v/>
          </cell>
          <cell r="U18">
            <v>19893</v>
          </cell>
          <cell r="V18">
            <v>20055</v>
          </cell>
          <cell r="W18">
            <v>24</v>
          </cell>
          <cell r="X18">
            <v>20074</v>
          </cell>
          <cell r="AA18">
            <v>12416</v>
          </cell>
        </row>
        <row r="19">
          <cell r="U19">
            <v>19692</v>
          </cell>
          <cell r="V19">
            <v>19854</v>
          </cell>
          <cell r="W19">
            <v>24</v>
          </cell>
          <cell r="X19">
            <v>19873</v>
          </cell>
          <cell r="AA19">
            <v>12414</v>
          </cell>
        </row>
        <row r="20">
          <cell r="U20">
            <v>19491</v>
          </cell>
          <cell r="V20">
            <v>19653</v>
          </cell>
          <cell r="W20">
            <v>24</v>
          </cell>
          <cell r="X20">
            <v>19672</v>
          </cell>
          <cell r="AA20">
            <v>12412</v>
          </cell>
        </row>
        <row r="21">
          <cell r="U21">
            <v>19290</v>
          </cell>
          <cell r="V21">
            <v>19452</v>
          </cell>
          <cell r="W21">
            <v>24</v>
          </cell>
          <cell r="X21">
            <v>19471</v>
          </cell>
          <cell r="AA21">
            <v>12409</v>
          </cell>
        </row>
        <row r="22">
          <cell r="U22">
            <v>19089</v>
          </cell>
          <cell r="V22">
            <v>19251</v>
          </cell>
          <cell r="W22">
            <v>24</v>
          </cell>
          <cell r="X22">
            <v>19270</v>
          </cell>
          <cell r="AA22">
            <v>12409</v>
          </cell>
        </row>
        <row r="23">
          <cell r="U23">
            <v>18888</v>
          </cell>
          <cell r="V23">
            <v>19050</v>
          </cell>
          <cell r="W23">
            <v>24</v>
          </cell>
          <cell r="X23">
            <v>19069</v>
          </cell>
          <cell r="AA23">
            <v>12409</v>
          </cell>
        </row>
        <row r="24">
          <cell r="U24">
            <v>18687</v>
          </cell>
          <cell r="V24">
            <v>18849</v>
          </cell>
          <cell r="W24">
            <v>24</v>
          </cell>
          <cell r="X24">
            <v>18868</v>
          </cell>
          <cell r="AA24">
            <v>12413</v>
          </cell>
        </row>
        <row r="25">
          <cell r="U25">
            <v>18486</v>
          </cell>
          <cell r="V25">
            <v>18648</v>
          </cell>
          <cell r="W25">
            <v>24</v>
          </cell>
          <cell r="X25">
            <v>18667</v>
          </cell>
          <cell r="AA25">
            <v>12406</v>
          </cell>
        </row>
        <row r="26">
          <cell r="U26">
            <v>18285</v>
          </cell>
          <cell r="V26">
            <v>18447</v>
          </cell>
          <cell r="W26">
            <v>24</v>
          </cell>
          <cell r="X26">
            <v>18466</v>
          </cell>
          <cell r="AA26">
            <v>12405</v>
          </cell>
        </row>
        <row r="27">
          <cell r="U27">
            <v>18084</v>
          </cell>
          <cell r="V27">
            <v>18246</v>
          </cell>
          <cell r="W27">
            <v>24</v>
          </cell>
          <cell r="X27">
            <v>18265</v>
          </cell>
          <cell r="AA27">
            <v>12399</v>
          </cell>
        </row>
        <row r="28">
          <cell r="U28">
            <v>17883</v>
          </cell>
          <cell r="V28">
            <v>18045</v>
          </cell>
          <cell r="W28">
            <v>24</v>
          </cell>
          <cell r="X28">
            <v>18064</v>
          </cell>
          <cell r="AA28">
            <v>12385</v>
          </cell>
        </row>
        <row r="29">
          <cell r="U29">
            <v>17682</v>
          </cell>
          <cell r="V29">
            <v>17844</v>
          </cell>
          <cell r="W29">
            <v>24</v>
          </cell>
          <cell r="X29">
            <v>17863</v>
          </cell>
          <cell r="AA29">
            <v>12378</v>
          </cell>
        </row>
        <row r="30">
          <cell r="U30">
            <v>17481</v>
          </cell>
          <cell r="V30">
            <v>17643</v>
          </cell>
          <cell r="W30">
            <v>24</v>
          </cell>
          <cell r="X30">
            <v>17662</v>
          </cell>
          <cell r="AA30">
            <v>12373</v>
          </cell>
        </row>
        <row r="31">
          <cell r="U31">
            <v>17280</v>
          </cell>
          <cell r="V31">
            <v>17442</v>
          </cell>
          <cell r="W31">
            <v>24</v>
          </cell>
          <cell r="X31">
            <v>17461</v>
          </cell>
          <cell r="AA31">
            <v>12371</v>
          </cell>
        </row>
        <row r="32">
          <cell r="U32">
            <v>17079</v>
          </cell>
          <cell r="V32">
            <v>17241</v>
          </cell>
          <cell r="W32">
            <v>24</v>
          </cell>
          <cell r="X32">
            <v>17260</v>
          </cell>
          <cell r="AA32">
            <v>12363</v>
          </cell>
        </row>
        <row r="33">
          <cell r="U33">
            <v>16878</v>
          </cell>
          <cell r="V33">
            <v>17040</v>
          </cell>
          <cell r="W33">
            <v>24</v>
          </cell>
          <cell r="X33">
            <v>17059</v>
          </cell>
          <cell r="AA33">
            <v>12350</v>
          </cell>
        </row>
        <row r="34">
          <cell r="U34">
            <v>16677</v>
          </cell>
          <cell r="V34">
            <v>16839</v>
          </cell>
          <cell r="W34">
            <v>24</v>
          </cell>
          <cell r="X34">
            <v>16858</v>
          </cell>
          <cell r="AA34">
            <v>12341</v>
          </cell>
        </row>
        <row r="35">
          <cell r="E35" t="str">
            <v>100 Mesh</v>
          </cell>
          <cell r="U35">
            <v>16476</v>
          </cell>
          <cell r="V35">
            <v>16638</v>
          </cell>
          <cell r="W35">
            <v>24</v>
          </cell>
          <cell r="X35">
            <v>16657</v>
          </cell>
          <cell r="AA35">
            <v>12339</v>
          </cell>
        </row>
        <row r="36">
          <cell r="E36">
            <v>0</v>
          </cell>
          <cell r="U36">
            <v>16275</v>
          </cell>
          <cell r="V36">
            <v>16437</v>
          </cell>
          <cell r="W36">
            <v>24</v>
          </cell>
          <cell r="X36">
            <v>16456</v>
          </cell>
          <cell r="AA36">
            <v>12342</v>
          </cell>
        </row>
        <row r="37">
          <cell r="E37">
            <v>0</v>
          </cell>
          <cell r="U37">
            <v>16074</v>
          </cell>
          <cell r="V37">
            <v>16236</v>
          </cell>
          <cell r="W37">
            <v>24</v>
          </cell>
          <cell r="X37">
            <v>16255</v>
          </cell>
          <cell r="AA37">
            <v>12330</v>
          </cell>
        </row>
        <row r="38">
          <cell r="E38">
            <v>0</v>
          </cell>
          <cell r="U38">
            <v>15873</v>
          </cell>
          <cell r="V38">
            <v>16035</v>
          </cell>
          <cell r="W38">
            <v>24</v>
          </cell>
          <cell r="X38">
            <v>16054</v>
          </cell>
          <cell r="AA38">
            <v>12329</v>
          </cell>
        </row>
        <row r="39">
          <cell r="U39">
            <v>15672</v>
          </cell>
          <cell r="V39">
            <v>15834</v>
          </cell>
          <cell r="W39">
            <v>24</v>
          </cell>
          <cell r="X39">
            <v>15853</v>
          </cell>
          <cell r="AA39">
            <v>12333</v>
          </cell>
        </row>
        <row r="40">
          <cell r="U40">
            <v>15471</v>
          </cell>
          <cell r="V40">
            <v>15633</v>
          </cell>
          <cell r="W40">
            <v>24</v>
          </cell>
          <cell r="X40">
            <v>15652</v>
          </cell>
          <cell r="AA40">
            <v>12328</v>
          </cell>
        </row>
        <row r="41">
          <cell r="E41" t="str">
            <v>15% HCl Acid</v>
          </cell>
          <cell r="U41">
            <v>15270</v>
          </cell>
          <cell r="V41">
            <v>15432</v>
          </cell>
          <cell r="W41">
            <v>24</v>
          </cell>
          <cell r="X41">
            <v>15451</v>
          </cell>
          <cell r="AA41">
            <v>12325</v>
          </cell>
        </row>
        <row r="42">
          <cell r="E42" t="str">
            <v>Slickwater</v>
          </cell>
          <cell r="U42">
            <v>15069</v>
          </cell>
          <cell r="V42">
            <v>15231</v>
          </cell>
          <cell r="W42">
            <v>24</v>
          </cell>
          <cell r="X42">
            <v>15250</v>
          </cell>
          <cell r="AA42">
            <v>12320</v>
          </cell>
        </row>
        <row r="43">
          <cell r="E43" t="str">
            <v>Pump Down</v>
          </cell>
          <cell r="U43">
            <v>14868</v>
          </cell>
          <cell r="V43">
            <v>15030</v>
          </cell>
          <cell r="W43">
            <v>24</v>
          </cell>
          <cell r="X43">
            <v>15049</v>
          </cell>
          <cell r="AA43">
            <v>12312</v>
          </cell>
        </row>
        <row r="44">
          <cell r="U44">
            <v>14667</v>
          </cell>
          <cell r="V44">
            <v>14829</v>
          </cell>
          <cell r="W44">
            <v>24</v>
          </cell>
          <cell r="X44">
            <v>14848</v>
          </cell>
          <cell r="AA44">
            <v>12306</v>
          </cell>
        </row>
        <row r="45">
          <cell r="U45">
            <v>14467</v>
          </cell>
          <cell r="V45">
            <v>14628</v>
          </cell>
          <cell r="W45">
            <v>24</v>
          </cell>
          <cell r="X45">
            <v>14647</v>
          </cell>
          <cell r="AA45">
            <v>12299</v>
          </cell>
        </row>
        <row r="46">
          <cell r="U46">
            <v>14266</v>
          </cell>
          <cell r="V46">
            <v>14428</v>
          </cell>
          <cell r="W46">
            <v>24</v>
          </cell>
          <cell r="X46">
            <v>14447</v>
          </cell>
          <cell r="AA46">
            <v>12298</v>
          </cell>
        </row>
        <row r="47">
          <cell r="U47">
            <v>14065</v>
          </cell>
          <cell r="V47">
            <v>14227</v>
          </cell>
          <cell r="W47">
            <v>24</v>
          </cell>
          <cell r="X47">
            <v>14246</v>
          </cell>
          <cell r="AA47">
            <v>12293</v>
          </cell>
        </row>
        <row r="48">
          <cell r="U48">
            <v>13864</v>
          </cell>
          <cell r="V48">
            <v>14026</v>
          </cell>
          <cell r="W48">
            <v>24</v>
          </cell>
          <cell r="X48">
            <v>14045</v>
          </cell>
          <cell r="AA48">
            <v>12287</v>
          </cell>
        </row>
        <row r="49">
          <cell r="U49">
            <v>13663</v>
          </cell>
          <cell r="V49">
            <v>13825</v>
          </cell>
          <cell r="W49">
            <v>24</v>
          </cell>
          <cell r="X49">
            <v>13844</v>
          </cell>
          <cell r="AA49">
            <v>12282</v>
          </cell>
        </row>
        <row r="50">
          <cell r="U50">
            <v>13462</v>
          </cell>
          <cell r="V50">
            <v>13624</v>
          </cell>
          <cell r="W50">
            <v>24</v>
          </cell>
          <cell r="X50">
            <v>13643</v>
          </cell>
          <cell r="AA50">
            <v>12278</v>
          </cell>
        </row>
        <row r="51">
          <cell r="E51" t="str">
            <v>Plexslick 957, gal</v>
          </cell>
          <cell r="U51">
            <v>13261</v>
          </cell>
          <cell r="V51">
            <v>13423</v>
          </cell>
          <cell r="W51">
            <v>24</v>
          </cell>
          <cell r="X51">
            <v>13442</v>
          </cell>
          <cell r="AA51">
            <v>12272</v>
          </cell>
        </row>
        <row r="52">
          <cell r="E52" t="str">
            <v>Chemplex 4-N-1, gal</v>
          </cell>
          <cell r="U52">
            <v>13060</v>
          </cell>
          <cell r="V52">
            <v>13222</v>
          </cell>
          <cell r="W52">
            <v>24</v>
          </cell>
          <cell r="X52">
            <v>13241</v>
          </cell>
          <cell r="AA52">
            <v>12266</v>
          </cell>
        </row>
        <row r="53">
          <cell r="E53" t="str">
            <v>Payzone 845, gal</v>
          </cell>
          <cell r="U53">
            <v>12859</v>
          </cell>
          <cell r="V53">
            <v>13021</v>
          </cell>
          <cell r="W53">
            <v>24</v>
          </cell>
          <cell r="X53">
            <v>13040</v>
          </cell>
          <cell r="AA53">
            <v>12269</v>
          </cell>
        </row>
        <row r="54">
          <cell r="E54" t="str">
            <v>Payzone 850, gal</v>
          </cell>
          <cell r="U54">
            <v>12658</v>
          </cell>
          <cell r="V54">
            <v>12820</v>
          </cell>
          <cell r="W54">
            <v>24</v>
          </cell>
          <cell r="X54">
            <v>12839</v>
          </cell>
          <cell r="AA54">
            <v>12266</v>
          </cell>
        </row>
        <row r="55">
          <cell r="E55" t="str">
            <v>Payzone 217, gal</v>
          </cell>
        </row>
        <row r="56">
          <cell r="E56" t="str">
            <v>Stim741 Gel, gal</v>
          </cell>
        </row>
        <row r="62">
          <cell r="E62" t="str">
            <v>15% HCl Acid, gal</v>
          </cell>
        </row>
      </sheetData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hecklist"/>
      <sheetName val="Rig Up"/>
      <sheetName val="Base Fluid"/>
      <sheetName val="Base Gel"/>
      <sheetName val="Break Tests"/>
      <sheetName val="Stage 1"/>
      <sheetName val="Stage 2"/>
      <sheetName val="Stage 3"/>
      <sheetName val="Stage 4"/>
      <sheetName val="Stage 5"/>
      <sheetName val="Stage 6"/>
      <sheetName val="Stage 7"/>
      <sheetName val="Stage 8"/>
      <sheetName val="Stage 9"/>
      <sheetName val="Stage 10"/>
      <sheetName val="Stage 11"/>
      <sheetName val="Stage 12"/>
      <sheetName val="Stage 13"/>
      <sheetName val="Stage 14"/>
      <sheetName val="Stage 15"/>
      <sheetName val="Stage 16"/>
      <sheetName val="Stage 17"/>
      <sheetName val="Stage 18"/>
      <sheetName val="Stage 19"/>
      <sheetName val="Stage 20"/>
      <sheetName val="Stage 21"/>
      <sheetName val="Stage 22"/>
      <sheetName val="Stage 23"/>
      <sheetName val="Stage 24"/>
      <sheetName val="Stage 25"/>
      <sheetName val="Stage 26"/>
      <sheetName val="Stage 27"/>
      <sheetName val="Stage 28"/>
      <sheetName val="Stage 29"/>
      <sheetName val="Stage 30"/>
      <sheetName val="Stage 31"/>
      <sheetName val="Stage 32"/>
      <sheetName val="Stage 33"/>
      <sheetName val="Stage 34"/>
      <sheetName val="Stage 35"/>
      <sheetName val="Stage 36"/>
      <sheetName val="Stage 37"/>
      <sheetName val="Stage 38"/>
      <sheetName val="Stage 39"/>
      <sheetName val="Stage 40"/>
      <sheetName val="Stage 41"/>
      <sheetName val="Stage 42"/>
      <sheetName val="Stage 43"/>
      <sheetName val="Stage 44"/>
      <sheetName val="Stage 45"/>
      <sheetName val="Stage 46"/>
      <sheetName val="Stage 47"/>
      <sheetName val="Stage 48"/>
      <sheetName val="Stage 49"/>
      <sheetName val="Stage 50"/>
      <sheetName val="Stage 51"/>
      <sheetName val="Stage 52"/>
      <sheetName val="Stage 53"/>
      <sheetName val="Set Up"/>
      <sheetName val="Treatment Summary"/>
      <sheetName val="Sheet2"/>
      <sheetName val="Variance"/>
      <sheetName val="Chem Reference"/>
      <sheetName val="Pipe Reference"/>
      <sheetName val="Prop Referen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>
        <row r="2">
          <cell r="R2">
            <v>12500</v>
          </cell>
          <cell r="U2">
            <v>22911</v>
          </cell>
          <cell r="V2">
            <v>23071</v>
          </cell>
          <cell r="W2">
            <v>24</v>
          </cell>
          <cell r="X2">
            <v>23090</v>
          </cell>
          <cell r="AA2">
            <v>12274</v>
          </cell>
        </row>
        <row r="3">
          <cell r="U3">
            <v>22712</v>
          </cell>
          <cell r="V3">
            <v>22872</v>
          </cell>
          <cell r="W3">
            <v>24</v>
          </cell>
          <cell r="X3">
            <v>22891</v>
          </cell>
          <cell r="AA3">
            <v>12273</v>
          </cell>
        </row>
        <row r="4">
          <cell r="U4">
            <v>22513</v>
          </cell>
          <cell r="V4">
            <v>22673</v>
          </cell>
          <cell r="W4">
            <v>24</v>
          </cell>
          <cell r="X4">
            <v>22692</v>
          </cell>
          <cell r="AA4">
            <v>12272</v>
          </cell>
        </row>
        <row r="5">
          <cell r="E5" t="str">
            <v>Anadarko Petroleum Corporation</v>
          </cell>
          <cell r="U5">
            <v>22314</v>
          </cell>
          <cell r="V5">
            <v>22474</v>
          </cell>
          <cell r="W5">
            <v>24</v>
          </cell>
          <cell r="X5">
            <v>22493</v>
          </cell>
          <cell r="AA5">
            <v>12269</v>
          </cell>
        </row>
        <row r="6">
          <cell r="E6" t="str">
            <v>Allie Lay</v>
          </cell>
          <cell r="U6">
            <v>22115</v>
          </cell>
          <cell r="V6">
            <v>22275</v>
          </cell>
          <cell r="W6">
            <v>24</v>
          </cell>
          <cell r="X6">
            <v>22294</v>
          </cell>
          <cell r="AA6">
            <v>12269</v>
          </cell>
        </row>
        <row r="7">
          <cell r="E7" t="str">
            <v>Silvertip 76-7 Unit A 3H</v>
          </cell>
          <cell r="J7" t="str">
            <v>2121849.CMP</v>
          </cell>
          <cell r="U7">
            <v>21916</v>
          </cell>
          <cell r="V7">
            <v>22076</v>
          </cell>
          <cell r="W7">
            <v>24</v>
          </cell>
          <cell r="X7">
            <v>22095</v>
          </cell>
          <cell r="AA7">
            <v>12268</v>
          </cell>
        </row>
        <row r="8">
          <cell r="E8" t="str">
            <v>Loving County, TX</v>
          </cell>
          <cell r="U8">
            <v>21717</v>
          </cell>
          <cell r="V8">
            <v>21877</v>
          </cell>
          <cell r="W8">
            <v>24</v>
          </cell>
          <cell r="X8">
            <v>21896</v>
          </cell>
          <cell r="AA8">
            <v>12268</v>
          </cell>
        </row>
        <row r="9">
          <cell r="E9" t="str">
            <v>Wolfcamp Upper Beta</v>
          </cell>
          <cell r="U9">
            <v>21518</v>
          </cell>
          <cell r="V9">
            <v>21678</v>
          </cell>
          <cell r="W9">
            <v>24</v>
          </cell>
          <cell r="X9">
            <v>21697</v>
          </cell>
          <cell r="AA9">
            <v>12267</v>
          </cell>
        </row>
        <row r="10">
          <cell r="E10" t="str">
            <v>PumpCo 2</v>
          </cell>
          <cell r="U10">
            <v>21319</v>
          </cell>
          <cell r="V10">
            <v>21479</v>
          </cell>
          <cell r="W10">
            <v>24</v>
          </cell>
          <cell r="X10">
            <v>21498</v>
          </cell>
          <cell r="AA10">
            <v>12266</v>
          </cell>
        </row>
        <row r="11">
          <cell r="E11" t="str">
            <v>Odessa</v>
          </cell>
          <cell r="R11" t="str">
            <v>53-Stage SW Plug &amp; Perf</v>
          </cell>
          <cell r="U11">
            <v>21120</v>
          </cell>
          <cell r="V11">
            <v>21280</v>
          </cell>
          <cell r="W11">
            <v>24</v>
          </cell>
          <cell r="X11">
            <v>21290</v>
          </cell>
          <cell r="AA11">
            <v>12265</v>
          </cell>
        </row>
        <row r="12">
          <cell r="E12" t="str">
            <v>Jarvis Weaver/ Julian Weaver</v>
          </cell>
          <cell r="U12">
            <v>20921</v>
          </cell>
          <cell r="V12">
            <v>21081</v>
          </cell>
          <cell r="W12">
            <v>24</v>
          </cell>
          <cell r="X12">
            <v>21100</v>
          </cell>
          <cell r="AA12">
            <v>12265</v>
          </cell>
        </row>
        <row r="13">
          <cell r="U13">
            <v>20722</v>
          </cell>
          <cell r="V13">
            <v>20882</v>
          </cell>
          <cell r="W13">
            <v>24</v>
          </cell>
          <cell r="X13">
            <v>20901</v>
          </cell>
          <cell r="AA13">
            <v>12263</v>
          </cell>
        </row>
        <row r="14">
          <cell r="U14">
            <v>20523</v>
          </cell>
          <cell r="V14">
            <v>20683</v>
          </cell>
          <cell r="W14">
            <v>24</v>
          </cell>
          <cell r="X14">
            <v>20702</v>
          </cell>
          <cell r="AA14">
            <v>12263</v>
          </cell>
        </row>
        <row r="15">
          <cell r="E15" t="str">
            <v>5-1/2"</v>
          </cell>
          <cell r="F15">
            <v>23</v>
          </cell>
          <cell r="H15" t="str">
            <v>P-110</v>
          </cell>
          <cell r="J15">
            <v>12006</v>
          </cell>
          <cell r="K15">
            <v>12006</v>
          </cell>
          <cell r="N15">
            <v>2.1191590531075062E-2</v>
          </cell>
          <cell r="O15">
            <v>254.42623591608719</v>
          </cell>
          <cell r="U15">
            <v>20324</v>
          </cell>
          <cell r="V15">
            <v>20484</v>
          </cell>
          <cell r="W15">
            <v>24</v>
          </cell>
          <cell r="X15">
            <v>20503</v>
          </cell>
          <cell r="AA15">
            <v>12262</v>
          </cell>
        </row>
        <row r="16">
          <cell r="E16" t="str">
            <v>4-1/2"</v>
          </cell>
          <cell r="F16">
            <v>13.5</v>
          </cell>
          <cell r="H16" t="str">
            <v>P-110</v>
          </cell>
          <cell r="J16">
            <v>23126</v>
          </cell>
          <cell r="K16">
            <v>11120</v>
          </cell>
          <cell r="N16">
            <v>1.4931448020611394E-2</v>
          </cell>
          <cell r="O16">
            <v>166.03770198919869</v>
          </cell>
          <cell r="U16">
            <v>20125</v>
          </cell>
          <cell r="V16">
            <v>20285</v>
          </cell>
          <cell r="W16">
            <v>24</v>
          </cell>
          <cell r="X16">
            <v>20304</v>
          </cell>
          <cell r="AA16">
            <v>12258</v>
          </cell>
        </row>
        <row r="17">
          <cell r="E17" t="str">
            <v/>
          </cell>
          <cell r="F17" t="str">
            <v/>
          </cell>
          <cell r="H17" t="str">
            <v/>
          </cell>
          <cell r="K17" t="str">
            <v/>
          </cell>
          <cell r="N17" t="str">
            <v/>
          </cell>
          <cell r="O17" t="str">
            <v/>
          </cell>
          <cell r="U17">
            <v>19926</v>
          </cell>
          <cell r="V17">
            <v>20086</v>
          </cell>
          <cell r="W17">
            <v>24</v>
          </cell>
          <cell r="X17">
            <v>20105</v>
          </cell>
          <cell r="AA17">
            <v>12256</v>
          </cell>
        </row>
        <row r="18">
          <cell r="E18" t="str">
            <v/>
          </cell>
          <cell r="F18" t="str">
            <v/>
          </cell>
          <cell r="H18" t="str">
            <v/>
          </cell>
          <cell r="K18" t="str">
            <v/>
          </cell>
          <cell r="N18" t="str">
            <v/>
          </cell>
          <cell r="U18">
            <v>19727</v>
          </cell>
          <cell r="V18">
            <v>19887</v>
          </cell>
          <cell r="W18">
            <v>24</v>
          </cell>
          <cell r="X18">
            <v>19906</v>
          </cell>
          <cell r="AA18">
            <v>12254</v>
          </cell>
        </row>
        <row r="19">
          <cell r="U19">
            <v>19528</v>
          </cell>
          <cell r="V19">
            <v>19688</v>
          </cell>
          <cell r="W19">
            <v>24</v>
          </cell>
          <cell r="X19">
            <v>19707</v>
          </cell>
          <cell r="AA19">
            <v>12251</v>
          </cell>
        </row>
        <row r="20">
          <cell r="U20">
            <v>19329</v>
          </cell>
          <cell r="V20">
            <v>19489</v>
          </cell>
          <cell r="W20">
            <v>24</v>
          </cell>
          <cell r="X20">
            <v>19508</v>
          </cell>
          <cell r="AA20">
            <v>12251</v>
          </cell>
        </row>
        <row r="21">
          <cell r="U21">
            <v>19130</v>
          </cell>
          <cell r="V21">
            <v>19290</v>
          </cell>
          <cell r="W21">
            <v>24</v>
          </cell>
          <cell r="X21">
            <v>19309</v>
          </cell>
          <cell r="AA21">
            <v>12248</v>
          </cell>
        </row>
        <row r="22">
          <cell r="U22">
            <v>18931</v>
          </cell>
          <cell r="V22">
            <v>19091</v>
          </cell>
          <cell r="W22">
            <v>24</v>
          </cell>
          <cell r="X22">
            <v>19110</v>
          </cell>
          <cell r="AA22">
            <v>12246</v>
          </cell>
        </row>
        <row r="23">
          <cell r="U23">
            <v>18732</v>
          </cell>
          <cell r="V23">
            <v>18892</v>
          </cell>
          <cell r="W23">
            <v>24</v>
          </cell>
          <cell r="X23">
            <v>18911</v>
          </cell>
          <cell r="AA23">
            <v>12245</v>
          </cell>
        </row>
        <row r="24">
          <cell r="U24">
            <v>18533</v>
          </cell>
          <cell r="V24">
            <v>18693</v>
          </cell>
          <cell r="W24">
            <v>24</v>
          </cell>
          <cell r="X24">
            <v>18712</v>
          </cell>
          <cell r="AA24">
            <v>12243</v>
          </cell>
        </row>
        <row r="25">
          <cell r="U25">
            <v>18334</v>
          </cell>
          <cell r="V25">
            <v>18494</v>
          </cell>
          <cell r="W25">
            <v>24</v>
          </cell>
          <cell r="X25">
            <v>18513</v>
          </cell>
          <cell r="AA25">
            <v>12235</v>
          </cell>
        </row>
        <row r="26">
          <cell r="U26">
            <v>18135</v>
          </cell>
          <cell r="V26">
            <v>18295</v>
          </cell>
          <cell r="W26">
            <v>24</v>
          </cell>
          <cell r="X26">
            <v>18314</v>
          </cell>
          <cell r="AA26">
            <v>12231</v>
          </cell>
        </row>
        <row r="27">
          <cell r="U27">
            <v>17936</v>
          </cell>
          <cell r="V27">
            <v>18096</v>
          </cell>
          <cell r="W27">
            <v>24</v>
          </cell>
          <cell r="X27">
            <v>18115</v>
          </cell>
          <cell r="AA27">
            <v>12227</v>
          </cell>
        </row>
        <row r="28">
          <cell r="U28">
            <v>17737</v>
          </cell>
          <cell r="V28">
            <v>17897</v>
          </cell>
          <cell r="W28">
            <v>24</v>
          </cell>
          <cell r="X28">
            <v>17916</v>
          </cell>
          <cell r="AA28">
            <v>12222</v>
          </cell>
        </row>
        <row r="29">
          <cell r="U29">
            <v>17538</v>
          </cell>
          <cell r="V29">
            <v>17698</v>
          </cell>
          <cell r="W29">
            <v>24</v>
          </cell>
          <cell r="X29">
            <v>17717</v>
          </cell>
          <cell r="AA29">
            <v>12218</v>
          </cell>
        </row>
        <row r="30">
          <cell r="U30">
            <v>17339</v>
          </cell>
          <cell r="V30">
            <v>17499</v>
          </cell>
          <cell r="W30">
            <v>24</v>
          </cell>
          <cell r="X30">
            <v>17518</v>
          </cell>
          <cell r="AA30">
            <v>12214</v>
          </cell>
        </row>
        <row r="31">
          <cell r="U31">
            <v>17140</v>
          </cell>
          <cell r="V31">
            <v>17300</v>
          </cell>
          <cell r="W31">
            <v>24</v>
          </cell>
          <cell r="X31">
            <v>17319</v>
          </cell>
          <cell r="AA31">
            <v>12212</v>
          </cell>
        </row>
        <row r="32">
          <cell r="U32">
            <v>16941</v>
          </cell>
          <cell r="V32">
            <v>17101</v>
          </cell>
          <cell r="W32">
            <v>24</v>
          </cell>
          <cell r="X32">
            <v>17120</v>
          </cell>
          <cell r="AA32">
            <v>12203</v>
          </cell>
        </row>
        <row r="33">
          <cell r="U33">
            <v>16742</v>
          </cell>
          <cell r="V33">
            <v>16902</v>
          </cell>
          <cell r="W33">
            <v>24</v>
          </cell>
          <cell r="X33">
            <v>16921</v>
          </cell>
          <cell r="AA33">
            <v>12197</v>
          </cell>
        </row>
        <row r="34">
          <cell r="U34">
            <v>16543</v>
          </cell>
          <cell r="V34">
            <v>16703</v>
          </cell>
          <cell r="W34">
            <v>24</v>
          </cell>
          <cell r="X34">
            <v>16722</v>
          </cell>
          <cell r="AA34">
            <v>12194</v>
          </cell>
        </row>
        <row r="35">
          <cell r="E35" t="str">
            <v>100 Mesh</v>
          </cell>
          <cell r="U35">
            <v>16344</v>
          </cell>
          <cell r="V35">
            <v>16504</v>
          </cell>
          <cell r="W35">
            <v>24</v>
          </cell>
          <cell r="X35">
            <v>16523</v>
          </cell>
          <cell r="AA35">
            <v>12191</v>
          </cell>
        </row>
        <row r="36">
          <cell r="E36">
            <v>0</v>
          </cell>
          <cell r="U36">
            <v>16145</v>
          </cell>
          <cell r="V36">
            <v>16305</v>
          </cell>
          <cell r="W36">
            <v>24</v>
          </cell>
          <cell r="X36">
            <v>16324</v>
          </cell>
          <cell r="AA36">
            <v>12186</v>
          </cell>
        </row>
        <row r="37">
          <cell r="E37">
            <v>0</v>
          </cell>
          <cell r="U37">
            <v>15946</v>
          </cell>
          <cell r="V37">
            <v>16106</v>
          </cell>
          <cell r="W37">
            <v>24</v>
          </cell>
          <cell r="X37">
            <v>16125</v>
          </cell>
          <cell r="AA37">
            <v>12180</v>
          </cell>
        </row>
        <row r="38">
          <cell r="E38">
            <v>0</v>
          </cell>
          <cell r="U38">
            <v>15747</v>
          </cell>
          <cell r="V38">
            <v>15907</v>
          </cell>
          <cell r="W38">
            <v>24</v>
          </cell>
          <cell r="X38">
            <v>15926</v>
          </cell>
          <cell r="AA38">
            <v>12185</v>
          </cell>
        </row>
        <row r="39">
          <cell r="U39">
            <v>15548</v>
          </cell>
          <cell r="V39">
            <v>15708</v>
          </cell>
          <cell r="W39">
            <v>24</v>
          </cell>
          <cell r="X39">
            <v>15727</v>
          </cell>
          <cell r="AA39">
            <v>12189</v>
          </cell>
        </row>
        <row r="40">
          <cell r="U40">
            <v>15349</v>
          </cell>
          <cell r="V40">
            <v>15509</v>
          </cell>
          <cell r="W40">
            <v>24</v>
          </cell>
          <cell r="X40">
            <v>15528</v>
          </cell>
          <cell r="AA40">
            <v>12186</v>
          </cell>
        </row>
        <row r="41">
          <cell r="E41" t="str">
            <v>15% HCl Acid</v>
          </cell>
          <cell r="U41">
            <v>15150</v>
          </cell>
          <cell r="V41">
            <v>15310</v>
          </cell>
          <cell r="W41">
            <v>24</v>
          </cell>
          <cell r="X41">
            <v>15329</v>
          </cell>
          <cell r="AA41">
            <v>12182</v>
          </cell>
        </row>
        <row r="42">
          <cell r="E42" t="str">
            <v>Slickwater</v>
          </cell>
          <cell r="U42">
            <v>14951</v>
          </cell>
          <cell r="V42">
            <v>15111</v>
          </cell>
          <cell r="W42">
            <v>24</v>
          </cell>
          <cell r="X42">
            <v>15130</v>
          </cell>
          <cell r="AA42">
            <v>12180</v>
          </cell>
        </row>
        <row r="43">
          <cell r="E43" t="str">
            <v>Pump Down</v>
          </cell>
          <cell r="U43">
            <v>14752</v>
          </cell>
          <cell r="V43">
            <v>14912</v>
          </cell>
          <cell r="W43">
            <v>24</v>
          </cell>
          <cell r="X43">
            <v>14931</v>
          </cell>
          <cell r="AA43">
            <v>12177</v>
          </cell>
        </row>
        <row r="44">
          <cell r="U44">
            <v>14553</v>
          </cell>
          <cell r="V44">
            <v>14713</v>
          </cell>
          <cell r="W44">
            <v>24</v>
          </cell>
          <cell r="X44">
            <v>14732</v>
          </cell>
          <cell r="AA44">
            <v>12173</v>
          </cell>
        </row>
        <row r="45">
          <cell r="U45">
            <v>14354</v>
          </cell>
          <cell r="V45">
            <v>14514</v>
          </cell>
          <cell r="W45">
            <v>24</v>
          </cell>
          <cell r="X45">
            <v>14533</v>
          </cell>
          <cell r="AA45">
            <v>12168</v>
          </cell>
        </row>
        <row r="46">
          <cell r="U46">
            <v>14155</v>
          </cell>
          <cell r="V46">
            <v>14315</v>
          </cell>
          <cell r="W46">
            <v>24</v>
          </cell>
          <cell r="X46">
            <v>14334</v>
          </cell>
          <cell r="AA46">
            <v>12165</v>
          </cell>
        </row>
        <row r="47">
          <cell r="U47">
            <v>13956</v>
          </cell>
          <cell r="V47">
            <v>14116</v>
          </cell>
          <cell r="W47">
            <v>24</v>
          </cell>
          <cell r="X47">
            <v>14135</v>
          </cell>
          <cell r="AA47">
            <v>12159</v>
          </cell>
        </row>
        <row r="48">
          <cell r="U48">
            <v>13757</v>
          </cell>
          <cell r="V48">
            <v>13917</v>
          </cell>
          <cell r="W48">
            <v>24</v>
          </cell>
          <cell r="X48">
            <v>13936</v>
          </cell>
          <cell r="AA48">
            <v>12155</v>
          </cell>
        </row>
        <row r="49">
          <cell r="U49">
            <v>13558</v>
          </cell>
          <cell r="V49">
            <v>13718</v>
          </cell>
          <cell r="W49">
            <v>24</v>
          </cell>
          <cell r="X49">
            <v>13737</v>
          </cell>
          <cell r="AA49">
            <v>12151</v>
          </cell>
        </row>
        <row r="50">
          <cell r="U50">
            <v>13359</v>
          </cell>
          <cell r="V50">
            <v>13519</v>
          </cell>
          <cell r="W50">
            <v>24</v>
          </cell>
          <cell r="X50">
            <v>13538</v>
          </cell>
          <cell r="AA50">
            <v>12146</v>
          </cell>
        </row>
        <row r="51">
          <cell r="E51" t="str">
            <v>Plexslick 957, gal</v>
          </cell>
          <cell r="U51">
            <v>13160</v>
          </cell>
          <cell r="V51">
            <v>13320</v>
          </cell>
          <cell r="W51">
            <v>24</v>
          </cell>
          <cell r="X51">
            <v>13339</v>
          </cell>
          <cell r="AA51">
            <v>12143</v>
          </cell>
        </row>
        <row r="52">
          <cell r="E52" t="str">
            <v>Chemplex 4-N-1, gal</v>
          </cell>
          <cell r="U52">
            <v>12961</v>
          </cell>
          <cell r="V52">
            <v>13121</v>
          </cell>
          <cell r="W52">
            <v>24</v>
          </cell>
          <cell r="X52">
            <v>13140</v>
          </cell>
          <cell r="AA52">
            <v>12140</v>
          </cell>
        </row>
        <row r="53">
          <cell r="E53" t="str">
            <v>Payzone 845, gal</v>
          </cell>
          <cell r="U53">
            <v>12762</v>
          </cell>
          <cell r="V53">
            <v>12922</v>
          </cell>
          <cell r="W53">
            <v>24</v>
          </cell>
          <cell r="X53">
            <v>12941</v>
          </cell>
          <cell r="AA53">
            <v>12132</v>
          </cell>
        </row>
        <row r="54">
          <cell r="E54" t="str">
            <v>Payzone 850, gal</v>
          </cell>
          <cell r="U54">
            <v>12563</v>
          </cell>
          <cell r="V54">
            <v>12723</v>
          </cell>
          <cell r="W54">
            <v>24</v>
          </cell>
          <cell r="X54">
            <v>12742</v>
          </cell>
          <cell r="AA54">
            <v>12124</v>
          </cell>
        </row>
        <row r="55">
          <cell r="E55" t="str">
            <v>Payzone 217, gal</v>
          </cell>
        </row>
        <row r="56">
          <cell r="E56" t="str">
            <v>Stim741 Gel, gal</v>
          </cell>
        </row>
        <row r="62">
          <cell r="E62" t="str">
            <v>15% HCl Acid, gal</v>
          </cell>
        </row>
      </sheetData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hecklist"/>
      <sheetName val="Rig Up"/>
      <sheetName val="Base Fluid"/>
      <sheetName val="Base Gel"/>
      <sheetName val="Break Tests"/>
      <sheetName val="Stage 1"/>
      <sheetName val="Stage 2"/>
      <sheetName val="Stage 3"/>
      <sheetName val="Stage 4"/>
      <sheetName val="Stage 5"/>
      <sheetName val="Stage 6"/>
      <sheetName val="Stage 7"/>
      <sheetName val="Stage 8"/>
      <sheetName val="Stage 9"/>
      <sheetName val="Stage 10"/>
      <sheetName val="Stage 11"/>
      <sheetName val="Stage 12"/>
      <sheetName val="Stage 13"/>
      <sheetName val="Stage 14"/>
      <sheetName val="Stage 15"/>
      <sheetName val="Stage 16"/>
      <sheetName val="Stage 17"/>
      <sheetName val="Stage 18"/>
      <sheetName val="Stage 19"/>
      <sheetName val="Stage 20"/>
      <sheetName val="Stage 21"/>
      <sheetName val="Stage 22"/>
      <sheetName val="Stage 23"/>
      <sheetName val="Stage 24"/>
      <sheetName val="Stage 25"/>
      <sheetName val="Stage 26"/>
      <sheetName val="Stage 27"/>
      <sheetName val="Stage 28"/>
      <sheetName val="Stage 29"/>
      <sheetName val="Stage 30"/>
      <sheetName val="Stage 31"/>
      <sheetName val="Stage 32"/>
      <sheetName val="Stage 33"/>
      <sheetName val="Stage 34"/>
      <sheetName val="Stage 35"/>
      <sheetName val="Stage 36"/>
      <sheetName val="Stage 37"/>
      <sheetName val="Stage 38"/>
      <sheetName val="Stage 39"/>
      <sheetName val="Stage 40"/>
      <sheetName val="Stage 41"/>
      <sheetName val="Stage 42"/>
      <sheetName val="Stage 43"/>
      <sheetName val="Stage 44"/>
      <sheetName val="Stage 45"/>
      <sheetName val="Stage 46"/>
      <sheetName val="Stage 47"/>
      <sheetName val="Stage 48"/>
      <sheetName val="Stage 49"/>
      <sheetName val="Stage 50"/>
      <sheetName val="Stage 51"/>
      <sheetName val="Stage 52"/>
      <sheetName val="Stage 53"/>
      <sheetName val="Set Up"/>
      <sheetName val="Treatment Summary"/>
      <sheetName val="Variance"/>
      <sheetName val="Chem Reference"/>
      <sheetName val="Pipe Reference"/>
      <sheetName val="Prop Referen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>
        <row r="2">
          <cell r="R2">
            <v>12500</v>
          </cell>
          <cell r="U2">
            <v>22874</v>
          </cell>
          <cell r="V2">
            <v>23036</v>
          </cell>
          <cell r="W2">
            <v>24</v>
          </cell>
          <cell r="X2">
            <v>23055</v>
          </cell>
          <cell r="AA2">
            <v>12093</v>
          </cell>
        </row>
        <row r="3">
          <cell r="U3">
            <v>22673</v>
          </cell>
          <cell r="V3">
            <v>22835</v>
          </cell>
          <cell r="W3">
            <v>24</v>
          </cell>
          <cell r="X3">
            <v>22854</v>
          </cell>
          <cell r="AA3">
            <v>12095</v>
          </cell>
        </row>
        <row r="4">
          <cell r="U4">
            <v>22473</v>
          </cell>
          <cell r="V4">
            <v>22634</v>
          </cell>
          <cell r="W4">
            <v>24</v>
          </cell>
          <cell r="X4">
            <v>22653</v>
          </cell>
          <cell r="AA4">
            <v>12091</v>
          </cell>
        </row>
        <row r="5">
          <cell r="E5" t="str">
            <v>Anadarko Petroleum Corporation</v>
          </cell>
          <cell r="U5">
            <v>22272</v>
          </cell>
          <cell r="V5">
            <v>22434</v>
          </cell>
          <cell r="W5">
            <v>24</v>
          </cell>
          <cell r="X5">
            <v>22453</v>
          </cell>
          <cell r="AA5">
            <v>12089</v>
          </cell>
        </row>
        <row r="6">
          <cell r="E6" t="str">
            <v>Allie Lay</v>
          </cell>
          <cell r="U6">
            <v>22071</v>
          </cell>
          <cell r="V6">
            <v>22233</v>
          </cell>
          <cell r="W6">
            <v>24</v>
          </cell>
          <cell r="X6">
            <v>22252</v>
          </cell>
          <cell r="AA6">
            <v>12089</v>
          </cell>
        </row>
        <row r="7">
          <cell r="E7" t="str">
            <v>Silvertip 76-7 Unit A 4H</v>
          </cell>
          <cell r="J7" t="str">
            <v>2136274.CMP</v>
          </cell>
          <cell r="U7">
            <v>21870</v>
          </cell>
          <cell r="V7">
            <v>22032</v>
          </cell>
          <cell r="W7">
            <v>24</v>
          </cell>
          <cell r="X7">
            <v>22051</v>
          </cell>
          <cell r="AA7">
            <v>12086</v>
          </cell>
        </row>
        <row r="8">
          <cell r="E8" t="str">
            <v>Loving County, TX</v>
          </cell>
          <cell r="U8">
            <v>21669</v>
          </cell>
          <cell r="V8">
            <v>21831</v>
          </cell>
          <cell r="W8">
            <v>24</v>
          </cell>
          <cell r="X8">
            <v>21850</v>
          </cell>
          <cell r="AA8">
            <v>12082</v>
          </cell>
        </row>
        <row r="9">
          <cell r="E9" t="str">
            <v>W1 Sand Target</v>
          </cell>
          <cell r="U9">
            <v>21468</v>
          </cell>
          <cell r="V9">
            <v>21630</v>
          </cell>
          <cell r="W9">
            <v>24</v>
          </cell>
          <cell r="X9">
            <v>21649</v>
          </cell>
          <cell r="AA9">
            <v>12082</v>
          </cell>
        </row>
        <row r="10">
          <cell r="E10" t="str">
            <v>PumpCo 2</v>
          </cell>
          <cell r="U10">
            <v>21268</v>
          </cell>
          <cell r="V10">
            <v>21429</v>
          </cell>
          <cell r="W10">
            <v>24</v>
          </cell>
          <cell r="X10">
            <v>21448</v>
          </cell>
          <cell r="AA10">
            <v>12079</v>
          </cell>
        </row>
        <row r="11">
          <cell r="E11" t="str">
            <v>Odessa</v>
          </cell>
          <cell r="R11" t="str">
            <v>53-Stage SW Plug &amp; Perf</v>
          </cell>
          <cell r="U11">
            <v>21067</v>
          </cell>
          <cell r="V11">
            <v>21229</v>
          </cell>
          <cell r="W11">
            <v>24</v>
          </cell>
          <cell r="X11">
            <v>21248</v>
          </cell>
          <cell r="AA11">
            <v>12073</v>
          </cell>
        </row>
        <row r="12">
          <cell r="E12" t="str">
            <v>Julian Weaver/Jarvis Weaver</v>
          </cell>
          <cell r="U12">
            <v>20866</v>
          </cell>
          <cell r="V12">
            <v>21028</v>
          </cell>
          <cell r="W12">
            <v>24</v>
          </cell>
          <cell r="X12">
            <v>21047</v>
          </cell>
          <cell r="AA12">
            <v>12072</v>
          </cell>
        </row>
        <row r="13">
          <cell r="U13">
            <v>20665</v>
          </cell>
          <cell r="V13">
            <v>20827</v>
          </cell>
          <cell r="W13">
            <v>24</v>
          </cell>
          <cell r="X13">
            <v>20846</v>
          </cell>
          <cell r="AA13">
            <v>12071</v>
          </cell>
        </row>
        <row r="14">
          <cell r="U14">
            <v>20464</v>
          </cell>
          <cell r="V14">
            <v>20626</v>
          </cell>
          <cell r="W14">
            <v>24</v>
          </cell>
          <cell r="X14">
            <v>20645</v>
          </cell>
          <cell r="AA14">
            <v>12073</v>
          </cell>
        </row>
        <row r="15">
          <cell r="E15" t="str">
            <v>5-1/2"</v>
          </cell>
          <cell r="F15">
            <v>23</v>
          </cell>
          <cell r="H15" t="str">
            <v>P-110</v>
          </cell>
          <cell r="J15">
            <v>11804</v>
          </cell>
          <cell r="K15">
            <v>11804</v>
          </cell>
          <cell r="N15">
            <v>2.1191590531075062E-2</v>
          </cell>
          <cell r="O15">
            <v>250.14553462881003</v>
          </cell>
          <cell r="U15">
            <v>20263</v>
          </cell>
          <cell r="V15">
            <v>20425</v>
          </cell>
          <cell r="W15">
            <v>24</v>
          </cell>
          <cell r="X15">
            <v>20444</v>
          </cell>
          <cell r="AA15">
            <v>12077</v>
          </cell>
        </row>
        <row r="16">
          <cell r="E16" t="str">
            <v>4-1/2"</v>
          </cell>
          <cell r="F16">
            <v>13.5</v>
          </cell>
          <cell r="H16" t="str">
            <v>P-110</v>
          </cell>
          <cell r="J16">
            <v>23200</v>
          </cell>
          <cell r="K16">
            <v>11396</v>
          </cell>
          <cell r="N16">
            <v>1.4931448020611394E-2</v>
          </cell>
          <cell r="O16">
            <v>170.15878164288745</v>
          </cell>
          <cell r="U16">
            <v>20063</v>
          </cell>
          <cell r="V16">
            <v>20224</v>
          </cell>
          <cell r="W16">
            <v>24</v>
          </cell>
          <cell r="X16">
            <v>20243</v>
          </cell>
          <cell r="AA16">
            <v>12078</v>
          </cell>
        </row>
        <row r="17">
          <cell r="E17" t="str">
            <v/>
          </cell>
          <cell r="F17" t="str">
            <v/>
          </cell>
          <cell r="H17" t="str">
            <v/>
          </cell>
          <cell r="K17" t="str">
            <v/>
          </cell>
          <cell r="N17" t="str">
            <v/>
          </cell>
          <cell r="O17" t="str">
            <v/>
          </cell>
          <cell r="U17">
            <v>19862</v>
          </cell>
          <cell r="V17">
            <v>20024</v>
          </cell>
          <cell r="W17">
            <v>24</v>
          </cell>
          <cell r="X17">
            <v>20043</v>
          </cell>
          <cell r="AA17">
            <v>12076</v>
          </cell>
        </row>
        <row r="18">
          <cell r="E18" t="str">
            <v/>
          </cell>
          <cell r="F18" t="str">
            <v/>
          </cell>
          <cell r="H18" t="str">
            <v/>
          </cell>
          <cell r="K18" t="str">
            <v/>
          </cell>
          <cell r="N18" t="str">
            <v/>
          </cell>
          <cell r="U18">
            <v>19661</v>
          </cell>
          <cell r="V18">
            <v>19823</v>
          </cell>
          <cell r="W18">
            <v>24</v>
          </cell>
          <cell r="X18">
            <v>19842</v>
          </cell>
          <cell r="AA18">
            <v>12071</v>
          </cell>
        </row>
        <row r="19">
          <cell r="U19">
            <v>19460</v>
          </cell>
          <cell r="V19">
            <v>19622</v>
          </cell>
          <cell r="W19">
            <v>24</v>
          </cell>
          <cell r="X19">
            <v>19641</v>
          </cell>
          <cell r="AA19">
            <v>12066</v>
          </cell>
        </row>
        <row r="20">
          <cell r="U20">
            <v>19259</v>
          </cell>
          <cell r="V20">
            <v>19421</v>
          </cell>
          <cell r="W20">
            <v>24</v>
          </cell>
          <cell r="X20">
            <v>19440</v>
          </cell>
          <cell r="AA20">
            <v>12060</v>
          </cell>
        </row>
        <row r="21">
          <cell r="U21">
            <v>19058</v>
          </cell>
          <cell r="V21">
            <v>19220</v>
          </cell>
          <cell r="W21">
            <v>24</v>
          </cell>
          <cell r="X21">
            <v>19239</v>
          </cell>
          <cell r="AA21">
            <v>12054</v>
          </cell>
        </row>
        <row r="22">
          <cell r="U22">
            <v>18858</v>
          </cell>
          <cell r="V22">
            <v>19019</v>
          </cell>
          <cell r="W22">
            <v>24</v>
          </cell>
          <cell r="X22">
            <v>19038</v>
          </cell>
          <cell r="AA22">
            <v>12053</v>
          </cell>
        </row>
        <row r="23">
          <cell r="U23">
            <v>18657</v>
          </cell>
          <cell r="V23">
            <v>18819</v>
          </cell>
          <cell r="W23">
            <v>24</v>
          </cell>
          <cell r="X23">
            <v>18838</v>
          </cell>
          <cell r="AA23">
            <v>12051</v>
          </cell>
        </row>
        <row r="24">
          <cell r="U24">
            <v>18456</v>
          </cell>
          <cell r="V24">
            <v>18618</v>
          </cell>
          <cell r="W24">
            <v>24</v>
          </cell>
          <cell r="X24">
            <v>18637</v>
          </cell>
          <cell r="AA24">
            <v>12046</v>
          </cell>
        </row>
        <row r="25">
          <cell r="U25">
            <v>18255</v>
          </cell>
          <cell r="V25">
            <v>18417</v>
          </cell>
          <cell r="W25">
            <v>24</v>
          </cell>
          <cell r="X25">
            <v>18436</v>
          </cell>
          <cell r="AA25">
            <v>12043</v>
          </cell>
        </row>
        <row r="26">
          <cell r="U26">
            <v>18054</v>
          </cell>
          <cell r="V26">
            <v>18216</v>
          </cell>
          <cell r="W26">
            <v>24</v>
          </cell>
          <cell r="X26">
            <v>18235</v>
          </cell>
          <cell r="AA26">
            <v>12040</v>
          </cell>
        </row>
        <row r="27">
          <cell r="U27">
            <v>17853</v>
          </cell>
          <cell r="V27">
            <v>18015</v>
          </cell>
          <cell r="W27">
            <v>24</v>
          </cell>
          <cell r="X27">
            <v>18034</v>
          </cell>
          <cell r="AA27">
            <v>12037</v>
          </cell>
        </row>
        <row r="28">
          <cell r="U28">
            <v>17653</v>
          </cell>
          <cell r="V28">
            <v>17814</v>
          </cell>
          <cell r="W28">
            <v>24</v>
          </cell>
          <cell r="X28">
            <v>17833</v>
          </cell>
          <cell r="AA28">
            <v>12032</v>
          </cell>
        </row>
        <row r="29">
          <cell r="U29">
            <v>17452</v>
          </cell>
          <cell r="V29">
            <v>17614</v>
          </cell>
          <cell r="W29">
            <v>24</v>
          </cell>
          <cell r="X29">
            <v>17633</v>
          </cell>
          <cell r="AA29">
            <v>12027</v>
          </cell>
        </row>
        <row r="30">
          <cell r="U30">
            <v>17251</v>
          </cell>
          <cell r="V30">
            <v>17413</v>
          </cell>
          <cell r="W30">
            <v>24</v>
          </cell>
          <cell r="X30">
            <v>17432</v>
          </cell>
          <cell r="AA30">
            <v>12020</v>
          </cell>
        </row>
        <row r="31">
          <cell r="U31">
            <v>17050</v>
          </cell>
          <cell r="V31">
            <v>17212</v>
          </cell>
          <cell r="W31">
            <v>24</v>
          </cell>
          <cell r="X31">
            <v>17231</v>
          </cell>
          <cell r="AA31">
            <v>12018</v>
          </cell>
        </row>
        <row r="32">
          <cell r="U32">
            <v>16849</v>
          </cell>
          <cell r="V32">
            <v>17011</v>
          </cell>
          <cell r="W32">
            <v>24</v>
          </cell>
          <cell r="X32">
            <v>17030</v>
          </cell>
          <cell r="AA32">
            <v>12018</v>
          </cell>
        </row>
        <row r="33">
          <cell r="U33">
            <v>16648</v>
          </cell>
          <cell r="V33">
            <v>16810</v>
          </cell>
          <cell r="W33">
            <v>24</v>
          </cell>
          <cell r="X33">
            <v>16829</v>
          </cell>
          <cell r="AA33">
            <v>12015</v>
          </cell>
        </row>
        <row r="34">
          <cell r="U34">
            <v>16447</v>
          </cell>
          <cell r="V34">
            <v>16609</v>
          </cell>
          <cell r="W34">
            <v>24</v>
          </cell>
          <cell r="X34">
            <v>16628</v>
          </cell>
          <cell r="AA34">
            <v>12016</v>
          </cell>
        </row>
        <row r="35">
          <cell r="E35" t="str">
            <v>100 Mesh</v>
          </cell>
          <cell r="U35">
            <v>16247</v>
          </cell>
          <cell r="V35">
            <v>16408</v>
          </cell>
          <cell r="W35">
            <v>24</v>
          </cell>
          <cell r="X35">
            <v>16427</v>
          </cell>
          <cell r="AA35">
            <v>12014</v>
          </cell>
        </row>
        <row r="36">
          <cell r="E36">
            <v>0</v>
          </cell>
          <cell r="U36">
            <v>16046</v>
          </cell>
          <cell r="V36">
            <v>16208</v>
          </cell>
          <cell r="W36">
            <v>24</v>
          </cell>
          <cell r="X36">
            <v>16227</v>
          </cell>
          <cell r="AA36">
            <v>12007</v>
          </cell>
        </row>
        <row r="37">
          <cell r="E37">
            <v>0</v>
          </cell>
          <cell r="U37">
            <v>15845</v>
          </cell>
          <cell r="V37">
            <v>16007</v>
          </cell>
          <cell r="W37">
            <v>24</v>
          </cell>
          <cell r="X37">
            <v>16026</v>
          </cell>
          <cell r="AA37">
            <v>12004</v>
          </cell>
        </row>
        <row r="38">
          <cell r="E38">
            <v>0</v>
          </cell>
          <cell r="U38">
            <v>15644</v>
          </cell>
          <cell r="V38">
            <v>15806</v>
          </cell>
          <cell r="W38">
            <v>24</v>
          </cell>
          <cell r="X38">
            <v>15825</v>
          </cell>
          <cell r="AA38">
            <v>12000</v>
          </cell>
        </row>
        <row r="39">
          <cell r="U39">
            <v>15443</v>
          </cell>
          <cell r="V39">
            <v>15605</v>
          </cell>
          <cell r="W39">
            <v>24</v>
          </cell>
          <cell r="X39">
            <v>15624</v>
          </cell>
          <cell r="AA39">
            <v>11997</v>
          </cell>
        </row>
        <row r="40">
          <cell r="U40">
            <v>15242</v>
          </cell>
          <cell r="V40">
            <v>15404</v>
          </cell>
          <cell r="W40">
            <v>24</v>
          </cell>
          <cell r="X40">
            <v>15423</v>
          </cell>
          <cell r="AA40">
            <v>11994</v>
          </cell>
        </row>
        <row r="41">
          <cell r="E41" t="str">
            <v>15% HCl Acid</v>
          </cell>
          <cell r="U41">
            <v>15042</v>
          </cell>
          <cell r="V41">
            <v>15203</v>
          </cell>
          <cell r="W41">
            <v>24</v>
          </cell>
          <cell r="X41">
            <v>15222</v>
          </cell>
          <cell r="AA41">
            <v>11988</v>
          </cell>
        </row>
        <row r="42">
          <cell r="E42" t="str">
            <v>Slickwater</v>
          </cell>
          <cell r="U42">
            <v>14841</v>
          </cell>
          <cell r="V42">
            <v>15003</v>
          </cell>
          <cell r="W42">
            <v>24</v>
          </cell>
          <cell r="X42">
            <v>15022</v>
          </cell>
          <cell r="AA42">
            <v>11987</v>
          </cell>
        </row>
        <row r="43">
          <cell r="E43" t="str">
            <v>Pump Down</v>
          </cell>
          <cell r="U43">
            <v>14640</v>
          </cell>
          <cell r="V43">
            <v>14802</v>
          </cell>
          <cell r="W43">
            <v>24</v>
          </cell>
          <cell r="X43">
            <v>14821</v>
          </cell>
          <cell r="AA43">
            <v>11982</v>
          </cell>
        </row>
        <row r="44">
          <cell r="U44">
            <v>14439</v>
          </cell>
          <cell r="V44">
            <v>14601</v>
          </cell>
          <cell r="W44">
            <v>24</v>
          </cell>
          <cell r="X44">
            <v>14620</v>
          </cell>
          <cell r="AA44">
            <v>11977</v>
          </cell>
        </row>
        <row r="45">
          <cell r="U45">
            <v>14238</v>
          </cell>
          <cell r="V45">
            <v>14400</v>
          </cell>
          <cell r="W45">
            <v>24</v>
          </cell>
          <cell r="X45">
            <v>14419</v>
          </cell>
          <cell r="AA45">
            <v>11973</v>
          </cell>
        </row>
        <row r="46">
          <cell r="U46">
            <v>14037</v>
          </cell>
          <cell r="V46">
            <v>14199</v>
          </cell>
          <cell r="W46">
            <v>24</v>
          </cell>
          <cell r="X46">
            <v>14218</v>
          </cell>
          <cell r="AA46">
            <v>11966</v>
          </cell>
        </row>
        <row r="47">
          <cell r="U47">
            <v>13837</v>
          </cell>
          <cell r="V47">
            <v>13995</v>
          </cell>
          <cell r="W47">
            <v>24</v>
          </cell>
          <cell r="X47">
            <v>14017</v>
          </cell>
          <cell r="AA47">
            <v>11968</v>
          </cell>
        </row>
        <row r="48">
          <cell r="U48">
            <v>13636</v>
          </cell>
          <cell r="V48">
            <v>13798</v>
          </cell>
          <cell r="W48">
            <v>24</v>
          </cell>
          <cell r="X48">
            <v>13817</v>
          </cell>
          <cell r="AA48">
            <v>11969</v>
          </cell>
        </row>
        <row r="49">
          <cell r="U49">
            <v>13435</v>
          </cell>
          <cell r="V49">
            <v>13597</v>
          </cell>
          <cell r="W49">
            <v>24</v>
          </cell>
          <cell r="X49">
            <v>13616</v>
          </cell>
          <cell r="AA49">
            <v>11968</v>
          </cell>
        </row>
        <row r="50">
          <cell r="U50">
            <v>13234</v>
          </cell>
          <cell r="V50">
            <v>13396</v>
          </cell>
          <cell r="W50">
            <v>24</v>
          </cell>
          <cell r="X50">
            <v>13415</v>
          </cell>
          <cell r="AA50">
            <v>11965</v>
          </cell>
        </row>
        <row r="51">
          <cell r="E51" t="str">
            <v>Plexslick 957, gal</v>
          </cell>
          <cell r="U51">
            <v>13033</v>
          </cell>
          <cell r="V51">
            <v>13195</v>
          </cell>
          <cell r="W51">
            <v>24</v>
          </cell>
          <cell r="X51">
            <v>13214</v>
          </cell>
          <cell r="AA51">
            <v>11960</v>
          </cell>
        </row>
        <row r="52">
          <cell r="E52" t="str">
            <v>Chemplex 4-N-1, gal</v>
          </cell>
          <cell r="U52">
            <v>12832</v>
          </cell>
          <cell r="V52">
            <v>12994</v>
          </cell>
          <cell r="W52">
            <v>24</v>
          </cell>
          <cell r="X52">
            <v>13013</v>
          </cell>
          <cell r="AA52">
            <v>11957</v>
          </cell>
        </row>
        <row r="53">
          <cell r="E53" t="str">
            <v>Payzone 845, gal</v>
          </cell>
          <cell r="U53">
            <v>12632</v>
          </cell>
          <cell r="V53">
            <v>12793</v>
          </cell>
          <cell r="W53">
            <v>24</v>
          </cell>
          <cell r="X53">
            <v>12812</v>
          </cell>
          <cell r="AA53">
            <v>11955</v>
          </cell>
        </row>
        <row r="54">
          <cell r="E54" t="str">
            <v>Payzone 850, gal</v>
          </cell>
          <cell r="U54">
            <v>12431</v>
          </cell>
          <cell r="V54">
            <v>12593</v>
          </cell>
          <cell r="W54">
            <v>24</v>
          </cell>
          <cell r="X54">
            <v>12612</v>
          </cell>
          <cell r="AA54">
            <v>11950</v>
          </cell>
        </row>
        <row r="55">
          <cell r="E55" t="str">
            <v>Payzone 217, gal</v>
          </cell>
        </row>
        <row r="56">
          <cell r="E56" t="str">
            <v>Stim741 Gel, gal</v>
          </cell>
        </row>
        <row r="62">
          <cell r="E62" t="str">
            <v>15% HCl Acid, gal</v>
          </cell>
        </row>
      </sheetData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hecklist"/>
      <sheetName val="Rig Up"/>
      <sheetName val="Base Fluid"/>
      <sheetName val="Base Gel"/>
      <sheetName val="Break Tests"/>
      <sheetName val="Stage 1"/>
      <sheetName val="Stage 2"/>
      <sheetName val="Stage 3"/>
      <sheetName val="Stage 4"/>
      <sheetName val="Stage 5"/>
      <sheetName val="Stage 6"/>
      <sheetName val="Stage 7"/>
      <sheetName val="Stage 8"/>
      <sheetName val="Stage 9"/>
      <sheetName val="Stage 10"/>
      <sheetName val="Stage 11"/>
      <sheetName val="Stage 12"/>
      <sheetName val="Stage 13"/>
      <sheetName val="Stage 14"/>
      <sheetName val="Stage 15"/>
      <sheetName val="Stage 16"/>
      <sheetName val="Stage 17"/>
      <sheetName val="Stage 18"/>
      <sheetName val="Stage 19"/>
      <sheetName val="Stage 20"/>
      <sheetName val="Stage 21"/>
      <sheetName val="Stage 22"/>
      <sheetName val="Stage 23"/>
      <sheetName val="Stage 24"/>
      <sheetName val="Stage 25"/>
      <sheetName val="Stage 26"/>
      <sheetName val="Stage 27"/>
      <sheetName val="Stage 28"/>
      <sheetName val="Stage 29"/>
      <sheetName val="Stage 30"/>
      <sheetName val="Stage 31"/>
      <sheetName val="Stage 32"/>
      <sheetName val="Stage 33"/>
      <sheetName val="Stage 34"/>
      <sheetName val="Stage 35"/>
      <sheetName val="Stage 36"/>
      <sheetName val="Stage 37"/>
      <sheetName val="Stage 38"/>
      <sheetName val="Stage 39"/>
      <sheetName val="Stage 40"/>
      <sheetName val="Stage 41"/>
      <sheetName val="Stage 42"/>
      <sheetName val="Stage 43"/>
      <sheetName val="Stage 44"/>
      <sheetName val="Stage 45"/>
      <sheetName val="Stage 46"/>
      <sheetName val="Stage 47"/>
      <sheetName val="Stage 48"/>
      <sheetName val="Stage 49"/>
      <sheetName val="Stage 50"/>
      <sheetName val="Stage 51"/>
      <sheetName val="Stage 52"/>
      <sheetName val="Stage 53"/>
      <sheetName val="Set Up"/>
      <sheetName val="Treatment Summary"/>
      <sheetName val="Variance"/>
      <sheetName val="Chem Reference"/>
      <sheetName val="Pipe Reference"/>
      <sheetName val="Prop Referen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>
        <row r="2">
          <cell r="R2">
            <v>12500</v>
          </cell>
          <cell r="U2">
            <v>22924</v>
          </cell>
          <cell r="V2">
            <v>23086</v>
          </cell>
          <cell r="W2">
            <v>24</v>
          </cell>
          <cell r="X2">
            <v>23105</v>
          </cell>
          <cell r="AA2">
            <v>12305</v>
          </cell>
        </row>
        <row r="3">
          <cell r="U3">
            <v>22722</v>
          </cell>
          <cell r="V3">
            <v>22885</v>
          </cell>
          <cell r="W3">
            <v>24</v>
          </cell>
          <cell r="X3">
            <v>22904</v>
          </cell>
          <cell r="AA3">
            <v>12288</v>
          </cell>
        </row>
        <row r="4">
          <cell r="U4">
            <v>22520</v>
          </cell>
          <cell r="V4">
            <v>22683</v>
          </cell>
          <cell r="W4">
            <v>24</v>
          </cell>
          <cell r="X4">
            <v>22702</v>
          </cell>
          <cell r="AA4">
            <v>12278</v>
          </cell>
        </row>
        <row r="5">
          <cell r="E5" t="str">
            <v>Anadarko Petroleum Corporation</v>
          </cell>
          <cell r="U5">
            <v>22319</v>
          </cell>
          <cell r="V5">
            <v>22481</v>
          </cell>
          <cell r="W5">
            <v>24</v>
          </cell>
          <cell r="X5">
            <v>22500</v>
          </cell>
          <cell r="AA5">
            <v>12277</v>
          </cell>
        </row>
        <row r="6">
          <cell r="E6" t="str">
            <v>Allie Lay</v>
          </cell>
          <cell r="U6">
            <v>22117</v>
          </cell>
          <cell r="V6">
            <v>22280</v>
          </cell>
          <cell r="W6">
            <v>24</v>
          </cell>
          <cell r="X6">
            <v>22299</v>
          </cell>
          <cell r="AA6">
            <v>12277</v>
          </cell>
        </row>
        <row r="7">
          <cell r="E7" t="str">
            <v>Silvertip 76-7 Unit A 5H</v>
          </cell>
          <cell r="J7" t="str">
            <v>2136273.CMP</v>
          </cell>
          <cell r="U7">
            <v>21916</v>
          </cell>
          <cell r="V7">
            <v>22078</v>
          </cell>
          <cell r="W7">
            <v>24</v>
          </cell>
          <cell r="X7">
            <v>22097</v>
          </cell>
          <cell r="AA7">
            <v>12277</v>
          </cell>
        </row>
        <row r="8">
          <cell r="E8" t="str">
            <v>Loving County, TX</v>
          </cell>
          <cell r="U8">
            <v>21714</v>
          </cell>
          <cell r="V8">
            <v>21877</v>
          </cell>
          <cell r="W8">
            <v>24</v>
          </cell>
          <cell r="X8">
            <v>21896</v>
          </cell>
          <cell r="AA8">
            <v>12277</v>
          </cell>
        </row>
        <row r="9">
          <cell r="E9" t="str">
            <v>Upper Beta Target</v>
          </cell>
          <cell r="U9">
            <v>21513</v>
          </cell>
          <cell r="V9">
            <v>21675</v>
          </cell>
          <cell r="W9">
            <v>24</v>
          </cell>
          <cell r="X9">
            <v>21694</v>
          </cell>
          <cell r="AA9">
            <v>12277</v>
          </cell>
        </row>
        <row r="10">
          <cell r="E10" t="str">
            <v>PumpCo 2</v>
          </cell>
          <cell r="U10">
            <v>21311</v>
          </cell>
          <cell r="V10">
            <v>21474</v>
          </cell>
          <cell r="W10">
            <v>24</v>
          </cell>
          <cell r="X10">
            <v>21493</v>
          </cell>
          <cell r="AA10">
            <v>12278</v>
          </cell>
        </row>
        <row r="11">
          <cell r="E11" t="str">
            <v>Odessa</v>
          </cell>
          <cell r="R11" t="str">
            <v>53-Stage SW Plug &amp; Perf</v>
          </cell>
          <cell r="U11">
            <v>21110</v>
          </cell>
          <cell r="V11">
            <v>21272</v>
          </cell>
          <cell r="W11">
            <v>24</v>
          </cell>
          <cell r="X11">
            <v>21291</v>
          </cell>
          <cell r="AA11">
            <v>12277</v>
          </cell>
        </row>
        <row r="12">
          <cell r="E12" t="str">
            <v>Julian Weaver/Jarvis Weaver</v>
          </cell>
          <cell r="U12">
            <v>20908</v>
          </cell>
          <cell r="V12">
            <v>21071</v>
          </cell>
          <cell r="W12">
            <v>24</v>
          </cell>
          <cell r="X12">
            <v>21090</v>
          </cell>
          <cell r="AA12">
            <v>12277</v>
          </cell>
        </row>
        <row r="13">
          <cell r="U13">
            <v>20707</v>
          </cell>
          <cell r="V13">
            <v>20869</v>
          </cell>
          <cell r="W13">
            <v>24</v>
          </cell>
          <cell r="X13">
            <v>20888</v>
          </cell>
          <cell r="AA13">
            <v>12278</v>
          </cell>
        </row>
        <row r="14">
          <cell r="U14">
            <v>20505</v>
          </cell>
          <cell r="V14">
            <v>20668</v>
          </cell>
          <cell r="W14">
            <v>24</v>
          </cell>
          <cell r="X14">
            <v>20687</v>
          </cell>
          <cell r="AA14">
            <v>12277</v>
          </cell>
        </row>
        <row r="15">
          <cell r="E15" t="str">
            <v>5-1/2"</v>
          </cell>
          <cell r="F15">
            <v>23</v>
          </cell>
          <cell r="H15" t="str">
            <v>P-110</v>
          </cell>
          <cell r="J15">
            <v>11972</v>
          </cell>
          <cell r="K15">
            <v>11972</v>
          </cell>
          <cell r="N15">
            <v>2.1191590531075062E-2</v>
          </cell>
          <cell r="O15">
            <v>253.70572183803066</v>
          </cell>
          <cell r="U15">
            <v>20304</v>
          </cell>
          <cell r="V15">
            <v>20466</v>
          </cell>
          <cell r="W15">
            <v>24</v>
          </cell>
          <cell r="X15">
            <v>20485</v>
          </cell>
          <cell r="AA15">
            <v>12276</v>
          </cell>
        </row>
        <row r="16">
          <cell r="E16" t="str">
            <v>4-1/2"</v>
          </cell>
          <cell r="F16">
            <v>13.5</v>
          </cell>
          <cell r="H16" t="str">
            <v>P-110</v>
          </cell>
          <cell r="J16">
            <v>23296</v>
          </cell>
          <cell r="K16">
            <v>11324</v>
          </cell>
          <cell r="N16">
            <v>1.4931448020611394E-2</v>
          </cell>
          <cell r="O16">
            <v>169.08371738540342</v>
          </cell>
          <cell r="U16">
            <v>20102</v>
          </cell>
          <cell r="V16">
            <v>20265</v>
          </cell>
          <cell r="W16">
            <v>24</v>
          </cell>
          <cell r="X16">
            <v>20284</v>
          </cell>
          <cell r="AA16">
            <v>12273</v>
          </cell>
        </row>
        <row r="17">
          <cell r="E17" t="str">
            <v/>
          </cell>
          <cell r="F17" t="str">
            <v/>
          </cell>
          <cell r="H17" t="str">
            <v/>
          </cell>
          <cell r="K17" t="str">
            <v/>
          </cell>
          <cell r="N17" t="str">
            <v/>
          </cell>
          <cell r="O17" t="str">
            <v/>
          </cell>
          <cell r="U17">
            <v>19901</v>
          </cell>
          <cell r="V17">
            <v>20063</v>
          </cell>
          <cell r="W17">
            <v>24</v>
          </cell>
          <cell r="X17">
            <v>20082</v>
          </cell>
          <cell r="AA17">
            <v>12273</v>
          </cell>
        </row>
        <row r="18">
          <cell r="E18" t="str">
            <v/>
          </cell>
          <cell r="F18" t="str">
            <v/>
          </cell>
          <cell r="H18" t="str">
            <v/>
          </cell>
          <cell r="K18" t="str">
            <v/>
          </cell>
          <cell r="N18" t="str">
            <v/>
          </cell>
          <cell r="U18">
            <v>19699</v>
          </cell>
          <cell r="V18">
            <v>19862</v>
          </cell>
          <cell r="W18">
            <v>24</v>
          </cell>
          <cell r="X18">
            <v>19881</v>
          </cell>
          <cell r="AA18">
            <v>12274</v>
          </cell>
        </row>
        <row r="19">
          <cell r="U19">
            <v>19498</v>
          </cell>
          <cell r="V19">
            <v>19660</v>
          </cell>
          <cell r="W19">
            <v>24</v>
          </cell>
          <cell r="X19">
            <v>19679</v>
          </cell>
          <cell r="AA19">
            <v>12268</v>
          </cell>
        </row>
        <row r="20">
          <cell r="U20">
            <v>19296</v>
          </cell>
          <cell r="V20">
            <v>19459</v>
          </cell>
          <cell r="W20">
            <v>24</v>
          </cell>
          <cell r="X20">
            <v>19478</v>
          </cell>
          <cell r="AA20">
            <v>12255</v>
          </cell>
        </row>
        <row r="21">
          <cell r="U21">
            <v>19095</v>
          </cell>
          <cell r="V21">
            <v>19257</v>
          </cell>
          <cell r="W21">
            <v>24</v>
          </cell>
          <cell r="X21">
            <v>19276</v>
          </cell>
          <cell r="AA21">
            <v>12246</v>
          </cell>
        </row>
        <row r="22">
          <cell r="U22">
            <v>18893</v>
          </cell>
          <cell r="V22">
            <v>19056</v>
          </cell>
          <cell r="W22">
            <v>24</v>
          </cell>
          <cell r="X22">
            <v>19075</v>
          </cell>
          <cell r="AA22">
            <v>12244</v>
          </cell>
        </row>
        <row r="23">
          <cell r="U23">
            <v>18692</v>
          </cell>
          <cell r="V23">
            <v>18854</v>
          </cell>
          <cell r="W23">
            <v>24</v>
          </cell>
          <cell r="X23">
            <v>18873</v>
          </cell>
          <cell r="AA23">
            <v>12240</v>
          </cell>
        </row>
        <row r="24">
          <cell r="U24">
            <v>18490</v>
          </cell>
          <cell r="V24">
            <v>18653</v>
          </cell>
          <cell r="W24">
            <v>24</v>
          </cell>
          <cell r="X24">
            <v>18672</v>
          </cell>
          <cell r="AA24">
            <v>12239</v>
          </cell>
        </row>
        <row r="25">
          <cell r="U25">
            <v>18289</v>
          </cell>
          <cell r="V25">
            <v>18451</v>
          </cell>
          <cell r="W25">
            <v>24</v>
          </cell>
          <cell r="X25">
            <v>18470</v>
          </cell>
          <cell r="AA25">
            <v>12237</v>
          </cell>
        </row>
        <row r="26">
          <cell r="U26">
            <v>18087</v>
          </cell>
          <cell r="V26">
            <v>18250</v>
          </cell>
          <cell r="W26">
            <v>24</v>
          </cell>
          <cell r="X26">
            <v>18269</v>
          </cell>
          <cell r="AA26">
            <v>12233</v>
          </cell>
        </row>
        <row r="27">
          <cell r="U27">
            <v>17886</v>
          </cell>
          <cell r="V27">
            <v>18048</v>
          </cell>
          <cell r="W27">
            <v>24</v>
          </cell>
          <cell r="X27">
            <v>18067</v>
          </cell>
          <cell r="AA27">
            <v>12230</v>
          </cell>
        </row>
        <row r="28">
          <cell r="U28">
            <v>17684</v>
          </cell>
          <cell r="V28">
            <v>17847</v>
          </cell>
          <cell r="W28">
            <v>24</v>
          </cell>
          <cell r="X28">
            <v>17866</v>
          </cell>
          <cell r="AA28">
            <v>12228</v>
          </cell>
        </row>
        <row r="29">
          <cell r="U29">
            <v>17483</v>
          </cell>
          <cell r="V29">
            <v>17645</v>
          </cell>
          <cell r="W29">
            <v>24</v>
          </cell>
          <cell r="X29">
            <v>17664</v>
          </cell>
          <cell r="AA29">
            <v>12226</v>
          </cell>
        </row>
        <row r="30">
          <cell r="U30">
            <v>17281</v>
          </cell>
          <cell r="V30">
            <v>17444</v>
          </cell>
          <cell r="W30">
            <v>24</v>
          </cell>
          <cell r="X30">
            <v>17463</v>
          </cell>
          <cell r="AA30">
            <v>12223</v>
          </cell>
        </row>
        <row r="31">
          <cell r="U31">
            <v>17080</v>
          </cell>
          <cell r="V31">
            <v>17242</v>
          </cell>
          <cell r="W31">
            <v>24</v>
          </cell>
          <cell r="X31">
            <v>17261</v>
          </cell>
          <cell r="AA31">
            <v>12220</v>
          </cell>
        </row>
        <row r="32">
          <cell r="U32">
            <v>16878</v>
          </cell>
          <cell r="V32">
            <v>17041</v>
          </cell>
          <cell r="W32">
            <v>24</v>
          </cell>
          <cell r="X32">
            <v>17060</v>
          </cell>
          <cell r="AA32">
            <v>12215</v>
          </cell>
        </row>
        <row r="33">
          <cell r="U33">
            <v>16677</v>
          </cell>
          <cell r="V33">
            <v>16839</v>
          </cell>
          <cell r="W33">
            <v>24</v>
          </cell>
          <cell r="X33">
            <v>16858</v>
          </cell>
          <cell r="AA33">
            <v>12211</v>
          </cell>
        </row>
        <row r="34">
          <cell r="U34">
            <v>16475</v>
          </cell>
          <cell r="V34">
            <v>16638</v>
          </cell>
          <cell r="W34">
            <v>24</v>
          </cell>
          <cell r="X34">
            <v>16657</v>
          </cell>
          <cell r="AA34">
            <v>12206</v>
          </cell>
        </row>
        <row r="35">
          <cell r="E35" t="str">
            <v>100 Mesh</v>
          </cell>
          <cell r="U35">
            <v>16274</v>
          </cell>
          <cell r="V35">
            <v>16436</v>
          </cell>
          <cell r="W35">
            <v>24</v>
          </cell>
          <cell r="X35">
            <v>16455</v>
          </cell>
          <cell r="AA35">
            <v>12199</v>
          </cell>
        </row>
        <row r="36">
          <cell r="E36">
            <v>0</v>
          </cell>
          <cell r="U36">
            <v>16072</v>
          </cell>
          <cell r="V36">
            <v>16235</v>
          </cell>
          <cell r="W36">
            <v>24</v>
          </cell>
          <cell r="X36">
            <v>16254</v>
          </cell>
          <cell r="AA36">
            <v>12194</v>
          </cell>
        </row>
        <row r="37">
          <cell r="E37">
            <v>0</v>
          </cell>
          <cell r="U37">
            <v>15870</v>
          </cell>
          <cell r="V37">
            <v>16033</v>
          </cell>
          <cell r="W37">
            <v>24</v>
          </cell>
          <cell r="X37">
            <v>16052</v>
          </cell>
          <cell r="AA37">
            <v>12192</v>
          </cell>
        </row>
        <row r="38">
          <cell r="E38">
            <v>0</v>
          </cell>
          <cell r="U38">
            <v>15669</v>
          </cell>
          <cell r="V38">
            <v>15831</v>
          </cell>
          <cell r="W38">
            <v>24</v>
          </cell>
          <cell r="X38">
            <v>15850</v>
          </cell>
          <cell r="AA38">
            <v>12187</v>
          </cell>
        </row>
        <row r="39">
          <cell r="U39">
            <v>15467</v>
          </cell>
          <cell r="V39">
            <v>15630</v>
          </cell>
          <cell r="W39">
            <v>24</v>
          </cell>
          <cell r="X39">
            <v>15649</v>
          </cell>
          <cell r="AA39">
            <v>12178</v>
          </cell>
        </row>
        <row r="40">
          <cell r="U40">
            <v>15266</v>
          </cell>
          <cell r="V40">
            <v>15428</v>
          </cell>
          <cell r="W40">
            <v>24</v>
          </cell>
          <cell r="X40">
            <v>15447</v>
          </cell>
          <cell r="AA40">
            <v>12165</v>
          </cell>
        </row>
        <row r="41">
          <cell r="E41" t="str">
            <v>15% HCl Acid</v>
          </cell>
          <cell r="U41">
            <v>15064</v>
          </cell>
          <cell r="V41">
            <v>15227</v>
          </cell>
          <cell r="W41">
            <v>24</v>
          </cell>
          <cell r="X41">
            <v>15246</v>
          </cell>
          <cell r="AA41">
            <v>12157</v>
          </cell>
        </row>
        <row r="42">
          <cell r="E42" t="str">
            <v>Slickwater</v>
          </cell>
          <cell r="U42">
            <v>14863</v>
          </cell>
          <cell r="V42">
            <v>15025</v>
          </cell>
          <cell r="W42">
            <v>24</v>
          </cell>
          <cell r="X42">
            <v>15044</v>
          </cell>
          <cell r="AA42">
            <v>12156</v>
          </cell>
        </row>
        <row r="43">
          <cell r="E43" t="str">
            <v>Pump Down</v>
          </cell>
          <cell r="U43">
            <v>14661</v>
          </cell>
          <cell r="V43">
            <v>14824</v>
          </cell>
          <cell r="W43">
            <v>24</v>
          </cell>
          <cell r="X43">
            <v>14843</v>
          </cell>
          <cell r="AA43">
            <v>12151</v>
          </cell>
        </row>
        <row r="44">
          <cell r="U44">
            <v>14460</v>
          </cell>
          <cell r="V44">
            <v>14622</v>
          </cell>
          <cell r="W44">
            <v>24</v>
          </cell>
          <cell r="X44">
            <v>14641</v>
          </cell>
          <cell r="AA44">
            <v>12146</v>
          </cell>
        </row>
        <row r="45">
          <cell r="U45">
            <v>14258</v>
          </cell>
          <cell r="V45">
            <v>14421</v>
          </cell>
          <cell r="W45">
            <v>24</v>
          </cell>
          <cell r="X45">
            <v>14440</v>
          </cell>
          <cell r="AA45">
            <v>12139</v>
          </cell>
        </row>
        <row r="46">
          <cell r="U46">
            <v>14057</v>
          </cell>
          <cell r="V46">
            <v>14219</v>
          </cell>
          <cell r="W46">
            <v>24</v>
          </cell>
          <cell r="X46">
            <v>14238</v>
          </cell>
          <cell r="AA46">
            <v>12139</v>
          </cell>
        </row>
        <row r="47">
          <cell r="U47">
            <v>13855</v>
          </cell>
          <cell r="V47">
            <v>14018</v>
          </cell>
          <cell r="W47">
            <v>24</v>
          </cell>
          <cell r="X47">
            <v>14037</v>
          </cell>
          <cell r="AA47">
            <v>12149</v>
          </cell>
        </row>
        <row r="48">
          <cell r="U48">
            <v>13654</v>
          </cell>
          <cell r="V48">
            <v>13816</v>
          </cell>
          <cell r="W48">
            <v>24</v>
          </cell>
          <cell r="X48">
            <v>13835</v>
          </cell>
          <cell r="AA48">
            <v>12151</v>
          </cell>
        </row>
        <row r="49">
          <cell r="U49">
            <v>13452</v>
          </cell>
          <cell r="V49">
            <v>13615</v>
          </cell>
          <cell r="W49">
            <v>24</v>
          </cell>
          <cell r="X49">
            <v>13634</v>
          </cell>
          <cell r="AA49">
            <v>12148</v>
          </cell>
        </row>
        <row r="50">
          <cell r="U50">
            <v>13251</v>
          </cell>
          <cell r="V50">
            <v>13413</v>
          </cell>
          <cell r="W50">
            <v>24</v>
          </cell>
          <cell r="X50">
            <v>13432</v>
          </cell>
          <cell r="AA50">
            <v>12143</v>
          </cell>
        </row>
        <row r="51">
          <cell r="E51" t="str">
            <v>Plexslick 957, gal</v>
          </cell>
          <cell r="U51">
            <v>13049</v>
          </cell>
          <cell r="V51">
            <v>13212</v>
          </cell>
          <cell r="W51">
            <v>24</v>
          </cell>
          <cell r="X51">
            <v>13231</v>
          </cell>
          <cell r="AA51">
            <v>12140</v>
          </cell>
        </row>
        <row r="52">
          <cell r="E52" t="str">
            <v>Chemplex 4-N-1, gal</v>
          </cell>
          <cell r="U52">
            <v>12848</v>
          </cell>
          <cell r="V52">
            <v>13010</v>
          </cell>
          <cell r="W52">
            <v>24</v>
          </cell>
          <cell r="X52">
            <v>13029</v>
          </cell>
          <cell r="AA52">
            <v>12136</v>
          </cell>
        </row>
        <row r="53">
          <cell r="E53" t="str">
            <v>Payzone 845, gal</v>
          </cell>
          <cell r="U53">
            <v>12646</v>
          </cell>
          <cell r="V53">
            <v>12809</v>
          </cell>
          <cell r="W53">
            <v>24</v>
          </cell>
          <cell r="X53">
            <v>12828</v>
          </cell>
          <cell r="AA53">
            <v>12128</v>
          </cell>
        </row>
        <row r="54">
          <cell r="E54" t="str">
            <v>Payzone 850, gal</v>
          </cell>
          <cell r="U54">
            <v>12445</v>
          </cell>
          <cell r="V54">
            <v>12607</v>
          </cell>
          <cell r="W54">
            <v>24</v>
          </cell>
          <cell r="X54">
            <v>12626</v>
          </cell>
          <cell r="AA54">
            <v>12128</v>
          </cell>
        </row>
        <row r="55">
          <cell r="E55" t="str">
            <v>Payzone 217, gal</v>
          </cell>
        </row>
        <row r="56">
          <cell r="E56" t="str">
            <v>Stim741 Gel, gal</v>
          </cell>
        </row>
        <row r="62">
          <cell r="E62" t="str">
            <v>15% HCl Acid, gal</v>
          </cell>
        </row>
      </sheetData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hecklist"/>
      <sheetName val="Rig Up"/>
      <sheetName val="Base Fluid"/>
      <sheetName val="Base Gel"/>
      <sheetName val="Break Tests"/>
      <sheetName val="Stage 1"/>
      <sheetName val="Stage 2"/>
      <sheetName val="Stage 3"/>
      <sheetName val="Stage 4"/>
      <sheetName val="Stage 5"/>
      <sheetName val="Stage 6"/>
      <sheetName val="Stage 7"/>
      <sheetName val="Stage 8"/>
      <sheetName val="Stage 9"/>
      <sheetName val="Stage 10"/>
      <sheetName val="Stage 11"/>
      <sheetName val="Stage 12"/>
      <sheetName val="Stage 13"/>
      <sheetName val="Stage 14"/>
      <sheetName val="Stage 15"/>
      <sheetName val="Stage 16"/>
      <sheetName val="Stage 17"/>
      <sheetName val="Stage 18"/>
      <sheetName val="Stage 19"/>
      <sheetName val="Stage 20"/>
      <sheetName val="Stage 21"/>
      <sheetName val="Stage 22"/>
      <sheetName val="Stage 23"/>
      <sheetName val="Stage 24"/>
      <sheetName val="Stage 25"/>
      <sheetName val="Stage 26"/>
      <sheetName val="Stage 27"/>
      <sheetName val="Stage 28"/>
      <sheetName val="Stage 29"/>
      <sheetName val="Stage 30"/>
      <sheetName val="Stage 31"/>
      <sheetName val="Stage 32"/>
      <sheetName val="Stage 33"/>
      <sheetName val="Stage 34"/>
      <sheetName val="Set Up"/>
      <sheetName val="Treatment Summary"/>
      <sheetName val="Variance"/>
      <sheetName val="Chem Reference"/>
      <sheetName val="Pipe Reference"/>
      <sheetName val="Prop Referen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>
        <row r="2">
          <cell r="R2">
            <v>12500</v>
          </cell>
          <cell r="U2">
            <v>22448</v>
          </cell>
          <cell r="V2">
            <v>23427</v>
          </cell>
          <cell r="W2">
            <v>120</v>
          </cell>
          <cell r="X2">
            <v>23446</v>
          </cell>
          <cell r="AA2">
            <v>12622</v>
          </cell>
        </row>
        <row r="3">
          <cell r="U3">
            <v>21436</v>
          </cell>
          <cell r="V3">
            <v>22416</v>
          </cell>
          <cell r="W3">
            <v>120</v>
          </cell>
          <cell r="X3">
            <v>23446</v>
          </cell>
          <cell r="AA3">
            <v>12603</v>
          </cell>
        </row>
        <row r="4">
          <cell r="U4">
            <v>20930</v>
          </cell>
          <cell r="V4">
            <v>21404</v>
          </cell>
          <cell r="W4">
            <v>60</v>
          </cell>
          <cell r="X4">
            <v>23446</v>
          </cell>
          <cell r="AA4">
            <v>12602</v>
          </cell>
        </row>
        <row r="5">
          <cell r="E5" t="str">
            <v>Anadarko Petroleum Corporation</v>
          </cell>
          <cell r="U5">
            <v>20424</v>
          </cell>
          <cell r="V5">
            <v>20989</v>
          </cell>
          <cell r="W5">
            <v>60</v>
          </cell>
          <cell r="X5">
            <v>23446</v>
          </cell>
          <cell r="AA5">
            <v>12602</v>
          </cell>
        </row>
        <row r="6">
          <cell r="E6" t="str">
            <v>Allie Lay</v>
          </cell>
          <cell r="U6">
            <v>19413</v>
          </cell>
          <cell r="V6">
            <v>20392</v>
          </cell>
          <cell r="W6">
            <v>120</v>
          </cell>
          <cell r="X6">
            <v>23446</v>
          </cell>
          <cell r="AA6">
            <v>12585</v>
          </cell>
        </row>
        <row r="7">
          <cell r="E7" t="str">
            <v>Silvertip 76-7 Unit A 6H</v>
          </cell>
          <cell r="J7" t="str">
            <v>2136272.CMP</v>
          </cell>
          <cell r="U7">
            <v>18401</v>
          </cell>
          <cell r="V7">
            <v>19380</v>
          </cell>
          <cell r="W7">
            <v>120</v>
          </cell>
          <cell r="X7">
            <v>23446</v>
          </cell>
          <cell r="AA7">
            <v>12557</v>
          </cell>
        </row>
        <row r="8">
          <cell r="E8" t="str">
            <v>Loving County, TX</v>
          </cell>
          <cell r="U8">
            <v>18201</v>
          </cell>
          <cell r="V8">
            <v>18361</v>
          </cell>
          <cell r="W8">
            <v>24</v>
          </cell>
          <cell r="X8">
            <v>18381</v>
          </cell>
          <cell r="AA8">
            <v>12570</v>
          </cell>
        </row>
        <row r="9">
          <cell r="E9" t="str">
            <v>Upper Delta Target</v>
          </cell>
          <cell r="U9">
            <v>18003</v>
          </cell>
          <cell r="V9">
            <v>18162</v>
          </cell>
          <cell r="W9">
            <v>24</v>
          </cell>
          <cell r="X9">
            <v>18181</v>
          </cell>
          <cell r="AA9">
            <v>12567</v>
          </cell>
        </row>
        <row r="10">
          <cell r="E10" t="str">
            <v>PumpCo 2</v>
          </cell>
          <cell r="U10">
            <v>17804</v>
          </cell>
          <cell r="V10">
            <v>17964</v>
          </cell>
          <cell r="W10">
            <v>24</v>
          </cell>
          <cell r="X10">
            <v>17983</v>
          </cell>
          <cell r="AA10">
            <v>12568</v>
          </cell>
        </row>
        <row r="11">
          <cell r="E11" t="str">
            <v>Odessa</v>
          </cell>
          <cell r="R11" t="str">
            <v>34-Stage SW Plug &amp; Perf</v>
          </cell>
          <cell r="U11">
            <v>17605</v>
          </cell>
          <cell r="V11">
            <v>17765</v>
          </cell>
          <cell r="W11">
            <v>24</v>
          </cell>
          <cell r="X11">
            <v>17784</v>
          </cell>
          <cell r="AA11">
            <v>12566</v>
          </cell>
        </row>
        <row r="12">
          <cell r="E12" t="str">
            <v>John Hutton/Otom Betancort</v>
          </cell>
          <cell r="U12">
            <v>17406</v>
          </cell>
          <cell r="V12">
            <v>17566</v>
          </cell>
          <cell r="W12">
            <v>24</v>
          </cell>
          <cell r="X12">
            <v>17585</v>
          </cell>
          <cell r="AA12">
            <v>12567</v>
          </cell>
        </row>
        <row r="13">
          <cell r="U13">
            <v>17208</v>
          </cell>
          <cell r="V13">
            <v>17367</v>
          </cell>
          <cell r="W13">
            <v>24</v>
          </cell>
          <cell r="X13">
            <v>17386</v>
          </cell>
          <cell r="AA13">
            <v>12565</v>
          </cell>
        </row>
        <row r="14">
          <cell r="U14">
            <v>17009</v>
          </cell>
          <cell r="V14">
            <v>17169</v>
          </cell>
          <cell r="W14">
            <v>24</v>
          </cell>
          <cell r="AA14">
            <v>12559</v>
          </cell>
        </row>
        <row r="15">
          <cell r="E15" t="str">
            <v>5-1/2"</v>
          </cell>
          <cell r="F15">
            <v>23</v>
          </cell>
          <cell r="H15" t="str">
            <v>P-110</v>
          </cell>
          <cell r="J15">
            <v>12533</v>
          </cell>
          <cell r="K15">
            <v>12533</v>
          </cell>
          <cell r="N15">
            <v>2.1191590531075062E-2</v>
          </cell>
          <cell r="O15">
            <v>265.59420412596376</v>
          </cell>
          <cell r="U15">
            <v>16810</v>
          </cell>
          <cell r="V15">
            <v>16970</v>
          </cell>
          <cell r="W15">
            <v>24</v>
          </cell>
          <cell r="AA15">
            <v>12549</v>
          </cell>
        </row>
        <row r="16">
          <cell r="E16" t="str">
            <v>4-1/2"</v>
          </cell>
          <cell r="F16">
            <v>13.5</v>
          </cell>
          <cell r="H16" t="str">
            <v>P-110</v>
          </cell>
          <cell r="J16">
            <v>23488</v>
          </cell>
          <cell r="K16">
            <v>10955</v>
          </cell>
          <cell r="N16">
            <v>1.4931448020611394E-2</v>
          </cell>
          <cell r="O16">
            <v>163.57401306579783</v>
          </cell>
          <cell r="U16">
            <v>16611</v>
          </cell>
          <cell r="V16">
            <v>16771</v>
          </cell>
          <cell r="W16">
            <v>24</v>
          </cell>
          <cell r="AA16">
            <v>12535</v>
          </cell>
        </row>
        <row r="17">
          <cell r="E17" t="str">
            <v/>
          </cell>
          <cell r="F17" t="str">
            <v/>
          </cell>
          <cell r="H17" t="str">
            <v/>
          </cell>
          <cell r="K17" t="str">
            <v/>
          </cell>
          <cell r="N17" t="str">
            <v/>
          </cell>
          <cell r="O17" t="str">
            <v/>
          </cell>
          <cell r="U17">
            <v>16413</v>
          </cell>
          <cell r="V17">
            <v>16572</v>
          </cell>
          <cell r="W17">
            <v>24</v>
          </cell>
          <cell r="AA17">
            <v>12537</v>
          </cell>
        </row>
        <row r="18">
          <cell r="E18" t="str">
            <v/>
          </cell>
          <cell r="F18" t="str">
            <v/>
          </cell>
          <cell r="H18" t="str">
            <v/>
          </cell>
          <cell r="K18" t="str">
            <v/>
          </cell>
          <cell r="N18" t="str">
            <v/>
          </cell>
          <cell r="U18">
            <v>16214</v>
          </cell>
          <cell r="V18">
            <v>16374</v>
          </cell>
          <cell r="W18">
            <v>24</v>
          </cell>
          <cell r="AA18">
            <v>12541</v>
          </cell>
        </row>
        <row r="19">
          <cell r="U19">
            <v>16018</v>
          </cell>
          <cell r="V19">
            <v>16175</v>
          </cell>
          <cell r="W19">
            <v>24</v>
          </cell>
          <cell r="X19">
            <v>16194</v>
          </cell>
          <cell r="AA19">
            <v>12548</v>
          </cell>
        </row>
        <row r="20">
          <cell r="U20">
            <v>15816</v>
          </cell>
          <cell r="V20">
            <v>15976</v>
          </cell>
          <cell r="W20">
            <v>24</v>
          </cell>
          <cell r="X20">
            <v>15995</v>
          </cell>
          <cell r="AA20">
            <v>12542</v>
          </cell>
        </row>
        <row r="21">
          <cell r="U21">
            <v>15618</v>
          </cell>
          <cell r="V21">
            <v>15777</v>
          </cell>
          <cell r="W21">
            <v>24</v>
          </cell>
          <cell r="X21">
            <v>15796</v>
          </cell>
          <cell r="AA21">
            <v>12537</v>
          </cell>
        </row>
        <row r="22">
          <cell r="U22">
            <v>15419</v>
          </cell>
          <cell r="V22">
            <v>15579</v>
          </cell>
          <cell r="W22">
            <v>24</v>
          </cell>
          <cell r="X22">
            <v>15598</v>
          </cell>
          <cell r="AA22">
            <v>12533</v>
          </cell>
        </row>
        <row r="23">
          <cell r="U23">
            <v>15220</v>
          </cell>
          <cell r="V23">
            <v>15380</v>
          </cell>
          <cell r="W23">
            <v>24</v>
          </cell>
          <cell r="X23">
            <v>15399</v>
          </cell>
          <cell r="AA23">
            <v>12533</v>
          </cell>
        </row>
        <row r="24">
          <cell r="U24">
            <v>15021</v>
          </cell>
          <cell r="V24">
            <v>15181</v>
          </cell>
          <cell r="W24">
            <v>20</v>
          </cell>
          <cell r="X24">
            <v>15200</v>
          </cell>
          <cell r="AA24">
            <v>12531</v>
          </cell>
        </row>
        <row r="25">
          <cell r="U25">
            <v>14823</v>
          </cell>
          <cell r="V25">
            <v>14982</v>
          </cell>
          <cell r="W25">
            <v>24</v>
          </cell>
          <cell r="X25">
            <v>15001</v>
          </cell>
          <cell r="AA25">
            <v>12520</v>
          </cell>
        </row>
        <row r="26">
          <cell r="U26">
            <v>14624</v>
          </cell>
          <cell r="V26">
            <v>14784</v>
          </cell>
          <cell r="W26">
            <v>24</v>
          </cell>
          <cell r="X26">
            <v>14803</v>
          </cell>
          <cell r="AA26">
            <v>12520</v>
          </cell>
        </row>
        <row r="27">
          <cell r="U27">
            <v>14425</v>
          </cell>
          <cell r="V27">
            <v>14585</v>
          </cell>
          <cell r="W27">
            <v>24</v>
          </cell>
          <cell r="X27">
            <v>14604</v>
          </cell>
          <cell r="AA27">
            <v>12518</v>
          </cell>
        </row>
        <row r="28">
          <cell r="U28">
            <v>14226</v>
          </cell>
          <cell r="V28">
            <v>14386</v>
          </cell>
          <cell r="W28">
            <v>20</v>
          </cell>
          <cell r="X28">
            <v>14405</v>
          </cell>
          <cell r="AA28">
            <v>12517</v>
          </cell>
        </row>
        <row r="29">
          <cell r="U29">
            <v>14028</v>
          </cell>
          <cell r="V29">
            <v>14187</v>
          </cell>
          <cell r="W29">
            <v>24</v>
          </cell>
          <cell r="X29">
            <v>14206</v>
          </cell>
          <cell r="AA29">
            <v>12519</v>
          </cell>
        </row>
        <row r="30">
          <cell r="U30">
            <v>13829</v>
          </cell>
          <cell r="V30">
            <v>13989</v>
          </cell>
          <cell r="W30">
            <v>24</v>
          </cell>
          <cell r="X30">
            <v>14008</v>
          </cell>
          <cell r="AA30">
            <v>12513</v>
          </cell>
        </row>
        <row r="31">
          <cell r="U31">
            <v>13630</v>
          </cell>
          <cell r="V31">
            <v>13790</v>
          </cell>
          <cell r="W31">
            <v>24</v>
          </cell>
          <cell r="X31">
            <v>13809</v>
          </cell>
          <cell r="AA31">
            <v>12499</v>
          </cell>
        </row>
        <row r="32">
          <cell r="U32">
            <v>13431</v>
          </cell>
          <cell r="V32">
            <v>13591</v>
          </cell>
          <cell r="W32">
            <v>24</v>
          </cell>
          <cell r="X32">
            <v>13610</v>
          </cell>
          <cell r="AA32">
            <v>12493</v>
          </cell>
        </row>
        <row r="33">
          <cell r="U33">
            <v>13233</v>
          </cell>
          <cell r="V33">
            <v>13392</v>
          </cell>
          <cell r="W33">
            <v>24</v>
          </cell>
          <cell r="X33">
            <v>13411</v>
          </cell>
          <cell r="AA33">
            <v>12503</v>
          </cell>
        </row>
        <row r="34">
          <cell r="U34">
            <v>13034</v>
          </cell>
          <cell r="V34">
            <v>13194</v>
          </cell>
          <cell r="W34">
            <v>24</v>
          </cell>
          <cell r="X34">
            <v>13213</v>
          </cell>
          <cell r="AA34">
            <v>12511</v>
          </cell>
        </row>
        <row r="35">
          <cell r="E35" t="str">
            <v>100 Mesh</v>
          </cell>
          <cell r="U35">
            <v>12835</v>
          </cell>
          <cell r="V35">
            <v>12995</v>
          </cell>
          <cell r="W35">
            <v>24</v>
          </cell>
          <cell r="X35">
            <v>13014</v>
          </cell>
          <cell r="AA35">
            <v>12522</v>
          </cell>
        </row>
        <row r="36">
          <cell r="E36">
            <v>0</v>
          </cell>
        </row>
        <row r="37">
          <cell r="E37">
            <v>0</v>
          </cell>
        </row>
        <row r="38">
          <cell r="E38">
            <v>0</v>
          </cell>
        </row>
        <row r="41">
          <cell r="E41" t="str">
            <v>15% HCl Acid</v>
          </cell>
        </row>
        <row r="42">
          <cell r="E42" t="str">
            <v>Slickwater</v>
          </cell>
        </row>
        <row r="43">
          <cell r="E43" t="str">
            <v>Pump Down</v>
          </cell>
        </row>
        <row r="44">
          <cell r="E44" t="str">
            <v>7.5% HCl Acid</v>
          </cell>
        </row>
        <row r="51">
          <cell r="E51" t="str">
            <v>Plexslick 957, gal</v>
          </cell>
        </row>
        <row r="52">
          <cell r="E52" t="str">
            <v>Chemplex 4-N-1, gal</v>
          </cell>
        </row>
        <row r="53">
          <cell r="E53" t="str">
            <v>Payzone 845, gal</v>
          </cell>
        </row>
        <row r="54">
          <cell r="E54" t="str">
            <v>Payzone 850, gal</v>
          </cell>
        </row>
        <row r="55">
          <cell r="E55" t="str">
            <v>Payzone 217, gal</v>
          </cell>
        </row>
        <row r="56">
          <cell r="E56" t="str">
            <v>Stim741 Gel, gal</v>
          </cell>
        </row>
        <row r="57">
          <cell r="E57" t="str">
            <v>Becker Lube, gal</v>
          </cell>
        </row>
        <row r="58">
          <cell r="E58" t="str">
            <v>Diesel</v>
          </cell>
        </row>
        <row r="61">
          <cell r="E61" t="str">
            <v>7.5% HCl Acid, gal</v>
          </cell>
        </row>
        <row r="62">
          <cell r="E62" t="str">
            <v>15% HCl Acid, gal</v>
          </cell>
        </row>
      </sheetData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hecklist"/>
      <sheetName val="Rig Up"/>
      <sheetName val="Base Fluid"/>
      <sheetName val="Base Gel"/>
      <sheetName val="Break Tests"/>
      <sheetName val="Stage 1"/>
      <sheetName val="Stage 2"/>
      <sheetName val="Stage 3"/>
      <sheetName val="Stage 4"/>
      <sheetName val="Stage 5"/>
      <sheetName val="Stage 6"/>
      <sheetName val="Stage 7"/>
      <sheetName val="Stage 8"/>
      <sheetName val="Stage 9"/>
      <sheetName val="Stage 10"/>
      <sheetName val="Stage 11"/>
      <sheetName val="Stage 12"/>
      <sheetName val="Stage 13"/>
      <sheetName val="Stage 14"/>
      <sheetName val="Stage 15"/>
      <sheetName val="Stage 16"/>
      <sheetName val="Stage 17"/>
      <sheetName val="Stage 18"/>
      <sheetName val="Stage 19"/>
      <sheetName val="Stage 20"/>
      <sheetName val="Stage 21"/>
      <sheetName val="Stage 22"/>
      <sheetName val="Stage 23"/>
      <sheetName val="Stage 24"/>
      <sheetName val="Stage 25"/>
      <sheetName val="Stage 26"/>
      <sheetName val="Stage 27"/>
      <sheetName val="Stage 28"/>
      <sheetName val="Stage 29"/>
      <sheetName val="Stage 30"/>
      <sheetName val="Stage 31"/>
      <sheetName val="Stage 32"/>
      <sheetName val="Stage 33"/>
      <sheetName val="Stage 34"/>
      <sheetName val="Stage 35"/>
      <sheetName val="Stage 36"/>
      <sheetName val="Stage 37"/>
      <sheetName val="Stage 38"/>
      <sheetName val="Stage 39"/>
      <sheetName val="Stage 40"/>
      <sheetName val="Stage 41"/>
      <sheetName val="Stage 42"/>
      <sheetName val="Stage 43"/>
      <sheetName val="Stage 44"/>
      <sheetName val="Stage 45"/>
      <sheetName val="Stage 46"/>
      <sheetName val="Stage 47"/>
      <sheetName val="Stage 48"/>
      <sheetName val="Stage 49"/>
      <sheetName val="Stage 50"/>
      <sheetName val="Stage 51"/>
      <sheetName val="Stage 52"/>
      <sheetName val="Stage 53"/>
      <sheetName val="Set Up"/>
      <sheetName val="Treatment Summary"/>
      <sheetName val="Variance"/>
      <sheetName val="Chem Reference"/>
      <sheetName val="Pipe Reference"/>
      <sheetName val="Prop Referen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>
        <row r="2">
          <cell r="R2">
            <v>8900</v>
          </cell>
          <cell r="U2">
            <v>22737</v>
          </cell>
          <cell r="V2">
            <v>22897</v>
          </cell>
          <cell r="W2">
            <v>24</v>
          </cell>
          <cell r="X2">
            <v>22916</v>
          </cell>
          <cell r="AA2">
            <v>11885.5</v>
          </cell>
        </row>
        <row r="3">
          <cell r="U3">
            <v>22538</v>
          </cell>
          <cell r="V3">
            <v>22698</v>
          </cell>
          <cell r="W3">
            <v>24</v>
          </cell>
          <cell r="X3">
            <v>22717</v>
          </cell>
          <cell r="AA3">
            <v>11886.4</v>
          </cell>
        </row>
        <row r="4">
          <cell r="U4">
            <v>22339</v>
          </cell>
          <cell r="V4">
            <v>22499</v>
          </cell>
          <cell r="W4">
            <v>24</v>
          </cell>
          <cell r="X4">
            <v>22518</v>
          </cell>
          <cell r="AA4">
            <v>11892.6</v>
          </cell>
        </row>
        <row r="5">
          <cell r="E5" t="str">
            <v>Anadarko Petroleum Corporation</v>
          </cell>
          <cell r="U5">
            <v>22140</v>
          </cell>
          <cell r="V5">
            <v>22300</v>
          </cell>
          <cell r="W5">
            <v>24</v>
          </cell>
          <cell r="X5">
            <v>22319</v>
          </cell>
          <cell r="AA5">
            <v>11903</v>
          </cell>
        </row>
        <row r="6">
          <cell r="E6" t="str">
            <v>Matt Jones</v>
          </cell>
          <cell r="U6">
            <v>21942</v>
          </cell>
          <cell r="V6">
            <v>22101</v>
          </cell>
          <cell r="W6">
            <v>24</v>
          </cell>
          <cell r="X6">
            <v>22120</v>
          </cell>
          <cell r="AA6">
            <v>11914.3</v>
          </cell>
        </row>
        <row r="7">
          <cell r="E7" t="str">
            <v>Silvertip 76-7 Unit A 7H</v>
          </cell>
          <cell r="J7" t="str">
            <v>2136271.CMP</v>
          </cell>
          <cell r="U7">
            <v>21743</v>
          </cell>
          <cell r="V7">
            <v>21903</v>
          </cell>
          <cell r="W7">
            <v>24</v>
          </cell>
          <cell r="X7">
            <v>21922</v>
          </cell>
          <cell r="AA7">
            <v>11925.8</v>
          </cell>
        </row>
        <row r="8">
          <cell r="E8" t="str">
            <v>Loving County, TX</v>
          </cell>
          <cell r="U8">
            <v>21544</v>
          </cell>
          <cell r="V8">
            <v>21704</v>
          </cell>
          <cell r="W8">
            <v>24</v>
          </cell>
          <cell r="X8">
            <v>21723</v>
          </cell>
          <cell r="AA8">
            <v>11931.2</v>
          </cell>
        </row>
        <row r="9">
          <cell r="E9" t="str">
            <v>Bone Spring 3 D</v>
          </cell>
          <cell r="U9">
            <v>21345</v>
          </cell>
          <cell r="V9">
            <v>21505</v>
          </cell>
          <cell r="W9">
            <v>24</v>
          </cell>
          <cell r="X9">
            <v>21524</v>
          </cell>
          <cell r="AA9">
            <v>11936.3</v>
          </cell>
        </row>
        <row r="10">
          <cell r="E10" t="str">
            <v>PumpCo 3</v>
          </cell>
          <cell r="U10">
            <v>21147</v>
          </cell>
          <cell r="V10">
            <v>21306</v>
          </cell>
          <cell r="W10">
            <v>24</v>
          </cell>
          <cell r="X10">
            <v>21325</v>
          </cell>
          <cell r="AA10">
            <v>11939.8</v>
          </cell>
        </row>
        <row r="11">
          <cell r="E11" t="str">
            <v>Odessa</v>
          </cell>
          <cell r="R11" t="str">
            <v>53-Stage SW Plug &amp; Perf</v>
          </cell>
          <cell r="U11">
            <v>20948</v>
          </cell>
          <cell r="V11">
            <v>21108</v>
          </cell>
          <cell r="W11">
            <v>24</v>
          </cell>
          <cell r="X11">
            <v>21127</v>
          </cell>
          <cell r="AA11">
            <v>11947.6</v>
          </cell>
        </row>
        <row r="12">
          <cell r="E12" t="str">
            <v>Nick Glock / James Crosby</v>
          </cell>
          <cell r="U12">
            <v>20749</v>
          </cell>
          <cell r="V12">
            <v>20909</v>
          </cell>
          <cell r="W12">
            <v>24</v>
          </cell>
          <cell r="X12">
            <v>20928</v>
          </cell>
          <cell r="AA12">
            <v>11946.3</v>
          </cell>
        </row>
        <row r="13">
          <cell r="U13">
            <v>20550</v>
          </cell>
          <cell r="V13">
            <v>20710</v>
          </cell>
          <cell r="W13">
            <v>24</v>
          </cell>
          <cell r="X13">
            <v>20729</v>
          </cell>
          <cell r="AA13">
            <v>11945.5</v>
          </cell>
        </row>
        <row r="14">
          <cell r="U14">
            <v>20351</v>
          </cell>
          <cell r="V14">
            <v>20511</v>
          </cell>
          <cell r="W14">
            <v>24</v>
          </cell>
          <cell r="X14">
            <v>20530</v>
          </cell>
          <cell r="AA14">
            <v>11948.9</v>
          </cell>
        </row>
        <row r="15">
          <cell r="E15" t="str">
            <v>7"</v>
          </cell>
          <cell r="F15">
            <v>29</v>
          </cell>
          <cell r="H15" t="str">
            <v>HCP-110</v>
          </cell>
          <cell r="J15">
            <v>11178</v>
          </cell>
          <cell r="K15">
            <v>11178</v>
          </cell>
          <cell r="N15">
            <v>3.7159405265755542E-2</v>
          </cell>
          <cell r="O15">
            <v>415.36783206061546</v>
          </cell>
          <cell r="U15">
            <v>20153</v>
          </cell>
          <cell r="V15">
            <v>20312</v>
          </cell>
          <cell r="W15">
            <v>24</v>
          </cell>
          <cell r="X15">
            <v>20331</v>
          </cell>
          <cell r="AA15">
            <v>11952.4</v>
          </cell>
        </row>
        <row r="16">
          <cell r="E16" t="str">
            <v>4-1/2"</v>
          </cell>
          <cell r="F16">
            <v>13.5</v>
          </cell>
          <cell r="H16" t="str">
            <v>P-110</v>
          </cell>
          <cell r="J16">
            <v>23060</v>
          </cell>
          <cell r="K16">
            <v>11882</v>
          </cell>
          <cell r="N16">
            <v>1.4931448020611394E-2</v>
          </cell>
          <cell r="O16">
            <v>177.41546538090458</v>
          </cell>
          <cell r="U16">
            <v>19954</v>
          </cell>
          <cell r="V16">
            <v>20114</v>
          </cell>
          <cell r="W16">
            <v>24</v>
          </cell>
          <cell r="X16">
            <v>20133</v>
          </cell>
          <cell r="AA16">
            <v>11959.1</v>
          </cell>
        </row>
        <row r="17">
          <cell r="E17" t="str">
            <v/>
          </cell>
          <cell r="F17" t="str">
            <v/>
          </cell>
          <cell r="H17" t="str">
            <v/>
          </cell>
          <cell r="K17" t="str">
            <v/>
          </cell>
          <cell r="N17" t="str">
            <v/>
          </cell>
          <cell r="O17" t="str">
            <v/>
          </cell>
          <cell r="U17">
            <v>19755</v>
          </cell>
          <cell r="V17">
            <v>19915</v>
          </cell>
          <cell r="W17">
            <v>24</v>
          </cell>
          <cell r="X17">
            <v>19934</v>
          </cell>
          <cell r="AA17">
            <v>11963.5</v>
          </cell>
        </row>
        <row r="18">
          <cell r="E18" t="str">
            <v/>
          </cell>
          <cell r="F18" t="str">
            <v/>
          </cell>
          <cell r="H18" t="str">
            <v/>
          </cell>
          <cell r="K18" t="str">
            <v/>
          </cell>
          <cell r="N18" t="str">
            <v/>
          </cell>
          <cell r="U18">
            <v>19556</v>
          </cell>
          <cell r="V18">
            <v>19716</v>
          </cell>
          <cell r="W18">
            <v>24</v>
          </cell>
          <cell r="X18">
            <v>19735</v>
          </cell>
          <cell r="AA18">
            <v>11966.8</v>
          </cell>
        </row>
        <row r="19">
          <cell r="U19">
            <v>19357</v>
          </cell>
          <cell r="V19">
            <v>19517</v>
          </cell>
          <cell r="W19">
            <v>24</v>
          </cell>
          <cell r="X19">
            <v>19536</v>
          </cell>
          <cell r="AA19">
            <v>11972.5</v>
          </cell>
        </row>
        <row r="20">
          <cell r="U20">
            <v>19159</v>
          </cell>
          <cell r="V20">
            <v>19318</v>
          </cell>
          <cell r="W20">
            <v>24</v>
          </cell>
          <cell r="X20">
            <v>19337</v>
          </cell>
          <cell r="AA20">
            <v>11973.4</v>
          </cell>
        </row>
        <row r="21">
          <cell r="U21">
            <v>18960</v>
          </cell>
          <cell r="V21">
            <v>19120</v>
          </cell>
          <cell r="W21">
            <v>24</v>
          </cell>
          <cell r="X21">
            <v>19139</v>
          </cell>
          <cell r="AA21">
            <v>11973.5</v>
          </cell>
        </row>
        <row r="22">
          <cell r="U22">
            <v>18761</v>
          </cell>
          <cell r="V22">
            <v>18921</v>
          </cell>
          <cell r="W22">
            <v>24</v>
          </cell>
          <cell r="X22">
            <v>18940</v>
          </cell>
          <cell r="AA22">
            <v>11979.8</v>
          </cell>
        </row>
        <row r="23">
          <cell r="U23">
            <v>18562</v>
          </cell>
          <cell r="V23">
            <v>18722</v>
          </cell>
          <cell r="W23">
            <v>24</v>
          </cell>
          <cell r="X23">
            <v>18741</v>
          </cell>
          <cell r="AA23">
            <v>11982.3</v>
          </cell>
        </row>
        <row r="24">
          <cell r="U24">
            <v>18364</v>
          </cell>
          <cell r="V24">
            <v>18523</v>
          </cell>
          <cell r="W24">
            <v>24</v>
          </cell>
          <cell r="X24">
            <v>18542</v>
          </cell>
          <cell r="AA24">
            <v>11983.5</v>
          </cell>
        </row>
        <row r="25">
          <cell r="U25">
            <v>18165</v>
          </cell>
          <cell r="V25">
            <v>18325</v>
          </cell>
          <cell r="W25">
            <v>24</v>
          </cell>
          <cell r="X25">
            <v>18344</v>
          </cell>
          <cell r="AA25">
            <v>11985.8</v>
          </cell>
        </row>
        <row r="26">
          <cell r="U26">
            <v>17966</v>
          </cell>
          <cell r="V26">
            <v>18126</v>
          </cell>
          <cell r="W26">
            <v>24</v>
          </cell>
          <cell r="X26">
            <v>18145</v>
          </cell>
          <cell r="AA26">
            <v>11985.9</v>
          </cell>
        </row>
        <row r="27">
          <cell r="U27">
            <v>17767</v>
          </cell>
          <cell r="V27">
            <v>17927</v>
          </cell>
          <cell r="W27">
            <v>24</v>
          </cell>
          <cell r="X27">
            <v>17946</v>
          </cell>
          <cell r="AA27">
            <v>11986</v>
          </cell>
        </row>
        <row r="28">
          <cell r="U28">
            <v>17568</v>
          </cell>
          <cell r="V28">
            <v>17728</v>
          </cell>
          <cell r="W28">
            <v>24</v>
          </cell>
          <cell r="X28">
            <v>17747</v>
          </cell>
          <cell r="AA28">
            <v>11986.1</v>
          </cell>
        </row>
        <row r="29">
          <cell r="U29">
            <v>17370</v>
          </cell>
          <cell r="V29">
            <v>17529</v>
          </cell>
          <cell r="W29">
            <v>24</v>
          </cell>
          <cell r="X29">
            <v>17548</v>
          </cell>
          <cell r="AA29">
            <v>11986.2</v>
          </cell>
        </row>
        <row r="30">
          <cell r="U30">
            <v>17171</v>
          </cell>
          <cell r="V30">
            <v>17331</v>
          </cell>
          <cell r="W30">
            <v>24</v>
          </cell>
          <cell r="X30">
            <v>17350</v>
          </cell>
          <cell r="AA30">
            <v>11986.4</v>
          </cell>
        </row>
        <row r="31">
          <cell r="U31">
            <v>16972</v>
          </cell>
          <cell r="V31">
            <v>17132</v>
          </cell>
          <cell r="W31">
            <v>24</v>
          </cell>
          <cell r="X31">
            <v>17151</v>
          </cell>
          <cell r="AA31">
            <v>11986.5</v>
          </cell>
        </row>
        <row r="32">
          <cell r="U32">
            <v>16773</v>
          </cell>
          <cell r="V32">
            <v>16933</v>
          </cell>
          <cell r="W32">
            <v>24</v>
          </cell>
          <cell r="X32">
            <v>16952</v>
          </cell>
          <cell r="AA32">
            <v>11986.6</v>
          </cell>
        </row>
        <row r="33">
          <cell r="U33">
            <v>16574</v>
          </cell>
          <cell r="V33">
            <v>16734</v>
          </cell>
          <cell r="W33">
            <v>24</v>
          </cell>
          <cell r="X33">
            <v>16753</v>
          </cell>
          <cell r="AA33">
            <v>11986.7</v>
          </cell>
        </row>
        <row r="34">
          <cell r="U34">
            <v>16376</v>
          </cell>
          <cell r="V34">
            <v>16535</v>
          </cell>
          <cell r="W34">
            <v>24</v>
          </cell>
          <cell r="X34">
            <v>16554</v>
          </cell>
          <cell r="AA34">
            <v>11986.8</v>
          </cell>
        </row>
        <row r="35">
          <cell r="E35" t="str">
            <v>100 Mesh</v>
          </cell>
          <cell r="U35">
            <v>16177</v>
          </cell>
          <cell r="V35">
            <v>16337</v>
          </cell>
          <cell r="W35">
            <v>24</v>
          </cell>
          <cell r="X35">
            <v>16356</v>
          </cell>
          <cell r="AA35">
            <v>11987</v>
          </cell>
        </row>
        <row r="36">
          <cell r="E36">
            <v>0</v>
          </cell>
          <cell r="U36">
            <v>18978</v>
          </cell>
          <cell r="V36">
            <v>16138</v>
          </cell>
          <cell r="W36">
            <v>24</v>
          </cell>
          <cell r="X36">
            <v>16157</v>
          </cell>
          <cell r="AA36">
            <v>11987</v>
          </cell>
        </row>
        <row r="37">
          <cell r="E37">
            <v>0</v>
          </cell>
          <cell r="U37">
            <v>15779</v>
          </cell>
          <cell r="V37">
            <v>15939</v>
          </cell>
          <cell r="W37">
            <v>24</v>
          </cell>
          <cell r="X37">
            <v>15958</v>
          </cell>
          <cell r="AA37">
            <v>11987.3</v>
          </cell>
        </row>
        <row r="38">
          <cell r="E38">
            <v>0</v>
          </cell>
          <cell r="U38">
            <v>15581</v>
          </cell>
          <cell r="V38">
            <v>15740</v>
          </cell>
          <cell r="W38">
            <v>24</v>
          </cell>
          <cell r="X38">
            <v>15759</v>
          </cell>
          <cell r="AA38">
            <v>11989.9</v>
          </cell>
        </row>
        <row r="39">
          <cell r="U39">
            <v>15382</v>
          </cell>
          <cell r="V39">
            <v>15542</v>
          </cell>
          <cell r="W39">
            <v>24</v>
          </cell>
          <cell r="X39">
            <v>15561</v>
          </cell>
          <cell r="AA39">
            <v>11989</v>
          </cell>
        </row>
        <row r="40">
          <cell r="U40">
            <v>15183</v>
          </cell>
          <cell r="V40">
            <v>15343</v>
          </cell>
          <cell r="W40">
            <v>24</v>
          </cell>
          <cell r="X40">
            <v>15362</v>
          </cell>
          <cell r="AA40">
            <v>11984.2</v>
          </cell>
        </row>
        <row r="41">
          <cell r="E41" t="str">
            <v>15% HCl Acid</v>
          </cell>
          <cell r="U41">
            <v>14984</v>
          </cell>
          <cell r="V41">
            <v>15144</v>
          </cell>
          <cell r="W41">
            <v>24</v>
          </cell>
          <cell r="X41">
            <v>15163</v>
          </cell>
          <cell r="AA41">
            <v>11982</v>
          </cell>
        </row>
        <row r="42">
          <cell r="E42" t="str">
            <v>Slickwater</v>
          </cell>
          <cell r="U42">
            <v>14785</v>
          </cell>
          <cell r="V42">
            <v>14945</v>
          </cell>
          <cell r="W42">
            <v>24</v>
          </cell>
          <cell r="X42">
            <v>14964</v>
          </cell>
          <cell r="AA42">
            <v>11981.3</v>
          </cell>
        </row>
        <row r="43">
          <cell r="E43" t="str">
            <v>Pump Down</v>
          </cell>
          <cell r="U43">
            <v>14587</v>
          </cell>
          <cell r="V43">
            <v>14746</v>
          </cell>
          <cell r="W43">
            <v>24</v>
          </cell>
          <cell r="X43">
            <v>14765</v>
          </cell>
          <cell r="AA43">
            <v>11981.8</v>
          </cell>
        </row>
        <row r="44">
          <cell r="U44">
            <v>14388</v>
          </cell>
          <cell r="V44">
            <v>14548</v>
          </cell>
          <cell r="W44">
            <v>24</v>
          </cell>
          <cell r="X44">
            <v>14567</v>
          </cell>
          <cell r="AA44">
            <v>11984</v>
          </cell>
        </row>
        <row r="45">
          <cell r="U45">
            <v>14189</v>
          </cell>
          <cell r="V45">
            <v>14349</v>
          </cell>
          <cell r="W45">
            <v>24</v>
          </cell>
          <cell r="X45">
            <v>14368</v>
          </cell>
          <cell r="AA45">
            <v>11985.8</v>
          </cell>
        </row>
        <row r="46">
          <cell r="U46">
            <v>13990</v>
          </cell>
          <cell r="V46">
            <v>14150</v>
          </cell>
          <cell r="W46">
            <v>24</v>
          </cell>
          <cell r="X46">
            <v>14169</v>
          </cell>
          <cell r="AA46">
            <v>11984.5</v>
          </cell>
        </row>
        <row r="47">
          <cell r="U47">
            <v>13791</v>
          </cell>
          <cell r="V47">
            <v>13951</v>
          </cell>
          <cell r="W47">
            <v>24</v>
          </cell>
          <cell r="X47">
            <v>13970</v>
          </cell>
          <cell r="AA47">
            <v>11984.4</v>
          </cell>
        </row>
        <row r="48">
          <cell r="U48">
            <v>13593</v>
          </cell>
          <cell r="V48">
            <v>13752</v>
          </cell>
          <cell r="W48">
            <v>24</v>
          </cell>
          <cell r="X48">
            <v>13771</v>
          </cell>
          <cell r="AA48">
            <v>11985.8</v>
          </cell>
        </row>
        <row r="49">
          <cell r="U49">
            <v>13394</v>
          </cell>
          <cell r="V49">
            <v>13554</v>
          </cell>
          <cell r="W49">
            <v>24</v>
          </cell>
          <cell r="X49">
            <v>13573</v>
          </cell>
          <cell r="AA49">
            <v>11987.4</v>
          </cell>
        </row>
        <row r="50">
          <cell r="U50">
            <v>13195</v>
          </cell>
          <cell r="V50">
            <v>13355</v>
          </cell>
          <cell r="W50">
            <v>24</v>
          </cell>
          <cell r="X50">
            <v>13374</v>
          </cell>
          <cell r="AA50">
            <v>11987.8</v>
          </cell>
        </row>
        <row r="51">
          <cell r="E51" t="str">
            <v>Plexslick 957, gal</v>
          </cell>
          <cell r="U51">
            <v>12996</v>
          </cell>
          <cell r="V51">
            <v>13156</v>
          </cell>
          <cell r="W51">
            <v>24</v>
          </cell>
          <cell r="X51">
            <v>13175</v>
          </cell>
          <cell r="AA51">
            <v>11988.2</v>
          </cell>
        </row>
        <row r="52">
          <cell r="E52" t="str">
            <v>Chemplex 4-N-1, gal</v>
          </cell>
          <cell r="U52">
            <v>12798</v>
          </cell>
          <cell r="V52">
            <v>12957</v>
          </cell>
          <cell r="W52">
            <v>24</v>
          </cell>
          <cell r="X52">
            <v>12976</v>
          </cell>
          <cell r="AA52">
            <v>11990.9</v>
          </cell>
        </row>
        <row r="53">
          <cell r="E53" t="str">
            <v>Payzone 845, gal</v>
          </cell>
          <cell r="U53">
            <v>12599</v>
          </cell>
          <cell r="V53">
            <v>12759</v>
          </cell>
          <cell r="W53">
            <v>24</v>
          </cell>
          <cell r="X53">
            <v>12778</v>
          </cell>
          <cell r="AA53">
            <v>11993.6</v>
          </cell>
        </row>
        <row r="54">
          <cell r="E54" t="str">
            <v>Payzone 850, gal</v>
          </cell>
          <cell r="U54">
            <v>12400</v>
          </cell>
          <cell r="V54">
            <v>12560</v>
          </cell>
          <cell r="W54">
            <v>24</v>
          </cell>
          <cell r="X54">
            <v>12579</v>
          </cell>
          <cell r="AA54">
            <v>11994.5</v>
          </cell>
        </row>
        <row r="55">
          <cell r="E55" t="str">
            <v>Payzone 217, gal</v>
          </cell>
        </row>
        <row r="56">
          <cell r="E56" t="str">
            <v>Stim741 Gel, gal</v>
          </cell>
        </row>
        <row r="62">
          <cell r="E62" t="str">
            <v>15% HCl Acid, gal</v>
          </cell>
        </row>
      </sheetData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hecklist"/>
      <sheetName val="Rig Up"/>
      <sheetName val="Base Fluid"/>
      <sheetName val="Base Gel"/>
      <sheetName val="Break Tests"/>
      <sheetName val="Stage 1"/>
      <sheetName val="Stage 2"/>
      <sheetName val="Stage 3"/>
      <sheetName val="Stage 4"/>
      <sheetName val="Stage 5"/>
      <sheetName val="Stage 6"/>
      <sheetName val="Stage 7"/>
      <sheetName val="Stage 8"/>
      <sheetName val="Stage 9"/>
      <sheetName val="Stage 10"/>
      <sheetName val="Stage 11"/>
      <sheetName val="Stage 12"/>
      <sheetName val="Stage 13"/>
      <sheetName val="Stage 14"/>
      <sheetName val="Stage 15"/>
      <sheetName val="Stage 16"/>
      <sheetName val="Stage 17"/>
      <sheetName val="Stage 18"/>
      <sheetName val="Stage 19"/>
      <sheetName val="Stage 20"/>
      <sheetName val="Stage 21"/>
      <sheetName val="Stage 22"/>
      <sheetName val="Stage 23"/>
      <sheetName val="Stage 24"/>
      <sheetName val="Stage 25"/>
      <sheetName val="Stage 26"/>
      <sheetName val="Stage 27"/>
      <sheetName val="Stage 28"/>
      <sheetName val="Stage 29"/>
      <sheetName val="Stage 30"/>
      <sheetName val="Stage 31"/>
      <sheetName val="Stage 32"/>
      <sheetName val="Stage 33"/>
      <sheetName val="Stage 34"/>
      <sheetName val="Stage 35"/>
      <sheetName val="Stage 36"/>
      <sheetName val="Stage 37"/>
      <sheetName val="Stage 38"/>
      <sheetName val="Stage 39"/>
      <sheetName val="Stage 40"/>
      <sheetName val="Stage 41"/>
      <sheetName val="Stage 42"/>
      <sheetName val="Stage 43"/>
      <sheetName val="Stage 44"/>
      <sheetName val="Stage 45"/>
      <sheetName val="Stage 46"/>
      <sheetName val="Stage 47"/>
      <sheetName val="Stage 48"/>
      <sheetName val="Stage 49"/>
      <sheetName val="Stage 50"/>
      <sheetName val="Stage 51"/>
      <sheetName val="Stage 52"/>
      <sheetName val="Set Up"/>
      <sheetName val="Treatment Summary"/>
      <sheetName val="Variance"/>
      <sheetName val="Chem Reference"/>
      <sheetName val="Pipe Reference"/>
      <sheetName val="Prop Referen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>
        <row r="2">
          <cell r="R2">
            <v>12500</v>
          </cell>
          <cell r="U2">
            <v>22597</v>
          </cell>
          <cell r="V2">
            <v>22756</v>
          </cell>
          <cell r="W2">
            <v>24</v>
          </cell>
          <cell r="X2">
            <v>22775</v>
          </cell>
          <cell r="AA2">
            <v>12405</v>
          </cell>
        </row>
        <row r="3">
          <cell r="U3">
            <v>22398</v>
          </cell>
          <cell r="V3">
            <v>22558</v>
          </cell>
          <cell r="W3">
            <v>24</v>
          </cell>
          <cell r="X3">
            <v>22577</v>
          </cell>
          <cell r="AA3">
            <v>12400</v>
          </cell>
        </row>
        <row r="4">
          <cell r="U4">
            <v>22200</v>
          </cell>
          <cell r="V4">
            <v>22359</v>
          </cell>
          <cell r="W4">
            <v>24</v>
          </cell>
          <cell r="X4">
            <v>22378</v>
          </cell>
          <cell r="AA4">
            <v>12401</v>
          </cell>
        </row>
        <row r="5">
          <cell r="E5" t="str">
            <v>Anadarko Petroleum Corporation</v>
          </cell>
          <cell r="U5">
            <v>22001</v>
          </cell>
          <cell r="V5">
            <v>22161</v>
          </cell>
          <cell r="W5">
            <v>24</v>
          </cell>
          <cell r="X5">
            <v>22180</v>
          </cell>
          <cell r="AA5">
            <v>12398</v>
          </cell>
        </row>
        <row r="6">
          <cell r="E6" t="str">
            <v>Matt Jones</v>
          </cell>
          <cell r="U6">
            <v>21803</v>
          </cell>
          <cell r="V6">
            <v>21962</v>
          </cell>
          <cell r="W6">
            <v>24</v>
          </cell>
          <cell r="X6">
            <v>21981</v>
          </cell>
          <cell r="AA6">
            <v>12397</v>
          </cell>
        </row>
        <row r="7">
          <cell r="E7" t="str">
            <v>Silvertip 76-7 Unit A 8H</v>
          </cell>
          <cell r="J7" t="str">
            <v>2136269.CMP</v>
          </cell>
          <cell r="U7">
            <v>21604</v>
          </cell>
          <cell r="V7">
            <v>21764</v>
          </cell>
          <cell r="W7">
            <v>24</v>
          </cell>
          <cell r="X7">
            <v>21783</v>
          </cell>
          <cell r="AA7">
            <v>12401</v>
          </cell>
        </row>
        <row r="8">
          <cell r="E8" t="str">
            <v>Loving, TX</v>
          </cell>
          <cell r="U8">
            <v>21405</v>
          </cell>
          <cell r="V8">
            <v>21565</v>
          </cell>
          <cell r="W8">
            <v>24</v>
          </cell>
          <cell r="X8">
            <v>21584</v>
          </cell>
          <cell r="AA8">
            <v>12401</v>
          </cell>
        </row>
        <row r="9">
          <cell r="E9" t="str">
            <v>Wolfcamp Middle Beta</v>
          </cell>
          <cell r="U9">
            <v>21207</v>
          </cell>
          <cell r="V9">
            <v>21366</v>
          </cell>
          <cell r="W9">
            <v>24</v>
          </cell>
          <cell r="X9">
            <v>21385</v>
          </cell>
          <cell r="AA9">
            <v>12400</v>
          </cell>
        </row>
        <row r="10">
          <cell r="E10" t="str">
            <v>PumpCo 3</v>
          </cell>
          <cell r="U10">
            <v>21008</v>
          </cell>
          <cell r="V10">
            <v>21168</v>
          </cell>
          <cell r="W10">
            <v>24</v>
          </cell>
          <cell r="X10">
            <v>21187</v>
          </cell>
          <cell r="AA10">
            <v>12396</v>
          </cell>
        </row>
        <row r="11">
          <cell r="E11" t="str">
            <v>Odessa</v>
          </cell>
          <cell r="R11" t="str">
            <v>52-Stage SW Plug &amp; Perf</v>
          </cell>
          <cell r="U11">
            <v>20810</v>
          </cell>
          <cell r="V11">
            <v>20969</v>
          </cell>
          <cell r="W11">
            <v>24</v>
          </cell>
          <cell r="X11">
            <v>20988</v>
          </cell>
          <cell r="AA11">
            <v>12399</v>
          </cell>
        </row>
        <row r="12">
          <cell r="E12" t="str">
            <v>Karl Heinrich / Jose Robles</v>
          </cell>
          <cell r="U12">
            <v>20611</v>
          </cell>
          <cell r="V12">
            <v>20771</v>
          </cell>
          <cell r="W12">
            <v>24</v>
          </cell>
          <cell r="X12">
            <v>20790</v>
          </cell>
          <cell r="AA12">
            <v>12397</v>
          </cell>
        </row>
        <row r="13">
          <cell r="U13">
            <v>20413</v>
          </cell>
          <cell r="V13">
            <v>20572</v>
          </cell>
          <cell r="W13">
            <v>24</v>
          </cell>
          <cell r="X13">
            <v>20591</v>
          </cell>
          <cell r="AA13">
            <v>12395.72</v>
          </cell>
        </row>
        <row r="14">
          <cell r="U14">
            <v>20214</v>
          </cell>
          <cell r="V14">
            <v>20374</v>
          </cell>
          <cell r="W14">
            <v>24</v>
          </cell>
          <cell r="X14">
            <v>20393</v>
          </cell>
          <cell r="AA14">
            <v>12399</v>
          </cell>
        </row>
        <row r="15">
          <cell r="E15" t="str">
            <v>5-1/2"</v>
          </cell>
          <cell r="F15">
            <v>23</v>
          </cell>
          <cell r="H15" t="str">
            <v>P-110</v>
          </cell>
          <cell r="J15">
            <v>11527</v>
          </cell>
          <cell r="K15">
            <v>11527</v>
          </cell>
          <cell r="N15">
            <v>2.1191590531075062E-2</v>
          </cell>
          <cell r="O15">
            <v>244.27546405170224</v>
          </cell>
          <cell r="U15">
            <v>20015</v>
          </cell>
          <cell r="V15">
            <v>20175</v>
          </cell>
          <cell r="W15">
            <v>24</v>
          </cell>
          <cell r="X15">
            <v>20194</v>
          </cell>
          <cell r="AA15">
            <v>12398</v>
          </cell>
        </row>
        <row r="16">
          <cell r="E16" t="str">
            <v>4-1/2"</v>
          </cell>
          <cell r="F16">
            <v>13.5</v>
          </cell>
          <cell r="H16" t="str">
            <v>P-110</v>
          </cell>
          <cell r="J16">
            <v>22790</v>
          </cell>
          <cell r="K16">
            <v>11263</v>
          </cell>
          <cell r="N16">
            <v>1.4931448020611394E-2</v>
          </cell>
          <cell r="O16">
            <v>168.17289905614615</v>
          </cell>
          <cell r="U16">
            <v>19817</v>
          </cell>
          <cell r="V16">
            <v>19976</v>
          </cell>
          <cell r="W16">
            <v>24</v>
          </cell>
          <cell r="X16">
            <v>19995</v>
          </cell>
          <cell r="AA16">
            <v>12404</v>
          </cell>
        </row>
        <row r="17">
          <cell r="E17" t="str">
            <v/>
          </cell>
          <cell r="F17" t="str">
            <v/>
          </cell>
          <cell r="H17" t="str">
            <v/>
          </cell>
          <cell r="K17" t="str">
            <v/>
          </cell>
          <cell r="N17" t="str">
            <v/>
          </cell>
          <cell r="O17" t="str">
            <v/>
          </cell>
          <cell r="U17">
            <v>19618</v>
          </cell>
          <cell r="V17">
            <v>19778</v>
          </cell>
          <cell r="W17">
            <v>24</v>
          </cell>
          <cell r="X17">
            <v>19797</v>
          </cell>
          <cell r="AA17">
            <v>12405</v>
          </cell>
        </row>
        <row r="18">
          <cell r="E18" t="str">
            <v/>
          </cell>
          <cell r="F18" t="str">
            <v/>
          </cell>
          <cell r="H18" t="str">
            <v/>
          </cell>
          <cell r="K18" t="str">
            <v/>
          </cell>
          <cell r="N18" t="str">
            <v/>
          </cell>
          <cell r="U18">
            <v>19420</v>
          </cell>
          <cell r="V18">
            <v>19579</v>
          </cell>
          <cell r="W18">
            <v>24</v>
          </cell>
          <cell r="X18">
            <v>19598</v>
          </cell>
          <cell r="AA18">
            <v>12400</v>
          </cell>
        </row>
        <row r="19">
          <cell r="U19">
            <v>19221</v>
          </cell>
          <cell r="V19">
            <v>19381</v>
          </cell>
          <cell r="W19">
            <v>24</v>
          </cell>
          <cell r="X19">
            <v>19400</v>
          </cell>
          <cell r="AA19">
            <v>12401</v>
          </cell>
        </row>
        <row r="20">
          <cell r="U20">
            <v>19023</v>
          </cell>
          <cell r="V20">
            <v>19182</v>
          </cell>
          <cell r="W20">
            <v>24</v>
          </cell>
          <cell r="X20">
            <v>19201</v>
          </cell>
          <cell r="AA20">
            <v>12395</v>
          </cell>
        </row>
        <row r="21">
          <cell r="U21">
            <v>18824</v>
          </cell>
          <cell r="V21">
            <v>18984</v>
          </cell>
          <cell r="W21">
            <v>24</v>
          </cell>
          <cell r="X21">
            <v>19003</v>
          </cell>
          <cell r="AA21">
            <v>12394</v>
          </cell>
        </row>
        <row r="22">
          <cell r="U22">
            <v>18626</v>
          </cell>
          <cell r="V22">
            <v>18785</v>
          </cell>
          <cell r="W22">
            <v>24</v>
          </cell>
          <cell r="X22">
            <v>18804</v>
          </cell>
          <cell r="AA22">
            <v>12394</v>
          </cell>
        </row>
        <row r="23">
          <cell r="U23">
            <v>18427</v>
          </cell>
          <cell r="V23">
            <v>18587</v>
          </cell>
          <cell r="W23">
            <v>24</v>
          </cell>
          <cell r="X23">
            <v>18606</v>
          </cell>
          <cell r="AA23">
            <v>12393</v>
          </cell>
        </row>
        <row r="24">
          <cell r="U24">
            <v>18228</v>
          </cell>
          <cell r="V24">
            <v>18388</v>
          </cell>
          <cell r="W24">
            <v>24</v>
          </cell>
          <cell r="X24">
            <v>18407</v>
          </cell>
          <cell r="AA24">
            <v>12391</v>
          </cell>
        </row>
        <row r="25">
          <cell r="U25">
            <v>18030</v>
          </cell>
          <cell r="V25">
            <v>18189</v>
          </cell>
          <cell r="W25">
            <v>24</v>
          </cell>
          <cell r="X25">
            <v>18208</v>
          </cell>
          <cell r="AA25">
            <v>12392</v>
          </cell>
        </row>
        <row r="26">
          <cell r="U26">
            <v>17831</v>
          </cell>
          <cell r="V26">
            <v>17991</v>
          </cell>
          <cell r="W26">
            <v>24</v>
          </cell>
          <cell r="X26">
            <v>18010</v>
          </cell>
          <cell r="AA26">
            <v>12391</v>
          </cell>
        </row>
        <row r="27">
          <cell r="U27">
            <v>17633</v>
          </cell>
          <cell r="V27">
            <v>17792</v>
          </cell>
          <cell r="W27">
            <v>24</v>
          </cell>
          <cell r="X27">
            <v>17811</v>
          </cell>
          <cell r="AA27">
            <v>12390</v>
          </cell>
        </row>
        <row r="28">
          <cell r="U28">
            <v>17434</v>
          </cell>
          <cell r="V28">
            <v>17594</v>
          </cell>
          <cell r="W28">
            <v>24</v>
          </cell>
          <cell r="X28">
            <v>17613</v>
          </cell>
          <cell r="AA28">
            <v>12384</v>
          </cell>
        </row>
        <row r="29">
          <cell r="U29">
            <v>17236</v>
          </cell>
          <cell r="V29">
            <v>17395</v>
          </cell>
          <cell r="W29">
            <v>24</v>
          </cell>
          <cell r="X29">
            <v>17414</v>
          </cell>
          <cell r="AA29">
            <v>12380</v>
          </cell>
        </row>
        <row r="30">
          <cell r="U30">
            <v>17037</v>
          </cell>
          <cell r="V30">
            <v>17197</v>
          </cell>
          <cell r="W30">
            <v>24</v>
          </cell>
          <cell r="X30">
            <v>17216</v>
          </cell>
          <cell r="AA30">
            <v>12377</v>
          </cell>
        </row>
        <row r="31">
          <cell r="U31">
            <v>16838</v>
          </cell>
          <cell r="V31">
            <v>16998</v>
          </cell>
          <cell r="W31">
            <v>24</v>
          </cell>
          <cell r="X31">
            <v>17017</v>
          </cell>
          <cell r="AA31">
            <v>12373</v>
          </cell>
        </row>
        <row r="32">
          <cell r="U32">
            <v>16640</v>
          </cell>
          <cell r="V32">
            <v>16799</v>
          </cell>
          <cell r="W32">
            <v>24</v>
          </cell>
          <cell r="X32">
            <v>16818</v>
          </cell>
          <cell r="AA32">
            <v>12370</v>
          </cell>
        </row>
        <row r="33">
          <cell r="U33">
            <v>16441</v>
          </cell>
          <cell r="V33">
            <v>16601</v>
          </cell>
          <cell r="W33">
            <v>24</v>
          </cell>
          <cell r="X33">
            <v>16620</v>
          </cell>
          <cell r="AA33">
            <v>12365</v>
          </cell>
        </row>
        <row r="34">
          <cell r="U34">
            <v>16243</v>
          </cell>
          <cell r="V34">
            <v>16402</v>
          </cell>
          <cell r="W34">
            <v>24</v>
          </cell>
          <cell r="X34">
            <v>16421</v>
          </cell>
          <cell r="AA34">
            <v>12360</v>
          </cell>
        </row>
        <row r="35">
          <cell r="E35" t="str">
            <v>100 Mesh</v>
          </cell>
          <cell r="U35">
            <v>16044</v>
          </cell>
          <cell r="V35">
            <v>16204</v>
          </cell>
          <cell r="W35">
            <v>24</v>
          </cell>
          <cell r="X35">
            <v>16223</v>
          </cell>
          <cell r="AA35">
            <v>12359</v>
          </cell>
        </row>
        <row r="36">
          <cell r="E36">
            <v>0</v>
          </cell>
          <cell r="U36">
            <v>15846</v>
          </cell>
          <cell r="V36">
            <v>16005</v>
          </cell>
          <cell r="W36">
            <v>24</v>
          </cell>
          <cell r="X36">
            <v>16024</v>
          </cell>
          <cell r="AA36">
            <v>12356</v>
          </cell>
        </row>
        <row r="37">
          <cell r="E37">
            <v>0</v>
          </cell>
          <cell r="U37">
            <v>15647</v>
          </cell>
          <cell r="V37">
            <v>15807</v>
          </cell>
          <cell r="W37">
            <v>24</v>
          </cell>
          <cell r="X37">
            <v>15826</v>
          </cell>
          <cell r="AA37">
            <v>12354</v>
          </cell>
        </row>
        <row r="38">
          <cell r="E38">
            <v>0</v>
          </cell>
          <cell r="U38">
            <v>15448</v>
          </cell>
          <cell r="V38">
            <v>15608</v>
          </cell>
          <cell r="W38">
            <v>24</v>
          </cell>
          <cell r="X38">
            <v>15627</v>
          </cell>
          <cell r="AA38">
            <v>12350</v>
          </cell>
        </row>
        <row r="39">
          <cell r="U39">
            <v>15250</v>
          </cell>
          <cell r="V39">
            <v>15409</v>
          </cell>
          <cell r="W39">
            <v>24</v>
          </cell>
          <cell r="X39">
            <v>15428</v>
          </cell>
          <cell r="AA39">
            <v>12344</v>
          </cell>
        </row>
        <row r="40">
          <cell r="U40">
            <v>15051</v>
          </cell>
          <cell r="V40">
            <v>15211</v>
          </cell>
          <cell r="W40">
            <v>24</v>
          </cell>
          <cell r="X40">
            <v>15230</v>
          </cell>
          <cell r="AA40">
            <v>12340</v>
          </cell>
        </row>
        <row r="41">
          <cell r="E41" t="str">
            <v>15% HCl Acid</v>
          </cell>
          <cell r="U41">
            <v>14853</v>
          </cell>
          <cell r="V41">
            <v>15012</v>
          </cell>
          <cell r="W41">
            <v>24</v>
          </cell>
          <cell r="X41">
            <v>15031</v>
          </cell>
          <cell r="AA41">
            <v>12335</v>
          </cell>
        </row>
        <row r="42">
          <cell r="E42" t="str">
            <v>Slickwater</v>
          </cell>
          <cell r="U42">
            <v>14654</v>
          </cell>
          <cell r="V42">
            <v>14814</v>
          </cell>
          <cell r="W42">
            <v>24</v>
          </cell>
          <cell r="X42">
            <v>14833</v>
          </cell>
          <cell r="AA42">
            <v>12327</v>
          </cell>
        </row>
        <row r="43">
          <cell r="E43" t="str">
            <v>Pump Down</v>
          </cell>
          <cell r="U43">
            <v>14456</v>
          </cell>
          <cell r="V43">
            <v>14615</v>
          </cell>
          <cell r="W43">
            <v>24</v>
          </cell>
          <cell r="X43">
            <v>14634</v>
          </cell>
          <cell r="AA43">
            <v>12327</v>
          </cell>
        </row>
        <row r="44">
          <cell r="U44">
            <v>14257</v>
          </cell>
          <cell r="V44">
            <v>14417</v>
          </cell>
          <cell r="W44">
            <v>24</v>
          </cell>
          <cell r="X44">
            <v>14436</v>
          </cell>
          <cell r="AA44">
            <v>12313</v>
          </cell>
        </row>
        <row r="45">
          <cell r="U45">
            <v>14059</v>
          </cell>
          <cell r="V45">
            <v>14218</v>
          </cell>
          <cell r="W45">
            <v>24</v>
          </cell>
          <cell r="X45">
            <v>14237</v>
          </cell>
          <cell r="AA45">
            <v>12297</v>
          </cell>
        </row>
        <row r="46">
          <cell r="U46">
            <v>13860</v>
          </cell>
          <cell r="V46">
            <v>14020</v>
          </cell>
          <cell r="W46">
            <v>24</v>
          </cell>
          <cell r="X46">
            <v>14039</v>
          </cell>
          <cell r="AA46">
            <v>12296</v>
          </cell>
        </row>
        <row r="47">
          <cell r="U47">
            <v>13661</v>
          </cell>
          <cell r="V47">
            <v>13821</v>
          </cell>
          <cell r="W47">
            <v>24</v>
          </cell>
          <cell r="X47">
            <v>13840</v>
          </cell>
          <cell r="AA47">
            <v>12290</v>
          </cell>
        </row>
        <row r="48">
          <cell r="U48">
            <v>13463</v>
          </cell>
          <cell r="V48">
            <v>13622</v>
          </cell>
          <cell r="W48">
            <v>24</v>
          </cell>
          <cell r="X48">
            <v>13641</v>
          </cell>
          <cell r="AA48">
            <v>12289</v>
          </cell>
        </row>
        <row r="49">
          <cell r="U49">
            <v>13264</v>
          </cell>
          <cell r="V49">
            <v>13424</v>
          </cell>
          <cell r="W49">
            <v>24</v>
          </cell>
          <cell r="X49">
            <v>13443</v>
          </cell>
          <cell r="AA49">
            <v>12284</v>
          </cell>
        </row>
        <row r="50">
          <cell r="U50">
            <v>13066</v>
          </cell>
          <cell r="V50">
            <v>13225</v>
          </cell>
          <cell r="W50">
            <v>24</v>
          </cell>
          <cell r="X50">
            <v>13244</v>
          </cell>
          <cell r="AA50">
            <v>12278</v>
          </cell>
        </row>
        <row r="51">
          <cell r="E51" t="str">
            <v>Plexslick 957, gal</v>
          </cell>
          <cell r="U51">
            <v>12867</v>
          </cell>
          <cell r="V51">
            <v>13027</v>
          </cell>
          <cell r="W51">
            <v>24</v>
          </cell>
          <cell r="X51">
            <v>13046</v>
          </cell>
          <cell r="AA51">
            <v>12278</v>
          </cell>
        </row>
        <row r="52">
          <cell r="E52" t="str">
            <v>Chemplex 4-N-1, gal</v>
          </cell>
          <cell r="U52">
            <v>12669</v>
          </cell>
          <cell r="V52">
            <v>12828</v>
          </cell>
          <cell r="W52">
            <v>24</v>
          </cell>
          <cell r="X52">
            <v>12847</v>
          </cell>
          <cell r="AA52">
            <v>12277</v>
          </cell>
        </row>
        <row r="53">
          <cell r="E53" t="str">
            <v>Payzone 845, gal</v>
          </cell>
          <cell r="U53">
            <v>12470</v>
          </cell>
          <cell r="V53">
            <v>12630</v>
          </cell>
          <cell r="W53">
            <v>24</v>
          </cell>
          <cell r="X53">
            <v>12649</v>
          </cell>
          <cell r="AA53">
            <v>12274</v>
          </cell>
        </row>
        <row r="54">
          <cell r="E54" t="str">
            <v>Payzone 850, gal</v>
          </cell>
        </row>
        <row r="55">
          <cell r="E55" t="str">
            <v>Payzone 217, gal</v>
          </cell>
        </row>
        <row r="56">
          <cell r="E56" t="str">
            <v>Stim741 Gel, gal</v>
          </cell>
        </row>
        <row r="57">
          <cell r="E57" t="str">
            <v>Diesel</v>
          </cell>
        </row>
        <row r="62">
          <cell r="E62" t="str">
            <v>15% HCl Acid, gal</v>
          </cell>
        </row>
      </sheetData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hecklist"/>
      <sheetName val="Rig Up"/>
      <sheetName val="Base Fluid"/>
      <sheetName val="Base Gel"/>
      <sheetName val="Break Tests"/>
      <sheetName val="Stage 1"/>
      <sheetName val="Stage 2"/>
      <sheetName val="Stage 3"/>
      <sheetName val="Stage 4"/>
      <sheetName val="Stage 5"/>
      <sheetName val="Stage 6"/>
      <sheetName val="Stage 7"/>
      <sheetName val="Stage 8"/>
      <sheetName val="Stage 9"/>
      <sheetName val="Stage 10"/>
      <sheetName val="Stage 11"/>
      <sheetName val="Stage 12"/>
      <sheetName val="Stage 13"/>
      <sheetName val="Stage 14"/>
      <sheetName val="Stage 15"/>
      <sheetName val="Stage 16"/>
      <sheetName val="Stage 17"/>
      <sheetName val="Stage 18"/>
      <sheetName val="Stage 19"/>
      <sheetName val="Stage 20"/>
      <sheetName val="Stage 21"/>
      <sheetName val="Stage 22"/>
      <sheetName val="Stage 23"/>
      <sheetName val="Stage 24"/>
      <sheetName val="Stage 25"/>
      <sheetName val="Stage 26"/>
      <sheetName val="Stage 27"/>
      <sheetName val="Stage 28"/>
      <sheetName val="Stage 29"/>
      <sheetName val="Stage 30"/>
      <sheetName val="Stage 31"/>
      <sheetName val="Stage 32"/>
      <sheetName val="Stage 33"/>
      <sheetName val="Stage 34"/>
      <sheetName val="Stage 35"/>
      <sheetName val="Stage 36"/>
      <sheetName val="Stage 37"/>
      <sheetName val="Stage 38"/>
      <sheetName val="Stage 39"/>
      <sheetName val="Stage 40"/>
      <sheetName val="Stage 41"/>
      <sheetName val="Stage 42"/>
      <sheetName val="Stage 43"/>
      <sheetName val="Stage 44"/>
      <sheetName val="Stage 45"/>
      <sheetName val="Stage 46"/>
      <sheetName val="Stage 47"/>
      <sheetName val="Stage 48"/>
      <sheetName val="Stage 49"/>
      <sheetName val="Stage 50"/>
      <sheetName val="Stage 51"/>
      <sheetName val="Stage 52"/>
      <sheetName val="Stage 53"/>
      <sheetName val="Stage 54"/>
      <sheetName val="Set Up"/>
      <sheetName val="Treatment Summary"/>
      <sheetName val="Variance"/>
      <sheetName val="Chem Reference"/>
      <sheetName val="Pipe Reference"/>
      <sheetName val="Prop Referen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>
        <row r="1">
          <cell r="R1" t="str">
            <v>Max Pressure, psi</v>
          </cell>
          <cell r="V1" t="str">
            <v>Bot Perf</v>
          </cell>
          <cell r="W1" t="str">
            <v>No. Perfs</v>
          </cell>
          <cell r="X1" t="str">
            <v>Plug</v>
          </cell>
          <cell r="AA1" t="str">
            <v>TVD</v>
          </cell>
        </row>
        <row r="2">
          <cell r="U2">
            <v>23490</v>
          </cell>
          <cell r="V2">
            <v>23652</v>
          </cell>
          <cell r="W2">
            <v>24</v>
          </cell>
          <cell r="X2">
            <v>23671</v>
          </cell>
          <cell r="AA2">
            <v>12662</v>
          </cell>
        </row>
        <row r="3">
          <cell r="U3">
            <v>23289</v>
          </cell>
          <cell r="V3">
            <v>23451</v>
          </cell>
          <cell r="W3">
            <v>24</v>
          </cell>
          <cell r="X3">
            <v>23470</v>
          </cell>
          <cell r="AA3">
            <v>12661</v>
          </cell>
        </row>
        <row r="4">
          <cell r="U4">
            <v>23088</v>
          </cell>
          <cell r="V4">
            <v>23250</v>
          </cell>
          <cell r="W4">
            <v>24</v>
          </cell>
          <cell r="X4">
            <v>23269</v>
          </cell>
          <cell r="AA4">
            <v>12648</v>
          </cell>
        </row>
        <row r="5">
          <cell r="E5" t="str">
            <v>Anadarko Petroleum Corporation</v>
          </cell>
          <cell r="U5">
            <v>22887</v>
          </cell>
          <cell r="V5">
            <v>23049</v>
          </cell>
          <cell r="W5">
            <v>24</v>
          </cell>
          <cell r="X5">
            <v>23068</v>
          </cell>
          <cell r="AA5">
            <v>12640</v>
          </cell>
        </row>
        <row r="6">
          <cell r="E6" t="str">
            <v>Matt Jones</v>
          </cell>
          <cell r="J6" t="str">
            <v>Hot</v>
          </cell>
          <cell r="U6">
            <v>22686</v>
          </cell>
          <cell r="V6">
            <v>22848</v>
          </cell>
          <cell r="W6">
            <v>24</v>
          </cell>
          <cell r="X6">
            <v>22867</v>
          </cell>
          <cell r="AA6">
            <v>12619</v>
          </cell>
        </row>
        <row r="7">
          <cell r="E7" t="str">
            <v>Silvertip 76-7 Unit A 9H</v>
          </cell>
          <cell r="U7">
            <v>22484</v>
          </cell>
          <cell r="V7">
            <v>22647</v>
          </cell>
          <cell r="W7">
            <v>24</v>
          </cell>
          <cell r="X7">
            <v>22666</v>
          </cell>
          <cell r="AA7">
            <v>12620</v>
          </cell>
        </row>
        <row r="8">
          <cell r="E8" t="str">
            <v>Reeves County, TX</v>
          </cell>
          <cell r="U8">
            <v>22283</v>
          </cell>
          <cell r="V8">
            <v>22445</v>
          </cell>
          <cell r="W8">
            <v>24</v>
          </cell>
          <cell r="X8">
            <v>22464</v>
          </cell>
          <cell r="AA8">
            <v>12631</v>
          </cell>
        </row>
        <row r="9">
          <cell r="E9" t="str">
            <v>Wolfcamp Upper Delta</v>
          </cell>
          <cell r="U9">
            <v>22082</v>
          </cell>
          <cell r="V9">
            <v>22244</v>
          </cell>
          <cell r="W9">
            <v>24</v>
          </cell>
          <cell r="X9">
            <v>22263</v>
          </cell>
          <cell r="AA9">
            <v>12635</v>
          </cell>
        </row>
        <row r="10">
          <cell r="E10" t="str">
            <v>PumpCo 3</v>
          </cell>
          <cell r="R10" t="str">
            <v>Job Type</v>
          </cell>
          <cell r="U10">
            <v>21881</v>
          </cell>
          <cell r="V10">
            <v>22043</v>
          </cell>
          <cell r="W10">
            <v>24</v>
          </cell>
          <cell r="X10">
            <v>22062</v>
          </cell>
          <cell r="AA10">
            <v>12635</v>
          </cell>
        </row>
        <row r="11">
          <cell r="E11" t="str">
            <v>Odessa</v>
          </cell>
          <cell r="U11">
            <v>21680</v>
          </cell>
          <cell r="V11">
            <v>21842</v>
          </cell>
          <cell r="W11">
            <v>24</v>
          </cell>
          <cell r="X11">
            <v>21861</v>
          </cell>
          <cell r="AA11">
            <v>12636</v>
          </cell>
        </row>
        <row r="12">
          <cell r="U12">
            <v>21479</v>
          </cell>
          <cell r="V12">
            <v>21641</v>
          </cell>
          <cell r="W12">
            <v>24</v>
          </cell>
          <cell r="X12">
            <v>21660</v>
          </cell>
          <cell r="AA12">
            <v>12645</v>
          </cell>
        </row>
        <row r="13">
          <cell r="U13">
            <v>21227</v>
          </cell>
          <cell r="V13">
            <v>21440</v>
          </cell>
          <cell r="W13">
            <v>24</v>
          </cell>
          <cell r="X13">
            <v>21459</v>
          </cell>
          <cell r="AA13">
            <v>12638</v>
          </cell>
        </row>
        <row r="14">
          <cell r="E14" t="str">
            <v>OD</v>
          </cell>
          <cell r="F14" t="str">
            <v>Weight</v>
          </cell>
          <cell r="H14" t="str">
            <v>Grade</v>
          </cell>
          <cell r="K14" t="str">
            <v>Length</v>
          </cell>
          <cell r="U14">
            <v>21076</v>
          </cell>
          <cell r="V14">
            <v>21238</v>
          </cell>
          <cell r="W14">
            <v>24</v>
          </cell>
          <cell r="X14">
            <v>21257</v>
          </cell>
          <cell r="AA14">
            <v>12623</v>
          </cell>
        </row>
        <row r="15">
          <cell r="E15" t="str">
            <v>5-1/2"</v>
          </cell>
          <cell r="F15">
            <v>23</v>
          </cell>
          <cell r="H15" t="str">
            <v>L-80</v>
          </cell>
          <cell r="J15">
            <v>12228</v>
          </cell>
          <cell r="K15">
            <v>12228</v>
          </cell>
          <cell r="N15">
            <v>2.1191590531075062E-2</v>
          </cell>
          <cell r="O15">
            <v>259.13076901398586</v>
          </cell>
          <cell r="U15">
            <v>20875</v>
          </cell>
          <cell r="V15">
            <v>21037</v>
          </cell>
          <cell r="W15">
            <v>24</v>
          </cell>
          <cell r="X15">
            <v>21056</v>
          </cell>
          <cell r="AA15">
            <v>12622</v>
          </cell>
        </row>
        <row r="16">
          <cell r="E16" t="str">
            <v>4-1/2"</v>
          </cell>
          <cell r="F16">
            <v>13.5</v>
          </cell>
          <cell r="H16" t="str">
            <v>P-110</v>
          </cell>
          <cell r="J16">
            <v>23704</v>
          </cell>
          <cell r="K16">
            <v>11476</v>
          </cell>
          <cell r="N16">
            <v>1.4931448020611394E-2</v>
          </cell>
          <cell r="O16">
            <v>171.35329748453637</v>
          </cell>
          <cell r="U16">
            <v>20674</v>
          </cell>
          <cell r="V16">
            <v>20836</v>
          </cell>
          <cell r="W16">
            <v>24</v>
          </cell>
          <cell r="X16">
            <v>20855</v>
          </cell>
          <cell r="AA16">
            <v>12619</v>
          </cell>
        </row>
        <row r="17">
          <cell r="E17" t="str">
            <v/>
          </cell>
          <cell r="F17" t="str">
            <v/>
          </cell>
          <cell r="H17" t="str">
            <v/>
          </cell>
          <cell r="K17" t="str">
            <v/>
          </cell>
          <cell r="N17" t="str">
            <v/>
          </cell>
          <cell r="O17" t="str">
            <v/>
          </cell>
          <cell r="U17">
            <v>20473</v>
          </cell>
          <cell r="V17">
            <v>20635</v>
          </cell>
          <cell r="W17">
            <v>24</v>
          </cell>
          <cell r="X17">
            <v>20654</v>
          </cell>
          <cell r="AA17">
            <v>12618</v>
          </cell>
        </row>
        <row r="18">
          <cell r="N18" t="str">
            <v/>
          </cell>
          <cell r="U18">
            <v>20272</v>
          </cell>
          <cell r="V18">
            <v>20434</v>
          </cell>
          <cell r="W18">
            <v>24</v>
          </cell>
          <cell r="X18">
            <v>20453</v>
          </cell>
          <cell r="AA18">
            <v>12619</v>
          </cell>
        </row>
        <row r="19">
          <cell r="U19">
            <v>20071</v>
          </cell>
          <cell r="V19">
            <v>20233</v>
          </cell>
          <cell r="W19">
            <v>24</v>
          </cell>
          <cell r="X19">
            <v>20252</v>
          </cell>
          <cell r="AA19">
            <v>12622</v>
          </cell>
        </row>
        <row r="20">
          <cell r="U20">
            <v>19869</v>
          </cell>
          <cell r="V20">
            <v>20032</v>
          </cell>
          <cell r="W20">
            <v>24</v>
          </cell>
          <cell r="X20">
            <v>20051</v>
          </cell>
          <cell r="AA20">
            <v>12616</v>
          </cell>
        </row>
        <row r="21">
          <cell r="U21">
            <v>19668</v>
          </cell>
          <cell r="V21">
            <v>19830</v>
          </cell>
          <cell r="W21">
            <v>24</v>
          </cell>
          <cell r="X21">
            <v>19849</v>
          </cell>
          <cell r="AA21">
            <v>12602</v>
          </cell>
        </row>
        <row r="22">
          <cell r="U22">
            <v>19467</v>
          </cell>
          <cell r="V22">
            <v>19629</v>
          </cell>
          <cell r="W22">
            <v>24</v>
          </cell>
          <cell r="X22">
            <v>19648</v>
          </cell>
          <cell r="AA22">
            <v>12600</v>
          </cell>
        </row>
        <row r="23">
          <cell r="U23">
            <v>19266</v>
          </cell>
          <cell r="V23">
            <v>19428</v>
          </cell>
          <cell r="W23">
            <v>24</v>
          </cell>
          <cell r="X23">
            <v>19447</v>
          </cell>
          <cell r="AA23">
            <v>12604</v>
          </cell>
        </row>
        <row r="24">
          <cell r="U24">
            <v>19065</v>
          </cell>
          <cell r="V24">
            <v>19227</v>
          </cell>
          <cell r="W24">
            <v>24</v>
          </cell>
          <cell r="X24">
            <v>19246</v>
          </cell>
          <cell r="AA24">
            <v>12604</v>
          </cell>
        </row>
        <row r="25">
          <cell r="U25">
            <v>18864</v>
          </cell>
          <cell r="V25">
            <v>19026</v>
          </cell>
          <cell r="W25">
            <v>24</v>
          </cell>
          <cell r="X25">
            <v>19045</v>
          </cell>
          <cell r="AA25">
            <v>12605</v>
          </cell>
        </row>
        <row r="26">
          <cell r="U26">
            <v>18662</v>
          </cell>
          <cell r="V26">
            <v>18825</v>
          </cell>
          <cell r="W26">
            <v>24</v>
          </cell>
          <cell r="X26">
            <v>18844</v>
          </cell>
          <cell r="AA26">
            <v>12604</v>
          </cell>
        </row>
        <row r="27">
          <cell r="U27">
            <v>18461</v>
          </cell>
          <cell r="V27">
            <v>18623</v>
          </cell>
          <cell r="W27">
            <v>24</v>
          </cell>
          <cell r="X27">
            <v>18642</v>
          </cell>
          <cell r="AA27">
            <v>12605</v>
          </cell>
        </row>
        <row r="28">
          <cell r="U28">
            <v>18260</v>
          </cell>
          <cell r="V28">
            <v>18422</v>
          </cell>
          <cell r="W28">
            <v>24</v>
          </cell>
          <cell r="X28">
            <v>18441</v>
          </cell>
          <cell r="AA28">
            <v>12607</v>
          </cell>
        </row>
        <row r="29">
          <cell r="U29">
            <v>18059</v>
          </cell>
          <cell r="V29">
            <v>18221</v>
          </cell>
          <cell r="W29">
            <v>24</v>
          </cell>
          <cell r="X29">
            <v>18240</v>
          </cell>
          <cell r="AA29">
            <v>12614</v>
          </cell>
        </row>
        <row r="30">
          <cell r="U30">
            <v>17858</v>
          </cell>
          <cell r="V30">
            <v>18020</v>
          </cell>
          <cell r="W30">
            <v>24</v>
          </cell>
          <cell r="X30">
            <v>18039</v>
          </cell>
          <cell r="AA30">
            <v>12613</v>
          </cell>
        </row>
        <row r="31">
          <cell r="U31">
            <v>17657</v>
          </cell>
          <cell r="V31">
            <v>17819</v>
          </cell>
          <cell r="W31">
            <v>24</v>
          </cell>
          <cell r="X31">
            <v>17838</v>
          </cell>
          <cell r="AA31">
            <v>12607</v>
          </cell>
        </row>
        <row r="32">
          <cell r="U32">
            <v>17455</v>
          </cell>
          <cell r="V32">
            <v>17618</v>
          </cell>
          <cell r="W32">
            <v>24</v>
          </cell>
          <cell r="X32">
            <v>17637</v>
          </cell>
          <cell r="AA32">
            <v>12607</v>
          </cell>
        </row>
        <row r="33">
          <cell r="U33">
            <v>17254</v>
          </cell>
          <cell r="V33">
            <v>17416</v>
          </cell>
          <cell r="W33">
            <v>24</v>
          </cell>
          <cell r="X33">
            <v>17435</v>
          </cell>
          <cell r="AA33">
            <v>12602</v>
          </cell>
        </row>
        <row r="34">
          <cell r="U34">
            <v>17053</v>
          </cell>
          <cell r="V34">
            <v>17215</v>
          </cell>
          <cell r="W34">
            <v>24</v>
          </cell>
          <cell r="X34">
            <v>17234</v>
          </cell>
          <cell r="AA34">
            <v>12599</v>
          </cell>
        </row>
        <row r="35">
          <cell r="E35" t="str">
            <v>100 Mesh</v>
          </cell>
          <cell r="U35">
            <v>16852</v>
          </cell>
          <cell r="V35">
            <v>17014</v>
          </cell>
          <cell r="W35">
            <v>24</v>
          </cell>
          <cell r="X35">
            <v>17033</v>
          </cell>
          <cell r="AA35">
            <v>12596</v>
          </cell>
        </row>
        <row r="36">
          <cell r="E36">
            <v>0</v>
          </cell>
          <cell r="U36">
            <v>16651</v>
          </cell>
          <cell r="V36">
            <v>16813</v>
          </cell>
          <cell r="W36">
            <v>24</v>
          </cell>
          <cell r="X36">
            <v>16832</v>
          </cell>
          <cell r="AA36">
            <v>12592</v>
          </cell>
        </row>
        <row r="37">
          <cell r="E37">
            <v>0</v>
          </cell>
          <cell r="U37">
            <v>16450</v>
          </cell>
          <cell r="V37">
            <v>16612</v>
          </cell>
          <cell r="W37">
            <v>24</v>
          </cell>
          <cell r="X37">
            <v>16631</v>
          </cell>
          <cell r="AA37">
            <v>12588</v>
          </cell>
        </row>
        <row r="38">
          <cell r="U38">
            <v>16249</v>
          </cell>
          <cell r="V38">
            <v>16411</v>
          </cell>
          <cell r="W38">
            <v>24</v>
          </cell>
          <cell r="X38">
            <v>16430</v>
          </cell>
          <cell r="AA38">
            <v>12580</v>
          </cell>
        </row>
        <row r="39">
          <cell r="U39">
            <v>16047</v>
          </cell>
          <cell r="V39">
            <v>16210</v>
          </cell>
          <cell r="W39">
            <v>24</v>
          </cell>
          <cell r="X39">
            <v>16229</v>
          </cell>
          <cell r="AA39">
            <v>12575</v>
          </cell>
        </row>
        <row r="40">
          <cell r="U40">
            <v>15846</v>
          </cell>
          <cell r="V40">
            <v>16008</v>
          </cell>
          <cell r="W40">
            <v>24</v>
          </cell>
          <cell r="X40">
            <v>16027</v>
          </cell>
          <cell r="AA40">
            <v>12568</v>
          </cell>
        </row>
        <row r="41">
          <cell r="E41" t="str">
            <v>15% HCl Acid</v>
          </cell>
          <cell r="U41">
            <v>15645</v>
          </cell>
          <cell r="V41">
            <v>15807</v>
          </cell>
          <cell r="W41">
            <v>24</v>
          </cell>
          <cell r="X41">
            <v>15826</v>
          </cell>
          <cell r="AA41">
            <v>12563</v>
          </cell>
        </row>
        <row r="42">
          <cell r="E42" t="str">
            <v>Slickwater</v>
          </cell>
          <cell r="U42">
            <v>15444</v>
          </cell>
          <cell r="V42">
            <v>15606</v>
          </cell>
          <cell r="W42">
            <v>24</v>
          </cell>
          <cell r="X42">
            <v>15625</v>
          </cell>
          <cell r="AA42">
            <v>12560</v>
          </cell>
        </row>
        <row r="43">
          <cell r="E43" t="str">
            <v>Pump Down</v>
          </cell>
          <cell r="U43">
            <v>15243</v>
          </cell>
          <cell r="V43">
            <v>15405</v>
          </cell>
          <cell r="W43">
            <v>24</v>
          </cell>
          <cell r="X43">
            <v>15424</v>
          </cell>
          <cell r="AA43">
            <v>12549</v>
          </cell>
        </row>
        <row r="44">
          <cell r="U44">
            <v>15042</v>
          </cell>
          <cell r="V44">
            <v>15204</v>
          </cell>
          <cell r="W44">
            <v>24</v>
          </cell>
          <cell r="X44">
            <v>15223</v>
          </cell>
          <cell r="AA44">
            <v>12546</v>
          </cell>
        </row>
        <row r="45">
          <cell r="U45">
            <v>14840</v>
          </cell>
          <cell r="V45">
            <v>15003</v>
          </cell>
          <cell r="W45">
            <v>24</v>
          </cell>
          <cell r="X45">
            <v>15022</v>
          </cell>
          <cell r="AA45">
            <v>12546</v>
          </cell>
        </row>
        <row r="46">
          <cell r="U46">
            <v>14639</v>
          </cell>
          <cell r="V46">
            <v>14801</v>
          </cell>
          <cell r="W46">
            <v>24</v>
          </cell>
          <cell r="X46">
            <v>14820</v>
          </cell>
          <cell r="AA46">
            <v>12561</v>
          </cell>
        </row>
        <row r="47">
          <cell r="U47">
            <v>14438</v>
          </cell>
          <cell r="V47">
            <v>14600</v>
          </cell>
          <cell r="W47">
            <v>24</v>
          </cell>
          <cell r="X47">
            <v>14619</v>
          </cell>
          <cell r="AA47">
            <v>12559</v>
          </cell>
        </row>
        <row r="48">
          <cell r="U48">
            <v>14237</v>
          </cell>
          <cell r="V48">
            <v>14399</v>
          </cell>
          <cell r="W48">
            <v>24</v>
          </cell>
          <cell r="X48">
            <v>14418</v>
          </cell>
          <cell r="AA48">
            <v>12554</v>
          </cell>
        </row>
        <row r="49">
          <cell r="U49">
            <v>14036</v>
          </cell>
          <cell r="V49">
            <v>14198</v>
          </cell>
          <cell r="W49">
            <v>24</v>
          </cell>
          <cell r="X49">
            <v>14217</v>
          </cell>
          <cell r="AA49">
            <v>12543</v>
          </cell>
        </row>
        <row r="50">
          <cell r="U50">
            <v>13835</v>
          </cell>
          <cell r="V50">
            <v>13997</v>
          </cell>
          <cell r="W50">
            <v>24</v>
          </cell>
          <cell r="X50">
            <v>14016</v>
          </cell>
          <cell r="AA50">
            <v>12540</v>
          </cell>
        </row>
        <row r="51">
          <cell r="U51">
            <v>13633</v>
          </cell>
          <cell r="V51">
            <v>13796</v>
          </cell>
          <cell r="W51">
            <v>24</v>
          </cell>
          <cell r="X51">
            <v>13815</v>
          </cell>
          <cell r="AA51">
            <v>12538</v>
          </cell>
        </row>
        <row r="52">
          <cell r="U52">
            <v>13432</v>
          </cell>
          <cell r="V52">
            <v>13594</v>
          </cell>
          <cell r="W52">
            <v>24</v>
          </cell>
          <cell r="X52">
            <v>13613</v>
          </cell>
          <cell r="AA52">
            <v>12531</v>
          </cell>
        </row>
        <row r="53">
          <cell r="U53">
            <v>13231</v>
          </cell>
          <cell r="V53">
            <v>13393</v>
          </cell>
          <cell r="W53">
            <v>24</v>
          </cell>
          <cell r="X53">
            <v>13412</v>
          </cell>
          <cell r="AA53">
            <v>12534</v>
          </cell>
        </row>
        <row r="54">
          <cell r="U54">
            <v>13030</v>
          </cell>
          <cell r="V54">
            <v>13192</v>
          </cell>
          <cell r="W54">
            <v>24</v>
          </cell>
          <cell r="X54">
            <v>13211</v>
          </cell>
          <cell r="AA54">
            <v>12528</v>
          </cell>
        </row>
      </sheetData>
      <sheetData sheetId="61"/>
      <sheetData sheetId="62"/>
      <sheetData sheetId="63"/>
      <sheetData sheetId="64"/>
      <sheetData sheetId="6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hecklist"/>
      <sheetName val="Rig Up"/>
      <sheetName val="Base Fluid"/>
      <sheetName val="Base Gel"/>
      <sheetName val="Break Tests"/>
      <sheetName val="Stage 1"/>
      <sheetName val="Stage 2"/>
      <sheetName val="Stage 3"/>
      <sheetName val="Stage 4"/>
      <sheetName val="Stage 5"/>
      <sheetName val="Stage 6"/>
      <sheetName val="Stage 7"/>
      <sheetName val="Stage 8"/>
      <sheetName val="Stage 9"/>
      <sheetName val="Stage 10"/>
      <sheetName val="Stage 11"/>
      <sheetName val="Stage 12"/>
      <sheetName val="Stage 13"/>
      <sheetName val="Stage 14"/>
      <sheetName val="Stage 15"/>
      <sheetName val="Stage 16"/>
      <sheetName val="Stage 17"/>
      <sheetName val="Stage 18"/>
      <sheetName val="Stage 19"/>
      <sheetName val="Stage 20"/>
      <sheetName val="Stage 21"/>
      <sheetName val="Stage 22"/>
      <sheetName val="Stage 23"/>
      <sheetName val="Stage 24"/>
      <sheetName val="Stage 25"/>
      <sheetName val="Stage 26"/>
      <sheetName val="Stage 27"/>
      <sheetName val="Stage 28"/>
      <sheetName val="Stage 29"/>
      <sheetName val="Stage 30"/>
      <sheetName val="Stage 31"/>
      <sheetName val="Stage 32"/>
      <sheetName val="Stage 33"/>
      <sheetName val="Stage 34"/>
      <sheetName val="Stage 35"/>
      <sheetName val="Stage 36"/>
      <sheetName val="Stage 37"/>
      <sheetName val="Stage 38"/>
      <sheetName val="Stage 39"/>
      <sheetName val="Stage 40"/>
      <sheetName val="Stage 41"/>
      <sheetName val="Stage 42"/>
      <sheetName val="Stage 43"/>
      <sheetName val="Stage 44"/>
      <sheetName val="Stage 45"/>
      <sheetName val="Stage 46"/>
      <sheetName val="Stage 47"/>
      <sheetName val="Stage 48"/>
      <sheetName val="Stage 49"/>
      <sheetName val="Set Up"/>
      <sheetName val="Treatment Summary"/>
      <sheetName val="Sheet1"/>
      <sheetName val="Variance"/>
      <sheetName val="Chem Reference"/>
      <sheetName val="Pipe Reference"/>
      <sheetName val="Prop Referen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>
        <row r="2">
          <cell r="R2">
            <v>12500</v>
          </cell>
          <cell r="U2">
            <v>21923</v>
          </cell>
          <cell r="V2">
            <v>22085</v>
          </cell>
          <cell r="W2">
            <v>24</v>
          </cell>
          <cell r="X2">
            <v>22104</v>
          </cell>
          <cell r="AA2">
            <v>12137.7</v>
          </cell>
        </row>
        <row r="3">
          <cell r="U3">
            <v>21722</v>
          </cell>
          <cell r="V3">
            <v>21884</v>
          </cell>
          <cell r="W3">
            <v>24</v>
          </cell>
          <cell r="X3">
            <v>21903</v>
          </cell>
          <cell r="AA3">
            <v>12144.1</v>
          </cell>
        </row>
        <row r="4">
          <cell r="U4">
            <v>21521</v>
          </cell>
          <cell r="V4">
            <v>21683</v>
          </cell>
          <cell r="W4">
            <v>24</v>
          </cell>
          <cell r="X4">
            <v>21702</v>
          </cell>
          <cell r="AA4">
            <v>12144.1</v>
          </cell>
        </row>
        <row r="5">
          <cell r="E5" t="str">
            <v>Anadarko Petroleum Corporation</v>
          </cell>
          <cell r="U5">
            <v>21320</v>
          </cell>
          <cell r="V5">
            <v>21482</v>
          </cell>
          <cell r="W5">
            <v>24</v>
          </cell>
          <cell r="X5">
            <v>21501</v>
          </cell>
          <cell r="AA5">
            <v>12143.6</v>
          </cell>
        </row>
        <row r="6">
          <cell r="E6" t="str">
            <v>Matt Jones</v>
          </cell>
          <cell r="U6">
            <v>21119</v>
          </cell>
          <cell r="V6">
            <v>21281</v>
          </cell>
          <cell r="W6">
            <v>24</v>
          </cell>
          <cell r="X6">
            <v>21300</v>
          </cell>
          <cell r="AA6">
            <v>12143.6</v>
          </cell>
        </row>
        <row r="7">
          <cell r="E7" t="str">
            <v>Silvertip 76-7 Unit A 10H</v>
          </cell>
          <cell r="J7" t="str">
            <v>2136267.CMP</v>
          </cell>
          <cell r="U7">
            <v>20918</v>
          </cell>
          <cell r="V7">
            <v>21080</v>
          </cell>
          <cell r="W7">
            <v>24</v>
          </cell>
          <cell r="X7">
            <v>21099</v>
          </cell>
          <cell r="AA7">
            <v>12146</v>
          </cell>
        </row>
        <row r="8">
          <cell r="E8" t="str">
            <v>Loving County, TX</v>
          </cell>
          <cell r="U8">
            <v>20717</v>
          </cell>
          <cell r="V8">
            <v>20879</v>
          </cell>
          <cell r="W8">
            <v>24</v>
          </cell>
          <cell r="X8">
            <v>20898</v>
          </cell>
          <cell r="AA8">
            <v>12148.8</v>
          </cell>
        </row>
        <row r="9">
          <cell r="E9" t="str">
            <v>Wolfcamp Upper Beta</v>
          </cell>
          <cell r="U9">
            <v>20516</v>
          </cell>
          <cell r="V9">
            <v>20678</v>
          </cell>
          <cell r="W9">
            <v>24</v>
          </cell>
          <cell r="X9">
            <v>20697</v>
          </cell>
          <cell r="AA9">
            <v>12152.8</v>
          </cell>
        </row>
        <row r="10">
          <cell r="E10" t="str">
            <v>PumpCo 3</v>
          </cell>
          <cell r="U10">
            <v>20314</v>
          </cell>
          <cell r="V10">
            <v>20477</v>
          </cell>
          <cell r="W10">
            <v>24</v>
          </cell>
          <cell r="X10">
            <v>20496</v>
          </cell>
          <cell r="AA10">
            <v>12156.9</v>
          </cell>
        </row>
        <row r="11">
          <cell r="E11" t="str">
            <v>Odessa</v>
          </cell>
          <cell r="R11" t="str">
            <v>48-Stage SW Plug &amp; Perf</v>
          </cell>
          <cell r="U11">
            <v>20113</v>
          </cell>
          <cell r="V11">
            <v>20275</v>
          </cell>
          <cell r="W11">
            <v>24</v>
          </cell>
          <cell r="X11">
            <v>20294</v>
          </cell>
          <cell r="AA11">
            <v>12159.5</v>
          </cell>
        </row>
        <row r="12">
          <cell r="U12">
            <v>19912</v>
          </cell>
          <cell r="V12">
            <v>20074</v>
          </cell>
          <cell r="W12">
            <v>24</v>
          </cell>
          <cell r="X12">
            <v>20093</v>
          </cell>
          <cell r="AA12">
            <v>12163.2</v>
          </cell>
        </row>
        <row r="13">
          <cell r="U13">
            <v>19711</v>
          </cell>
          <cell r="V13">
            <v>19873</v>
          </cell>
          <cell r="W13">
            <v>24</v>
          </cell>
          <cell r="X13">
            <v>19892</v>
          </cell>
          <cell r="AA13">
            <v>12166.8</v>
          </cell>
        </row>
        <row r="14">
          <cell r="U14">
            <v>19510</v>
          </cell>
          <cell r="V14">
            <v>19672</v>
          </cell>
          <cell r="W14">
            <v>24</v>
          </cell>
          <cell r="X14">
            <v>19691</v>
          </cell>
          <cell r="AA14">
            <v>12169.5</v>
          </cell>
        </row>
        <row r="15">
          <cell r="E15" t="str">
            <v>5-1/2"</v>
          </cell>
          <cell r="F15">
            <v>23</v>
          </cell>
          <cell r="H15" t="str">
            <v>P-110</v>
          </cell>
          <cell r="J15">
            <v>11845</v>
          </cell>
          <cell r="K15">
            <v>11845</v>
          </cell>
          <cell r="N15">
            <v>2.1191590531075062E-2</v>
          </cell>
          <cell r="O15">
            <v>251.0143898405841</v>
          </cell>
          <cell r="U15">
            <v>19309</v>
          </cell>
          <cell r="V15">
            <v>19471</v>
          </cell>
          <cell r="W15">
            <v>24</v>
          </cell>
          <cell r="X15">
            <v>19490</v>
          </cell>
          <cell r="AA15">
            <v>12172.8</v>
          </cell>
        </row>
        <row r="16">
          <cell r="E16" t="str">
            <v>4-1/2"</v>
          </cell>
          <cell r="F16">
            <v>13.5</v>
          </cell>
          <cell r="H16" t="str">
            <v>P-110</v>
          </cell>
          <cell r="J16">
            <v>23117</v>
          </cell>
          <cell r="K16">
            <v>11272</v>
          </cell>
          <cell r="N16">
            <v>1.4931448020611394E-2</v>
          </cell>
          <cell r="O16">
            <v>168.30728208833165</v>
          </cell>
          <cell r="U16">
            <v>19108</v>
          </cell>
          <cell r="V16">
            <v>19270</v>
          </cell>
          <cell r="W16">
            <v>24</v>
          </cell>
          <cell r="X16">
            <v>19289</v>
          </cell>
          <cell r="AA16">
            <v>12176.4</v>
          </cell>
        </row>
        <row r="17">
          <cell r="E17" t="str">
            <v/>
          </cell>
          <cell r="F17" t="str">
            <v/>
          </cell>
          <cell r="H17" t="str">
            <v/>
          </cell>
          <cell r="K17" t="str">
            <v/>
          </cell>
          <cell r="N17" t="str">
            <v/>
          </cell>
          <cell r="O17" t="str">
            <v/>
          </cell>
          <cell r="U17">
            <v>18907</v>
          </cell>
          <cell r="V17">
            <v>19069</v>
          </cell>
          <cell r="W17">
            <v>24</v>
          </cell>
          <cell r="X17">
            <v>19088</v>
          </cell>
          <cell r="AA17">
            <v>12179.4</v>
          </cell>
        </row>
        <row r="18">
          <cell r="E18" t="str">
            <v/>
          </cell>
          <cell r="F18" t="str">
            <v/>
          </cell>
          <cell r="H18" t="str">
            <v/>
          </cell>
          <cell r="K18" t="str">
            <v/>
          </cell>
          <cell r="N18" t="str">
            <v/>
          </cell>
          <cell r="U18">
            <v>18706</v>
          </cell>
          <cell r="V18">
            <v>18868</v>
          </cell>
          <cell r="W18">
            <v>24</v>
          </cell>
          <cell r="X18">
            <v>18887</v>
          </cell>
          <cell r="AA18">
            <v>12181.2</v>
          </cell>
        </row>
        <row r="19">
          <cell r="U19">
            <v>18505</v>
          </cell>
          <cell r="V19">
            <v>18667</v>
          </cell>
          <cell r="W19">
            <v>24</v>
          </cell>
          <cell r="X19">
            <v>18686</v>
          </cell>
          <cell r="AA19">
            <v>12184.5</v>
          </cell>
        </row>
        <row r="20">
          <cell r="U20">
            <v>18304</v>
          </cell>
          <cell r="V20">
            <v>18466</v>
          </cell>
          <cell r="W20">
            <v>24</v>
          </cell>
          <cell r="X20">
            <v>18485</v>
          </cell>
          <cell r="AA20">
            <v>12188.8</v>
          </cell>
        </row>
        <row r="21">
          <cell r="U21">
            <v>18103</v>
          </cell>
          <cell r="V21">
            <v>18265</v>
          </cell>
          <cell r="W21">
            <v>24</v>
          </cell>
          <cell r="X21">
            <v>18284</v>
          </cell>
          <cell r="AA21">
            <v>12192.3</v>
          </cell>
        </row>
        <row r="22">
          <cell r="U22">
            <v>17902</v>
          </cell>
          <cell r="V22">
            <v>18064</v>
          </cell>
          <cell r="W22">
            <v>24</v>
          </cell>
          <cell r="X22">
            <v>18083</v>
          </cell>
          <cell r="AA22">
            <v>12195.2</v>
          </cell>
        </row>
        <row r="23">
          <cell r="U23">
            <v>17701</v>
          </cell>
          <cell r="V23">
            <v>17863</v>
          </cell>
          <cell r="W23">
            <v>24</v>
          </cell>
          <cell r="X23">
            <v>17882</v>
          </cell>
          <cell r="AA23">
            <v>12198.2</v>
          </cell>
        </row>
        <row r="24">
          <cell r="U24">
            <v>17500</v>
          </cell>
          <cell r="V24">
            <v>17662</v>
          </cell>
          <cell r="W24">
            <v>24</v>
          </cell>
          <cell r="X24">
            <v>17681</v>
          </cell>
          <cell r="AA24">
            <v>12202.6</v>
          </cell>
        </row>
        <row r="25">
          <cell r="U25">
            <v>17299</v>
          </cell>
          <cell r="V25">
            <v>17461</v>
          </cell>
          <cell r="W25">
            <v>24</v>
          </cell>
          <cell r="X25">
            <v>17480</v>
          </cell>
          <cell r="AA25">
            <v>12205</v>
          </cell>
        </row>
        <row r="26">
          <cell r="U26">
            <v>17098</v>
          </cell>
          <cell r="V26">
            <v>17260</v>
          </cell>
          <cell r="W26">
            <v>24</v>
          </cell>
          <cell r="X26">
            <v>17279</v>
          </cell>
          <cell r="AA26">
            <v>12208.6</v>
          </cell>
        </row>
        <row r="27">
          <cell r="U27">
            <v>16897</v>
          </cell>
          <cell r="V27">
            <v>17059</v>
          </cell>
          <cell r="W27">
            <v>24</v>
          </cell>
          <cell r="X27">
            <v>17078</v>
          </cell>
          <cell r="AA27">
            <v>12211.9</v>
          </cell>
        </row>
        <row r="28">
          <cell r="U28">
            <v>16696</v>
          </cell>
          <cell r="V28">
            <v>16858</v>
          </cell>
          <cell r="W28">
            <v>24</v>
          </cell>
          <cell r="X28">
            <v>16877</v>
          </cell>
          <cell r="AA28">
            <v>12214.6</v>
          </cell>
        </row>
        <row r="29">
          <cell r="U29">
            <v>16495</v>
          </cell>
          <cell r="V29">
            <v>16657</v>
          </cell>
          <cell r="W29">
            <v>24</v>
          </cell>
          <cell r="X29">
            <v>16676</v>
          </cell>
          <cell r="AA29">
            <v>12217.2</v>
          </cell>
        </row>
        <row r="30">
          <cell r="U30">
            <v>16294</v>
          </cell>
          <cell r="V30">
            <v>16456</v>
          </cell>
          <cell r="W30">
            <v>24</v>
          </cell>
          <cell r="X30">
            <v>16475</v>
          </cell>
          <cell r="AA30">
            <v>12219.3</v>
          </cell>
        </row>
        <row r="31">
          <cell r="U31">
            <v>16093</v>
          </cell>
          <cell r="V31">
            <v>16255</v>
          </cell>
          <cell r="W31">
            <v>24</v>
          </cell>
          <cell r="X31">
            <v>16274</v>
          </cell>
          <cell r="AA31">
            <v>12220</v>
          </cell>
        </row>
        <row r="32">
          <cell r="U32">
            <v>15892</v>
          </cell>
          <cell r="V32">
            <v>16054</v>
          </cell>
          <cell r="W32">
            <v>24</v>
          </cell>
          <cell r="X32">
            <v>16073</v>
          </cell>
          <cell r="AA32">
            <v>12220.7</v>
          </cell>
        </row>
        <row r="33">
          <cell r="U33">
            <v>15691</v>
          </cell>
          <cell r="V33">
            <v>15853</v>
          </cell>
          <cell r="W33">
            <v>24</v>
          </cell>
          <cell r="X33">
            <v>15872</v>
          </cell>
          <cell r="AA33">
            <v>12223.2</v>
          </cell>
        </row>
        <row r="34">
          <cell r="U34">
            <v>15490</v>
          </cell>
          <cell r="V34">
            <v>15652</v>
          </cell>
          <cell r="W34">
            <v>24</v>
          </cell>
          <cell r="X34">
            <v>15671</v>
          </cell>
          <cell r="AA34">
            <v>12226.4</v>
          </cell>
        </row>
        <row r="35">
          <cell r="E35" t="str">
            <v>100 Mesh</v>
          </cell>
          <cell r="U35">
            <v>15289</v>
          </cell>
          <cell r="V35">
            <v>15451</v>
          </cell>
          <cell r="W35">
            <v>24</v>
          </cell>
          <cell r="X35">
            <v>15470</v>
          </cell>
          <cell r="AA35">
            <v>12227.7</v>
          </cell>
        </row>
        <row r="36">
          <cell r="E36">
            <v>0</v>
          </cell>
          <cell r="U36">
            <v>15087</v>
          </cell>
          <cell r="V36">
            <v>15250</v>
          </cell>
          <cell r="W36">
            <v>24</v>
          </cell>
          <cell r="X36">
            <v>15269</v>
          </cell>
          <cell r="AA36">
            <v>12229.3</v>
          </cell>
        </row>
        <row r="37">
          <cell r="E37">
            <v>0</v>
          </cell>
          <cell r="U37">
            <v>14886</v>
          </cell>
          <cell r="V37">
            <v>15048</v>
          </cell>
          <cell r="W37">
            <v>24</v>
          </cell>
          <cell r="X37">
            <v>15067</v>
          </cell>
          <cell r="AA37">
            <v>12230.6</v>
          </cell>
        </row>
        <row r="38">
          <cell r="E38">
            <v>0</v>
          </cell>
          <cell r="U38">
            <v>14685</v>
          </cell>
          <cell r="V38">
            <v>14847</v>
          </cell>
          <cell r="W38">
            <v>24</v>
          </cell>
          <cell r="X38">
            <v>14866</v>
          </cell>
          <cell r="AA38">
            <v>12232</v>
          </cell>
        </row>
        <row r="39">
          <cell r="U39">
            <v>14484</v>
          </cell>
          <cell r="V39">
            <v>14646</v>
          </cell>
          <cell r="W39">
            <v>24</v>
          </cell>
          <cell r="X39">
            <v>14665</v>
          </cell>
          <cell r="AA39">
            <v>12235.8</v>
          </cell>
        </row>
        <row r="40">
          <cell r="U40">
            <v>14283</v>
          </cell>
          <cell r="V40">
            <v>14445</v>
          </cell>
          <cell r="W40">
            <v>24</v>
          </cell>
          <cell r="X40">
            <v>14464</v>
          </cell>
          <cell r="AA40">
            <v>12238.3</v>
          </cell>
        </row>
        <row r="41">
          <cell r="E41" t="str">
            <v>15% HCl Acid</v>
          </cell>
          <cell r="U41">
            <v>14082</v>
          </cell>
          <cell r="V41">
            <v>14244</v>
          </cell>
          <cell r="W41">
            <v>24</v>
          </cell>
          <cell r="X41">
            <v>14263</v>
          </cell>
          <cell r="AA41">
            <v>12239.5</v>
          </cell>
        </row>
        <row r="42">
          <cell r="E42" t="str">
            <v>Slickwater</v>
          </cell>
          <cell r="U42">
            <v>13881</v>
          </cell>
          <cell r="V42">
            <v>14043</v>
          </cell>
          <cell r="W42">
            <v>24</v>
          </cell>
          <cell r="X42">
            <v>14062</v>
          </cell>
          <cell r="AA42">
            <v>12241.3</v>
          </cell>
        </row>
        <row r="43">
          <cell r="E43" t="str">
            <v>Pump Down</v>
          </cell>
          <cell r="U43">
            <v>13680</v>
          </cell>
          <cell r="V43">
            <v>13842</v>
          </cell>
          <cell r="W43">
            <v>24</v>
          </cell>
          <cell r="X43">
            <v>13861</v>
          </cell>
          <cell r="AA43">
            <v>12243.3</v>
          </cell>
        </row>
        <row r="44">
          <cell r="U44">
            <v>13479</v>
          </cell>
          <cell r="V44">
            <v>13541</v>
          </cell>
          <cell r="W44">
            <v>24</v>
          </cell>
          <cell r="X44">
            <v>13660</v>
          </cell>
          <cell r="AA44">
            <v>12245.3</v>
          </cell>
        </row>
        <row r="45">
          <cell r="U45">
            <v>13278</v>
          </cell>
          <cell r="V45">
            <v>13440</v>
          </cell>
          <cell r="W45">
            <v>24</v>
          </cell>
          <cell r="X45">
            <v>13459</v>
          </cell>
          <cell r="AA45">
            <v>12246.6</v>
          </cell>
        </row>
        <row r="46">
          <cell r="U46">
            <v>13077</v>
          </cell>
          <cell r="V46">
            <v>13239</v>
          </cell>
          <cell r="W46">
            <v>24</v>
          </cell>
          <cell r="X46">
            <v>13258</v>
          </cell>
          <cell r="AA46">
            <v>12247.8</v>
          </cell>
        </row>
        <row r="47">
          <cell r="U47">
            <v>12876</v>
          </cell>
          <cell r="V47">
            <v>13038</v>
          </cell>
          <cell r="W47">
            <v>24</v>
          </cell>
          <cell r="X47">
            <v>13057</v>
          </cell>
          <cell r="AA47">
            <v>12248.9</v>
          </cell>
        </row>
        <row r="48">
          <cell r="U48">
            <v>12675</v>
          </cell>
          <cell r="V48">
            <v>12837</v>
          </cell>
          <cell r="W48">
            <v>24</v>
          </cell>
          <cell r="X48">
            <v>12856</v>
          </cell>
          <cell r="AA48">
            <v>12249.9</v>
          </cell>
        </row>
        <row r="49">
          <cell r="U49">
            <v>12474</v>
          </cell>
          <cell r="V49">
            <v>12636</v>
          </cell>
          <cell r="W49">
            <v>24</v>
          </cell>
          <cell r="X49">
            <v>12655</v>
          </cell>
          <cell r="AA49">
            <v>12250.6</v>
          </cell>
        </row>
        <row r="51">
          <cell r="E51" t="str">
            <v>Plexslick 957, gal</v>
          </cell>
        </row>
        <row r="52">
          <cell r="E52" t="str">
            <v>Chemplex 4-N-1, gal</v>
          </cell>
        </row>
        <row r="53">
          <cell r="E53" t="str">
            <v>Payzone 845, gal</v>
          </cell>
        </row>
        <row r="54">
          <cell r="E54" t="str">
            <v>Payzone 850, gal</v>
          </cell>
        </row>
        <row r="55">
          <cell r="E55" t="str">
            <v>Payzone 217, gal</v>
          </cell>
        </row>
        <row r="56">
          <cell r="E56" t="str">
            <v>Stim741 Gel, gal</v>
          </cell>
        </row>
        <row r="57">
          <cell r="E57" t="str">
            <v>Bekkalube</v>
          </cell>
        </row>
        <row r="59">
          <cell r="E59" t="str">
            <v>Diesel, gal</v>
          </cell>
        </row>
        <row r="62">
          <cell r="E62" t="str">
            <v>15% HCl Acid, gal</v>
          </cell>
        </row>
      </sheetData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hecklist"/>
      <sheetName val="Rig Up"/>
      <sheetName val="Base Fluid"/>
      <sheetName val="Base Gel"/>
      <sheetName val="Break Tests"/>
      <sheetName val="Stage 1"/>
      <sheetName val="Stage 2"/>
      <sheetName val="Stage 3"/>
      <sheetName val="Stage 4"/>
      <sheetName val="Stage 5"/>
      <sheetName val="Stage 6"/>
      <sheetName val="Stage 7"/>
      <sheetName val="Stage 8"/>
      <sheetName val="Stage 9"/>
      <sheetName val="Stage 10"/>
      <sheetName val="Stage 11"/>
      <sheetName val="Stage 12"/>
      <sheetName val="Stage 13"/>
      <sheetName val="Stage 14"/>
      <sheetName val="Stage 15"/>
      <sheetName val="Stage 16"/>
      <sheetName val="Stage 17"/>
      <sheetName val="Stage 18"/>
      <sheetName val="Stage 19"/>
      <sheetName val="Stage 20"/>
      <sheetName val="Stage 21"/>
      <sheetName val="Stage 22"/>
      <sheetName val="Stage 23"/>
      <sheetName val="Stage 24"/>
      <sheetName val="Stage 25"/>
      <sheetName val="Stage 26"/>
      <sheetName val="Stage 27"/>
      <sheetName val="Stage 28"/>
      <sheetName val="Stage 29"/>
      <sheetName val="Stage 30"/>
      <sheetName val="Stage 31"/>
      <sheetName val="Stage 32"/>
      <sheetName val="Stage 33"/>
      <sheetName val="Stage 34"/>
      <sheetName val="Stage 35"/>
      <sheetName val="Stage 36"/>
      <sheetName val="Stage 37"/>
      <sheetName val="Stage 38"/>
      <sheetName val="Stage 39"/>
      <sheetName val="Stage 40"/>
      <sheetName val="Stage 41"/>
      <sheetName val="Stage 42"/>
      <sheetName val="Stage 43"/>
      <sheetName val="Stage 44"/>
      <sheetName val="Stage 45"/>
      <sheetName val="Stage 46"/>
      <sheetName val="Stage 47"/>
      <sheetName val="Stage 48"/>
      <sheetName val="Stage 49"/>
      <sheetName val="Stage 50"/>
      <sheetName val="Stage 51"/>
      <sheetName val="Stage 52"/>
      <sheetName val="Stage 53"/>
      <sheetName val="Set Up"/>
      <sheetName val="Treatment Summary"/>
      <sheetName val="Sheet1"/>
      <sheetName val="Variance"/>
      <sheetName val="Chem Reference"/>
      <sheetName val="Pipe Reference"/>
      <sheetName val="Prop Referen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>
        <row r="1">
          <cell r="R1" t="str">
            <v>Max Pressure, psi</v>
          </cell>
          <cell r="V1" t="str">
            <v>Bot Perf</v>
          </cell>
          <cell r="W1" t="str">
            <v>No. Perfs</v>
          </cell>
          <cell r="X1" t="str">
            <v>Plug</v>
          </cell>
          <cell r="AA1" t="str">
            <v>TVD</v>
          </cell>
        </row>
        <row r="2">
          <cell r="U2">
            <v>23174</v>
          </cell>
          <cell r="V2">
            <v>23335</v>
          </cell>
          <cell r="W2">
            <v>24</v>
          </cell>
          <cell r="X2">
            <v>23354</v>
          </cell>
          <cell r="AA2">
            <v>12407</v>
          </cell>
        </row>
        <row r="3">
          <cell r="U3">
            <v>22974</v>
          </cell>
          <cell r="V3">
            <v>23135</v>
          </cell>
          <cell r="W3">
            <v>24</v>
          </cell>
          <cell r="X3">
            <v>23154</v>
          </cell>
          <cell r="AA3">
            <v>12412</v>
          </cell>
        </row>
        <row r="4">
          <cell r="U4">
            <v>22774</v>
          </cell>
          <cell r="V4">
            <v>22935</v>
          </cell>
          <cell r="W4">
            <v>24</v>
          </cell>
          <cell r="X4">
            <v>22954</v>
          </cell>
          <cell r="AA4">
            <v>12410</v>
          </cell>
        </row>
        <row r="5">
          <cell r="E5" t="str">
            <v>Anadarko Petroleum Corporation</v>
          </cell>
          <cell r="U5">
            <v>22574</v>
          </cell>
          <cell r="V5">
            <v>22735</v>
          </cell>
          <cell r="W5">
            <v>24</v>
          </cell>
          <cell r="X5">
            <v>22754</v>
          </cell>
          <cell r="AA5">
            <v>12406</v>
          </cell>
        </row>
        <row r="6">
          <cell r="E6" t="str">
            <v>Matt Jones</v>
          </cell>
          <cell r="J6" t="str">
            <v>Hot</v>
          </cell>
          <cell r="U6">
            <v>22374</v>
          </cell>
          <cell r="V6">
            <v>22535</v>
          </cell>
          <cell r="W6">
            <v>24</v>
          </cell>
          <cell r="X6">
            <v>22554</v>
          </cell>
          <cell r="AA6">
            <v>12406</v>
          </cell>
        </row>
        <row r="7">
          <cell r="E7" t="str">
            <v>Silvertip 76-7 Unit B 2H</v>
          </cell>
          <cell r="U7">
            <v>22174</v>
          </cell>
          <cell r="V7">
            <v>22335</v>
          </cell>
          <cell r="W7">
            <v>24</v>
          </cell>
          <cell r="X7">
            <v>22354</v>
          </cell>
          <cell r="AA7">
            <v>12403</v>
          </cell>
        </row>
        <row r="8">
          <cell r="E8" t="str">
            <v>Loving Texas, TX</v>
          </cell>
          <cell r="U8">
            <v>21973</v>
          </cell>
          <cell r="V8">
            <v>22135</v>
          </cell>
          <cell r="W8">
            <v>24</v>
          </cell>
          <cell r="X8">
            <v>22154</v>
          </cell>
          <cell r="AA8">
            <v>12401</v>
          </cell>
        </row>
        <row r="9">
          <cell r="E9" t="str">
            <v>Wolfcamp Beta</v>
          </cell>
          <cell r="U9">
            <v>21773</v>
          </cell>
          <cell r="V9">
            <v>21934</v>
          </cell>
          <cell r="W9">
            <v>24</v>
          </cell>
          <cell r="X9">
            <v>21953</v>
          </cell>
          <cell r="AA9">
            <v>12398</v>
          </cell>
        </row>
        <row r="10">
          <cell r="E10" t="str">
            <v>PumpCo 3</v>
          </cell>
          <cell r="R10" t="str">
            <v>Job Type</v>
          </cell>
          <cell r="U10">
            <v>21573</v>
          </cell>
          <cell r="V10">
            <v>21734</v>
          </cell>
          <cell r="W10">
            <v>24</v>
          </cell>
          <cell r="X10">
            <v>21753</v>
          </cell>
          <cell r="AA10">
            <v>12389</v>
          </cell>
        </row>
        <row r="11">
          <cell r="E11" t="str">
            <v>Odessa</v>
          </cell>
          <cell r="U11">
            <v>21373</v>
          </cell>
          <cell r="V11">
            <v>21534</v>
          </cell>
          <cell r="W11">
            <v>24</v>
          </cell>
          <cell r="X11">
            <v>21553</v>
          </cell>
          <cell r="AA11">
            <v>12382</v>
          </cell>
        </row>
        <row r="12">
          <cell r="U12">
            <v>21173</v>
          </cell>
          <cell r="V12">
            <v>21334</v>
          </cell>
          <cell r="W12">
            <v>24</v>
          </cell>
          <cell r="X12">
            <v>21353</v>
          </cell>
          <cell r="AA12">
            <v>12386</v>
          </cell>
        </row>
        <row r="13">
          <cell r="U13">
            <v>20973</v>
          </cell>
          <cell r="V13">
            <v>21134</v>
          </cell>
          <cell r="W13">
            <v>24</v>
          </cell>
          <cell r="X13">
            <v>21153</v>
          </cell>
          <cell r="AA13">
            <v>12386</v>
          </cell>
        </row>
        <row r="14">
          <cell r="E14" t="str">
            <v>OD</v>
          </cell>
          <cell r="F14" t="str">
            <v>Weight</v>
          </cell>
          <cell r="H14" t="str">
            <v>Grade</v>
          </cell>
          <cell r="K14" t="str">
            <v>Length</v>
          </cell>
          <cell r="U14">
            <v>20773</v>
          </cell>
          <cell r="V14">
            <v>20934</v>
          </cell>
          <cell r="W14">
            <v>24</v>
          </cell>
          <cell r="X14">
            <v>20953</v>
          </cell>
          <cell r="AA14">
            <v>12380</v>
          </cell>
        </row>
        <row r="15">
          <cell r="E15" t="str">
            <v>5-1/2"</v>
          </cell>
          <cell r="F15">
            <v>23</v>
          </cell>
          <cell r="H15" t="str">
            <v>P-110</v>
          </cell>
          <cell r="J15">
            <v>12202</v>
          </cell>
          <cell r="K15">
            <v>12202</v>
          </cell>
          <cell r="N15">
            <v>2.1191590531075062E-2</v>
          </cell>
          <cell r="O15">
            <v>258.57978766017789</v>
          </cell>
          <cell r="U15">
            <v>20573</v>
          </cell>
          <cell r="V15">
            <v>20734</v>
          </cell>
          <cell r="W15">
            <v>24</v>
          </cell>
          <cell r="X15">
            <v>20753</v>
          </cell>
          <cell r="AA15">
            <v>12371</v>
          </cell>
        </row>
        <row r="16">
          <cell r="E16" t="str">
            <v>4-1/2"</v>
          </cell>
          <cell r="F16">
            <v>13.5</v>
          </cell>
          <cell r="H16" t="str">
            <v>P-110</v>
          </cell>
          <cell r="J16">
            <v>23432</v>
          </cell>
          <cell r="K16">
            <v>11230</v>
          </cell>
          <cell r="N16">
            <v>1.4931448020611394E-2</v>
          </cell>
          <cell r="O16">
            <v>167.68016127146595</v>
          </cell>
          <cell r="U16">
            <v>20373</v>
          </cell>
          <cell r="V16">
            <v>20534</v>
          </cell>
          <cell r="W16">
            <v>24</v>
          </cell>
          <cell r="X16">
            <v>20553</v>
          </cell>
          <cell r="AA16">
            <v>12364</v>
          </cell>
        </row>
        <row r="17">
          <cell r="E17" t="str">
            <v/>
          </cell>
          <cell r="F17" t="str">
            <v/>
          </cell>
          <cell r="H17" t="str">
            <v/>
          </cell>
          <cell r="K17" t="str">
            <v/>
          </cell>
          <cell r="N17" t="str">
            <v/>
          </cell>
          <cell r="O17" t="str">
            <v/>
          </cell>
          <cell r="U17">
            <v>20172</v>
          </cell>
          <cell r="V17">
            <v>20334</v>
          </cell>
          <cell r="W17">
            <v>24</v>
          </cell>
          <cell r="X17">
            <v>20353</v>
          </cell>
          <cell r="AA17">
            <v>12366</v>
          </cell>
        </row>
        <row r="18">
          <cell r="N18" t="str">
            <v/>
          </cell>
          <cell r="U18">
            <v>19972</v>
          </cell>
          <cell r="V18">
            <v>20133</v>
          </cell>
          <cell r="W18">
            <v>24</v>
          </cell>
          <cell r="X18">
            <v>20152</v>
          </cell>
          <cell r="AA18">
            <v>12370</v>
          </cell>
        </row>
        <row r="19">
          <cell r="U19">
            <v>19772</v>
          </cell>
          <cell r="V19">
            <v>19933</v>
          </cell>
          <cell r="W19">
            <v>24</v>
          </cell>
          <cell r="X19">
            <v>19952</v>
          </cell>
          <cell r="AA19">
            <v>12367</v>
          </cell>
        </row>
        <row r="20">
          <cell r="U20">
            <v>19572</v>
          </cell>
          <cell r="V20">
            <v>19733</v>
          </cell>
          <cell r="W20">
            <v>24</v>
          </cell>
          <cell r="X20">
            <v>19752</v>
          </cell>
          <cell r="AA20">
            <v>12365</v>
          </cell>
        </row>
        <row r="21">
          <cell r="U21">
            <v>19372</v>
          </cell>
          <cell r="V21">
            <v>19533</v>
          </cell>
          <cell r="W21">
            <v>24</v>
          </cell>
          <cell r="X21">
            <v>19552</v>
          </cell>
          <cell r="AA21">
            <v>12360</v>
          </cell>
        </row>
        <row r="22">
          <cell r="U22">
            <v>19172</v>
          </cell>
          <cell r="V22">
            <v>19333</v>
          </cell>
          <cell r="W22">
            <v>24</v>
          </cell>
          <cell r="X22">
            <v>19352</v>
          </cell>
          <cell r="AA22">
            <v>12355</v>
          </cell>
        </row>
        <row r="23">
          <cell r="U23">
            <v>18972</v>
          </cell>
          <cell r="V23">
            <v>19133</v>
          </cell>
          <cell r="W23">
            <v>24</v>
          </cell>
          <cell r="X23">
            <v>19152</v>
          </cell>
          <cell r="AA23">
            <v>12355</v>
          </cell>
        </row>
        <row r="24">
          <cell r="U24">
            <v>18772</v>
          </cell>
          <cell r="V24">
            <v>18933</v>
          </cell>
          <cell r="W24">
            <v>24</v>
          </cell>
          <cell r="X24">
            <v>18952</v>
          </cell>
          <cell r="AA24">
            <v>12348</v>
          </cell>
        </row>
        <row r="25">
          <cell r="U25">
            <v>18571</v>
          </cell>
          <cell r="V25">
            <v>18733</v>
          </cell>
          <cell r="W25">
            <v>24</v>
          </cell>
          <cell r="X25">
            <v>18752</v>
          </cell>
          <cell r="AA25">
            <v>12341</v>
          </cell>
        </row>
        <row r="26">
          <cell r="U26">
            <v>18371</v>
          </cell>
          <cell r="V26">
            <v>18532</v>
          </cell>
          <cell r="W26">
            <v>24</v>
          </cell>
          <cell r="X26">
            <v>18551</v>
          </cell>
          <cell r="AA26">
            <v>12335</v>
          </cell>
        </row>
        <row r="27">
          <cell r="U27">
            <v>18171</v>
          </cell>
          <cell r="V27">
            <v>18332</v>
          </cell>
          <cell r="W27">
            <v>24</v>
          </cell>
          <cell r="X27">
            <v>18351</v>
          </cell>
          <cell r="AA27">
            <v>12334</v>
          </cell>
        </row>
        <row r="28">
          <cell r="U28">
            <v>17971</v>
          </cell>
          <cell r="V28">
            <v>18132</v>
          </cell>
          <cell r="W28">
            <v>24</v>
          </cell>
          <cell r="X28">
            <v>18151</v>
          </cell>
          <cell r="AA28">
            <v>12335</v>
          </cell>
        </row>
        <row r="29">
          <cell r="U29">
            <v>17771</v>
          </cell>
          <cell r="V29">
            <v>17932</v>
          </cell>
          <cell r="W29">
            <v>24</v>
          </cell>
          <cell r="X29">
            <v>17951</v>
          </cell>
          <cell r="AA29">
            <v>12335</v>
          </cell>
        </row>
        <row r="30">
          <cell r="U30">
            <v>17571</v>
          </cell>
          <cell r="V30">
            <v>17732</v>
          </cell>
          <cell r="W30">
            <v>24</v>
          </cell>
          <cell r="X30">
            <v>17751</v>
          </cell>
          <cell r="AA30">
            <v>12332</v>
          </cell>
        </row>
        <row r="31">
          <cell r="U31">
            <v>17371</v>
          </cell>
          <cell r="V31">
            <v>17532</v>
          </cell>
          <cell r="W31">
            <v>24</v>
          </cell>
          <cell r="X31">
            <v>17551</v>
          </cell>
          <cell r="AA31">
            <v>12322</v>
          </cell>
        </row>
        <row r="32">
          <cell r="U32">
            <v>17171</v>
          </cell>
          <cell r="V32">
            <v>17332</v>
          </cell>
          <cell r="W32">
            <v>24</v>
          </cell>
          <cell r="X32">
            <v>17351</v>
          </cell>
          <cell r="AA32">
            <v>12320</v>
          </cell>
        </row>
        <row r="33">
          <cell r="U33">
            <v>16970</v>
          </cell>
          <cell r="V33">
            <v>17132</v>
          </cell>
          <cell r="W33">
            <v>24</v>
          </cell>
          <cell r="X33">
            <v>17151</v>
          </cell>
          <cell r="AA33">
            <v>12317</v>
          </cell>
        </row>
        <row r="34">
          <cell r="U34">
            <v>16770</v>
          </cell>
          <cell r="V34">
            <v>16931</v>
          </cell>
          <cell r="W34">
            <v>24</v>
          </cell>
          <cell r="X34">
            <v>16950</v>
          </cell>
          <cell r="AA34">
            <v>12323</v>
          </cell>
        </row>
        <row r="35">
          <cell r="E35" t="str">
            <v>100 Mesh</v>
          </cell>
          <cell r="U35">
            <v>16570</v>
          </cell>
          <cell r="V35">
            <v>16731</v>
          </cell>
          <cell r="W35">
            <v>24</v>
          </cell>
          <cell r="X35">
            <v>16750</v>
          </cell>
          <cell r="AA35">
            <v>12340</v>
          </cell>
        </row>
        <row r="36">
          <cell r="E36">
            <v>0</v>
          </cell>
          <cell r="U36">
            <v>16370</v>
          </cell>
          <cell r="V36">
            <v>16531</v>
          </cell>
          <cell r="W36">
            <v>24</v>
          </cell>
          <cell r="X36">
            <v>16550</v>
          </cell>
          <cell r="AA36">
            <v>12341</v>
          </cell>
        </row>
        <row r="37">
          <cell r="E37">
            <v>0</v>
          </cell>
          <cell r="U37">
            <v>16170</v>
          </cell>
          <cell r="V37">
            <v>16331</v>
          </cell>
          <cell r="W37">
            <v>24</v>
          </cell>
          <cell r="X37">
            <v>16350</v>
          </cell>
          <cell r="AA37">
            <v>12337</v>
          </cell>
        </row>
        <row r="38">
          <cell r="U38">
            <v>15970</v>
          </cell>
          <cell r="V38">
            <v>16131</v>
          </cell>
          <cell r="W38">
            <v>24</v>
          </cell>
          <cell r="X38">
            <v>16150</v>
          </cell>
          <cell r="AA38">
            <v>12334</v>
          </cell>
        </row>
        <row r="39">
          <cell r="U39">
            <v>15770</v>
          </cell>
          <cell r="V39">
            <v>15931</v>
          </cell>
          <cell r="W39">
            <v>24</v>
          </cell>
          <cell r="X39">
            <v>15950</v>
          </cell>
          <cell r="AA39">
            <v>12326</v>
          </cell>
        </row>
        <row r="40">
          <cell r="U40">
            <v>15570</v>
          </cell>
          <cell r="V40">
            <v>15731</v>
          </cell>
          <cell r="W40">
            <v>24</v>
          </cell>
          <cell r="X40">
            <v>15750</v>
          </cell>
          <cell r="AA40">
            <v>12327</v>
          </cell>
        </row>
        <row r="41">
          <cell r="E41" t="str">
            <v>15% HCl Acid</v>
          </cell>
          <cell r="U41">
            <v>15370</v>
          </cell>
          <cell r="V41">
            <v>15331</v>
          </cell>
          <cell r="W41">
            <v>24</v>
          </cell>
          <cell r="X41">
            <v>15550</v>
          </cell>
          <cell r="AA41">
            <v>12327</v>
          </cell>
        </row>
        <row r="42">
          <cell r="E42" t="str">
            <v>Slickwater</v>
          </cell>
          <cell r="U42">
            <v>15169</v>
          </cell>
          <cell r="V42">
            <v>15331</v>
          </cell>
          <cell r="W42">
            <v>24</v>
          </cell>
          <cell r="X42">
            <v>15350</v>
          </cell>
          <cell r="AA42">
            <v>12326</v>
          </cell>
        </row>
        <row r="43">
          <cell r="E43" t="str">
            <v>Pump Down</v>
          </cell>
          <cell r="U43">
            <v>14969</v>
          </cell>
          <cell r="V43">
            <v>15130</v>
          </cell>
          <cell r="W43">
            <v>24</v>
          </cell>
          <cell r="X43">
            <v>15149</v>
          </cell>
          <cell r="AA43">
            <v>12323</v>
          </cell>
        </row>
        <row r="44">
          <cell r="U44">
            <v>14769</v>
          </cell>
          <cell r="V44">
            <v>14930</v>
          </cell>
          <cell r="W44">
            <v>24</v>
          </cell>
          <cell r="X44">
            <v>14949</v>
          </cell>
          <cell r="AA44">
            <v>12309</v>
          </cell>
        </row>
        <row r="45">
          <cell r="U45">
            <v>14569</v>
          </cell>
          <cell r="V45">
            <v>14730</v>
          </cell>
          <cell r="W45">
            <v>24</v>
          </cell>
          <cell r="X45">
            <v>14749</v>
          </cell>
          <cell r="AA45">
            <v>12297</v>
          </cell>
        </row>
        <row r="46">
          <cell r="U46">
            <v>14369</v>
          </cell>
          <cell r="V46">
            <v>14530</v>
          </cell>
          <cell r="W46">
            <v>24</v>
          </cell>
          <cell r="X46">
            <v>14549</v>
          </cell>
          <cell r="AA46">
            <v>12295</v>
          </cell>
        </row>
        <row r="47">
          <cell r="U47">
            <v>14169</v>
          </cell>
          <cell r="V47">
            <v>14330</v>
          </cell>
          <cell r="W47">
            <v>24</v>
          </cell>
          <cell r="X47">
            <v>14349</v>
          </cell>
          <cell r="AA47">
            <v>12288</v>
          </cell>
        </row>
        <row r="48">
          <cell r="U48">
            <v>13969</v>
          </cell>
          <cell r="V48">
            <v>14130</v>
          </cell>
          <cell r="W48">
            <v>24</v>
          </cell>
          <cell r="X48">
            <v>14149</v>
          </cell>
          <cell r="AA48">
            <v>12275</v>
          </cell>
        </row>
        <row r="49">
          <cell r="U49">
            <v>13769</v>
          </cell>
          <cell r="V49">
            <v>13930</v>
          </cell>
          <cell r="W49">
            <v>24</v>
          </cell>
          <cell r="X49">
            <v>13949</v>
          </cell>
          <cell r="AA49">
            <v>12288</v>
          </cell>
        </row>
        <row r="50">
          <cell r="U50">
            <v>13568</v>
          </cell>
          <cell r="V50">
            <v>13730</v>
          </cell>
          <cell r="W50">
            <v>24</v>
          </cell>
          <cell r="X50">
            <v>13749</v>
          </cell>
          <cell r="AA50">
            <v>12285</v>
          </cell>
        </row>
        <row r="51">
          <cell r="U51">
            <v>13368</v>
          </cell>
          <cell r="V51">
            <v>13529</v>
          </cell>
          <cell r="W51">
            <v>24</v>
          </cell>
          <cell r="X51">
            <v>13548</v>
          </cell>
          <cell r="AA51">
            <v>12291</v>
          </cell>
        </row>
        <row r="52">
          <cell r="U52">
            <v>13168</v>
          </cell>
          <cell r="V52">
            <v>13329</v>
          </cell>
          <cell r="W52">
            <v>24</v>
          </cell>
          <cell r="X52">
            <v>13348</v>
          </cell>
          <cell r="AA52">
            <v>12303</v>
          </cell>
        </row>
        <row r="53">
          <cell r="U53">
            <v>12968</v>
          </cell>
          <cell r="V53">
            <v>13129</v>
          </cell>
          <cell r="W53">
            <v>24</v>
          </cell>
          <cell r="X53">
            <v>13148</v>
          </cell>
          <cell r="AA53">
            <v>12312</v>
          </cell>
        </row>
        <row r="54">
          <cell r="U54">
            <v>12768</v>
          </cell>
          <cell r="V54">
            <v>12929</v>
          </cell>
          <cell r="W54">
            <v>24</v>
          </cell>
          <cell r="X54">
            <v>12948</v>
          </cell>
          <cell r="AA54">
            <v>12308</v>
          </cell>
        </row>
      </sheetData>
      <sheetData sheetId="60"/>
      <sheetData sheetId="61"/>
      <sheetData sheetId="62"/>
      <sheetData sheetId="63"/>
      <sheetData sheetId="64"/>
      <sheetData sheetId="65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Checklist"/>
      <sheetName val="Rig Up"/>
      <sheetName val="Base Fluid"/>
      <sheetName val="Base Gel"/>
      <sheetName val="Break Tests"/>
      <sheetName val="Stage 1"/>
      <sheetName val="Stage 2"/>
      <sheetName val="Stage 3"/>
      <sheetName val="Stage 4"/>
      <sheetName val="Stage 5"/>
      <sheetName val="Stage 6"/>
      <sheetName val="Stage 7"/>
      <sheetName val="Stage 8"/>
      <sheetName val="Stage 9"/>
      <sheetName val="Stage 10"/>
      <sheetName val="Stage 11"/>
      <sheetName val="Stage 12"/>
      <sheetName val="Stage 13"/>
      <sheetName val="Stage 14"/>
      <sheetName val="Stage 15"/>
      <sheetName val="Stage 16"/>
      <sheetName val="Stage 17"/>
      <sheetName val="Stage 18"/>
      <sheetName val="Stage 19"/>
      <sheetName val="Stage 20"/>
      <sheetName val="Stage 21"/>
      <sheetName val="Stage 22"/>
      <sheetName val="Stage 23"/>
      <sheetName val="Stage 24"/>
      <sheetName val="Stage 25"/>
      <sheetName val="Stage 26"/>
      <sheetName val="Stage 27"/>
      <sheetName val="Stage 28"/>
      <sheetName val="Stage 29"/>
      <sheetName val="Stage 30"/>
      <sheetName val="Stage 31"/>
      <sheetName val="Stage 32"/>
      <sheetName val="Stage 33"/>
      <sheetName val="Stage 34"/>
      <sheetName val="Stage 35"/>
      <sheetName val="Stage 36"/>
      <sheetName val="Stage 37"/>
      <sheetName val="Stage 38"/>
      <sheetName val="Stage 39"/>
      <sheetName val="Set Up"/>
      <sheetName val="Treatment Summary"/>
      <sheetName val="Variance"/>
      <sheetName val="Chem Reference"/>
      <sheetName val="Pipe Reference"/>
      <sheetName val="Prop Referen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>
        <row r="1">
          <cell r="R1" t="str">
            <v>Max Pressure, psi</v>
          </cell>
          <cell r="V1" t="str">
            <v>Bot Perf</v>
          </cell>
          <cell r="W1" t="str">
            <v>No. Perfs</v>
          </cell>
          <cell r="X1" t="str">
            <v>Plug</v>
          </cell>
          <cell r="AA1" t="str">
            <v>TVD</v>
          </cell>
        </row>
        <row r="2">
          <cell r="U2">
            <v>19965</v>
          </cell>
          <cell r="V2">
            <v>20126</v>
          </cell>
          <cell r="W2">
            <v>24</v>
          </cell>
          <cell r="X2">
            <v>20145</v>
          </cell>
          <cell r="AA2">
            <v>12047</v>
          </cell>
        </row>
        <row r="3">
          <cell r="U3">
            <v>19765</v>
          </cell>
          <cell r="V3">
            <v>19926</v>
          </cell>
          <cell r="W3">
            <v>24</v>
          </cell>
          <cell r="X3">
            <v>19945</v>
          </cell>
          <cell r="AA3">
            <v>12044</v>
          </cell>
        </row>
        <row r="4">
          <cell r="U4">
            <v>19565</v>
          </cell>
          <cell r="V4">
            <v>19726</v>
          </cell>
          <cell r="W4">
            <v>24</v>
          </cell>
          <cell r="X4">
            <v>19745</v>
          </cell>
          <cell r="AA4">
            <v>12042</v>
          </cell>
        </row>
        <row r="5">
          <cell r="E5" t="str">
            <v>Anadarko Petroleum Corporation</v>
          </cell>
          <cell r="U5">
            <v>19364</v>
          </cell>
          <cell r="V5">
            <v>19526</v>
          </cell>
          <cell r="W5">
            <v>24</v>
          </cell>
          <cell r="X5">
            <v>19545</v>
          </cell>
          <cell r="AA5">
            <v>12040</v>
          </cell>
        </row>
        <row r="6">
          <cell r="E6" t="str">
            <v>Matt Jones</v>
          </cell>
          <cell r="J6" t="str">
            <v>Hot</v>
          </cell>
          <cell r="U6">
            <v>19164</v>
          </cell>
          <cell r="V6">
            <v>19325</v>
          </cell>
          <cell r="W6">
            <v>24</v>
          </cell>
          <cell r="X6">
            <v>19344</v>
          </cell>
          <cell r="AA6">
            <v>12038</v>
          </cell>
        </row>
        <row r="7">
          <cell r="E7" t="str">
            <v>Silvertip 76-7 Unit B 3H</v>
          </cell>
          <cell r="U7">
            <v>18964</v>
          </cell>
          <cell r="V7">
            <v>19125</v>
          </cell>
          <cell r="W7">
            <v>24</v>
          </cell>
          <cell r="X7">
            <v>19144</v>
          </cell>
          <cell r="AA7">
            <v>12037</v>
          </cell>
        </row>
        <row r="8">
          <cell r="E8" t="str">
            <v>Loving County, TX</v>
          </cell>
          <cell r="U8">
            <v>18764</v>
          </cell>
          <cell r="V8">
            <v>18925</v>
          </cell>
          <cell r="W8">
            <v>24</v>
          </cell>
          <cell r="X8">
            <v>18944</v>
          </cell>
          <cell r="AA8">
            <v>12036</v>
          </cell>
        </row>
        <row r="9">
          <cell r="E9" t="str">
            <v>Wolfcamp Alpha W1</v>
          </cell>
          <cell r="U9">
            <v>18564</v>
          </cell>
          <cell r="V9">
            <v>18725</v>
          </cell>
          <cell r="W9">
            <v>24</v>
          </cell>
          <cell r="X9">
            <v>18744</v>
          </cell>
          <cell r="AA9">
            <v>12032</v>
          </cell>
        </row>
        <row r="10">
          <cell r="E10" t="str">
            <v>PumpCo 3</v>
          </cell>
          <cell r="R10" t="str">
            <v>Job Type</v>
          </cell>
          <cell r="U10">
            <v>18363</v>
          </cell>
          <cell r="V10">
            <v>18525</v>
          </cell>
          <cell r="W10">
            <v>24</v>
          </cell>
          <cell r="X10">
            <v>18544</v>
          </cell>
          <cell r="AA10">
            <v>12030</v>
          </cell>
        </row>
        <row r="11">
          <cell r="E11" t="str">
            <v>Odessa</v>
          </cell>
          <cell r="U11">
            <v>18163</v>
          </cell>
          <cell r="V11">
            <v>18324</v>
          </cell>
          <cell r="W11">
            <v>24</v>
          </cell>
          <cell r="X11">
            <v>18343</v>
          </cell>
          <cell r="AA11">
            <v>12029</v>
          </cell>
        </row>
        <row r="12">
          <cell r="U12">
            <v>17963</v>
          </cell>
          <cell r="V12">
            <v>18124</v>
          </cell>
          <cell r="W12">
            <v>24</v>
          </cell>
          <cell r="X12">
            <v>18143</v>
          </cell>
          <cell r="AA12">
            <v>12028</v>
          </cell>
        </row>
        <row r="13">
          <cell r="U13">
            <v>17763</v>
          </cell>
          <cell r="V13">
            <v>17924</v>
          </cell>
          <cell r="W13">
            <v>24</v>
          </cell>
          <cell r="X13">
            <v>17943</v>
          </cell>
          <cell r="AA13">
            <v>12028</v>
          </cell>
        </row>
        <row r="14">
          <cell r="E14" t="str">
            <v>OD</v>
          </cell>
          <cell r="F14" t="str">
            <v>Weight</v>
          </cell>
          <cell r="H14" t="str">
            <v>Grade</v>
          </cell>
          <cell r="K14" t="str">
            <v>Length</v>
          </cell>
          <cell r="U14">
            <v>17563</v>
          </cell>
          <cell r="V14">
            <v>17724</v>
          </cell>
          <cell r="W14">
            <v>24</v>
          </cell>
          <cell r="X14">
            <v>17743</v>
          </cell>
          <cell r="AA14">
            <v>12028</v>
          </cell>
        </row>
        <row r="15">
          <cell r="E15" t="str">
            <v>7"</v>
          </cell>
          <cell r="F15">
            <v>29</v>
          </cell>
          <cell r="H15" t="str">
            <v>HCP-110</v>
          </cell>
          <cell r="J15">
            <v>8378</v>
          </cell>
          <cell r="K15">
            <v>8378</v>
          </cell>
          <cell r="N15">
            <v>3.7159405265755542E-2</v>
          </cell>
          <cell r="O15">
            <v>311.32149731649992</v>
          </cell>
          <cell r="U15">
            <v>17362</v>
          </cell>
          <cell r="V15">
            <v>17524</v>
          </cell>
          <cell r="W15">
            <v>24</v>
          </cell>
          <cell r="X15">
            <v>17543</v>
          </cell>
          <cell r="AA15">
            <v>12024</v>
          </cell>
        </row>
        <row r="16">
          <cell r="E16" t="str">
            <v>4-1/2"</v>
          </cell>
          <cell r="F16">
            <v>13.5</v>
          </cell>
          <cell r="H16" t="str">
            <v>P-110</v>
          </cell>
          <cell r="J16">
            <v>20202</v>
          </cell>
          <cell r="K16">
            <v>11824</v>
          </cell>
          <cell r="N16">
            <v>1.4931448020611394E-2</v>
          </cell>
          <cell r="O16">
            <v>176.54944139570912</v>
          </cell>
          <cell r="U16">
            <v>17162</v>
          </cell>
          <cell r="V16">
            <v>17323</v>
          </cell>
          <cell r="W16">
            <v>24</v>
          </cell>
          <cell r="X16">
            <v>17342</v>
          </cell>
          <cell r="AA16">
            <v>12023</v>
          </cell>
        </row>
        <row r="17">
          <cell r="E17" t="str">
            <v/>
          </cell>
          <cell r="F17" t="str">
            <v/>
          </cell>
          <cell r="H17" t="str">
            <v/>
          </cell>
          <cell r="K17" t="str">
            <v/>
          </cell>
          <cell r="N17" t="str">
            <v/>
          </cell>
          <cell r="O17" t="str">
            <v/>
          </cell>
          <cell r="U17">
            <v>16962</v>
          </cell>
          <cell r="V17">
            <v>17123</v>
          </cell>
          <cell r="W17">
            <v>24</v>
          </cell>
          <cell r="X17">
            <v>17142</v>
          </cell>
          <cell r="AA17">
            <v>12018</v>
          </cell>
        </row>
        <row r="18">
          <cell r="N18" t="str">
            <v/>
          </cell>
          <cell r="U18">
            <v>16762</v>
          </cell>
          <cell r="V18">
            <v>16923</v>
          </cell>
          <cell r="W18">
            <v>24</v>
          </cell>
          <cell r="X18">
            <v>16942</v>
          </cell>
          <cell r="AA18">
            <v>12015</v>
          </cell>
        </row>
        <row r="19">
          <cell r="U19">
            <v>15561</v>
          </cell>
          <cell r="V19">
            <v>16723</v>
          </cell>
          <cell r="W19">
            <v>24</v>
          </cell>
          <cell r="X19">
            <v>16742</v>
          </cell>
          <cell r="AA19">
            <v>12014</v>
          </cell>
        </row>
        <row r="20">
          <cell r="U20">
            <v>16361</v>
          </cell>
          <cell r="V20">
            <v>16522</v>
          </cell>
          <cell r="W20">
            <v>24</v>
          </cell>
          <cell r="X20">
            <v>16541</v>
          </cell>
          <cell r="AA20">
            <v>12012</v>
          </cell>
        </row>
        <row r="21">
          <cell r="U21">
            <v>16161</v>
          </cell>
          <cell r="V21">
            <v>16322</v>
          </cell>
          <cell r="W21">
            <v>24</v>
          </cell>
          <cell r="X21">
            <v>16341</v>
          </cell>
          <cell r="AA21">
            <v>12011</v>
          </cell>
        </row>
        <row r="22">
          <cell r="U22">
            <v>15961</v>
          </cell>
          <cell r="V22">
            <v>16122</v>
          </cell>
          <cell r="W22">
            <v>24</v>
          </cell>
          <cell r="X22">
            <v>16141</v>
          </cell>
          <cell r="AA22">
            <v>12007</v>
          </cell>
        </row>
        <row r="23">
          <cell r="U23">
            <v>15761</v>
          </cell>
          <cell r="V23">
            <v>15922</v>
          </cell>
          <cell r="W23">
            <v>24</v>
          </cell>
          <cell r="X23">
            <v>15941</v>
          </cell>
          <cell r="AA23">
            <v>11998</v>
          </cell>
        </row>
        <row r="24">
          <cell r="U24">
            <v>15560</v>
          </cell>
          <cell r="V24">
            <v>15722</v>
          </cell>
          <cell r="W24">
            <v>24</v>
          </cell>
          <cell r="X24">
            <v>15741</v>
          </cell>
          <cell r="AA24">
            <v>11997</v>
          </cell>
        </row>
        <row r="25">
          <cell r="U25">
            <v>15360</v>
          </cell>
          <cell r="V25">
            <v>15521</v>
          </cell>
          <cell r="W25">
            <v>24</v>
          </cell>
          <cell r="X25">
            <v>15540</v>
          </cell>
          <cell r="AA25">
            <v>11992</v>
          </cell>
        </row>
        <row r="26">
          <cell r="U26">
            <v>15160</v>
          </cell>
          <cell r="V26">
            <v>15321</v>
          </cell>
          <cell r="W26">
            <v>24</v>
          </cell>
          <cell r="X26">
            <v>15340</v>
          </cell>
          <cell r="AA26">
            <v>11989</v>
          </cell>
        </row>
        <row r="27">
          <cell r="U27">
            <v>14960</v>
          </cell>
          <cell r="V27">
            <v>15121</v>
          </cell>
          <cell r="W27">
            <v>24</v>
          </cell>
          <cell r="X27">
            <v>15140</v>
          </cell>
          <cell r="AA27">
            <v>11988</v>
          </cell>
        </row>
        <row r="28">
          <cell r="U28">
            <v>14760</v>
          </cell>
          <cell r="V28">
            <v>14921</v>
          </cell>
          <cell r="W28">
            <v>24</v>
          </cell>
          <cell r="X28">
            <v>14940</v>
          </cell>
          <cell r="AA28">
            <v>11988</v>
          </cell>
        </row>
        <row r="29">
          <cell r="U29">
            <v>14559</v>
          </cell>
          <cell r="V29">
            <v>14721</v>
          </cell>
          <cell r="W29">
            <v>24</v>
          </cell>
          <cell r="X29">
            <v>14740</v>
          </cell>
          <cell r="AA29">
            <v>11986</v>
          </cell>
        </row>
        <row r="30">
          <cell r="U30">
            <v>14359</v>
          </cell>
          <cell r="V30">
            <v>14520</v>
          </cell>
          <cell r="W30">
            <v>24</v>
          </cell>
          <cell r="X30">
            <v>14539</v>
          </cell>
          <cell r="AA30">
            <v>11979</v>
          </cell>
        </row>
        <row r="31">
          <cell r="U31">
            <v>14159</v>
          </cell>
          <cell r="V31">
            <v>14320</v>
          </cell>
          <cell r="W31">
            <v>24</v>
          </cell>
          <cell r="X31">
            <v>14339</v>
          </cell>
          <cell r="AA31">
            <v>11973</v>
          </cell>
        </row>
        <row r="32">
          <cell r="U32">
            <v>13959</v>
          </cell>
          <cell r="V32">
            <v>14120</v>
          </cell>
          <cell r="W32">
            <v>24</v>
          </cell>
          <cell r="X32">
            <v>14139</v>
          </cell>
          <cell r="AA32">
            <v>11970</v>
          </cell>
        </row>
        <row r="33">
          <cell r="U33">
            <v>13758</v>
          </cell>
          <cell r="V33">
            <v>13920</v>
          </cell>
          <cell r="W33">
            <v>24</v>
          </cell>
          <cell r="X33">
            <v>13939</v>
          </cell>
          <cell r="AA33">
            <v>11967</v>
          </cell>
        </row>
        <row r="34">
          <cell r="U34">
            <v>13558</v>
          </cell>
          <cell r="V34">
            <v>13719</v>
          </cell>
          <cell r="W34">
            <v>24</v>
          </cell>
          <cell r="X34">
            <v>13738</v>
          </cell>
          <cell r="AA34">
            <v>11962</v>
          </cell>
        </row>
        <row r="35">
          <cell r="E35" t="str">
            <v>100 Mesh</v>
          </cell>
          <cell r="U35">
            <v>13358</v>
          </cell>
          <cell r="V35">
            <v>13519</v>
          </cell>
          <cell r="W35">
            <v>24</v>
          </cell>
          <cell r="X35">
            <v>13538</v>
          </cell>
          <cell r="AA35">
            <v>11960</v>
          </cell>
        </row>
        <row r="36">
          <cell r="E36">
            <v>0</v>
          </cell>
          <cell r="U36">
            <v>13158</v>
          </cell>
          <cell r="V36">
            <v>13319</v>
          </cell>
          <cell r="W36">
            <v>24</v>
          </cell>
          <cell r="X36">
            <v>13338</v>
          </cell>
          <cell r="AA36">
            <v>11960</v>
          </cell>
        </row>
        <row r="37">
          <cell r="E37">
            <v>0</v>
          </cell>
          <cell r="U37">
            <v>12958</v>
          </cell>
          <cell r="V37">
            <v>13119</v>
          </cell>
          <cell r="W37">
            <v>24</v>
          </cell>
          <cell r="X37">
            <v>13138</v>
          </cell>
          <cell r="AA37">
            <v>11957</v>
          </cell>
        </row>
        <row r="38">
          <cell r="U38">
            <v>12757</v>
          </cell>
          <cell r="V38">
            <v>12919</v>
          </cell>
          <cell r="W38">
            <v>24</v>
          </cell>
          <cell r="X38">
            <v>12938</v>
          </cell>
          <cell r="AA38">
            <v>11955</v>
          </cell>
        </row>
        <row r="39">
          <cell r="U39">
            <v>12557</v>
          </cell>
          <cell r="V39">
            <v>12718</v>
          </cell>
          <cell r="W39">
            <v>24</v>
          </cell>
          <cell r="X39">
            <v>12737</v>
          </cell>
          <cell r="AA39">
            <v>11950</v>
          </cell>
        </row>
        <row r="40">
          <cell r="U40">
            <v>12357</v>
          </cell>
        </row>
        <row r="41">
          <cell r="E41" t="str">
            <v>15% HCl Acid</v>
          </cell>
        </row>
        <row r="42">
          <cell r="E42" t="str">
            <v>Slickwater</v>
          </cell>
        </row>
        <row r="43">
          <cell r="E43" t="str">
            <v>Pump Down</v>
          </cell>
        </row>
        <row r="51">
          <cell r="E51" t="str">
            <v>Plexslick 957, gal</v>
          </cell>
        </row>
        <row r="52">
          <cell r="E52" t="str">
            <v>Chemplex 4-N-1, gal</v>
          </cell>
        </row>
        <row r="53">
          <cell r="E53" t="str">
            <v>Payzone 845, gal</v>
          </cell>
        </row>
        <row r="54">
          <cell r="E54" t="str">
            <v>Payzone 850, gal</v>
          </cell>
        </row>
        <row r="55">
          <cell r="E55" t="str">
            <v>Payzone 217, gal</v>
          </cell>
        </row>
        <row r="56">
          <cell r="E56" t="str">
            <v>Stim741 Gel, gal</v>
          </cell>
        </row>
      </sheetData>
      <sheetData sheetId="46"/>
      <sheetData sheetId="47"/>
      <sheetData sheetId="48"/>
      <sheetData sheetId="49"/>
      <sheetData sheetId="5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9FE92-DEDE-4BF1-98B8-7A298BCAC9B4}">
  <dimension ref="A1"/>
  <sheetViews>
    <sheetView workbookViewId="0">
      <selection activeCell="P22" sqref="P22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Z58"/>
  <sheetViews>
    <sheetView tabSelected="1" workbookViewId="0">
      <selection activeCell="E31" sqref="E31"/>
    </sheetView>
  </sheetViews>
  <sheetFormatPr defaultRowHeight="14.5" x14ac:dyDescent="0.35"/>
  <cols>
    <col min="1" max="1" width="21.1796875" bestFit="1" customWidth="1"/>
    <col min="2" max="2" width="17.81640625" bestFit="1" customWidth="1"/>
    <col min="3" max="4" width="7.453125" bestFit="1" customWidth="1"/>
    <col min="5" max="5" width="9.54296875" bestFit="1" customWidth="1"/>
    <col min="6" max="7" width="7.453125" bestFit="1" customWidth="1"/>
    <col min="8" max="8" width="8.1796875" bestFit="1" customWidth="1"/>
    <col min="9" max="9" width="7.453125" bestFit="1" customWidth="1"/>
    <col min="10" max="10" width="8" bestFit="1" customWidth="1"/>
    <col min="11" max="55" width="7.453125" bestFit="1" customWidth="1"/>
    <col min="56" max="77" width="3.1796875" bestFit="1" customWidth="1"/>
    <col min="78" max="78" width="9.81640625" bestFit="1" customWidth="1"/>
  </cols>
  <sheetData>
    <row r="1" spans="1:78" ht="24" thickTop="1" x14ac:dyDescent="0.35">
      <c r="A1" s="198"/>
      <c r="B1" s="199"/>
      <c r="C1" s="199"/>
      <c r="D1" s="199"/>
      <c r="E1" s="200" t="s">
        <v>0</v>
      </c>
      <c r="F1" s="199"/>
      <c r="G1" s="199"/>
      <c r="H1" s="199"/>
      <c r="I1" s="199"/>
      <c r="J1" s="199"/>
      <c r="K1" s="201"/>
      <c r="L1" s="202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2"/>
    </row>
    <row r="2" spans="1:78" x14ac:dyDescent="0.35">
      <c r="A2" s="3" t="s">
        <v>1</v>
      </c>
      <c r="B2" s="188" t="str">
        <f>'[1]Set Up'!E5</f>
        <v>Anadarko Petroleum Corporation</v>
      </c>
      <c r="C2" s="207"/>
      <c r="D2" s="208"/>
      <c r="E2" s="4" t="s">
        <v>2</v>
      </c>
      <c r="F2" s="209" t="str">
        <f>'[1]Set Up'!E9</f>
        <v>Wolfcamp Upper Delta</v>
      </c>
      <c r="G2" s="210"/>
      <c r="H2" s="5">
        <f>'[1]Set Up'!K15</f>
        <v>12244</v>
      </c>
      <c r="I2" s="6" t="str">
        <f>'[1]Set Up'!E15</f>
        <v>5-1/2"</v>
      </c>
      <c r="J2" s="7">
        <f>'[1]Set Up'!F15</f>
        <v>23</v>
      </c>
      <c r="K2" s="6" t="str">
        <f>'[1]Set Up'!H15</f>
        <v>P-110</v>
      </c>
      <c r="L2" s="204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8"/>
    </row>
    <row r="3" spans="1:78" x14ac:dyDescent="0.35">
      <c r="A3" s="3" t="s">
        <v>3</v>
      </c>
      <c r="B3" s="188" t="str">
        <f>'[1]Set Up'!E7</f>
        <v>SilverTip 76-7 Unit A 1H</v>
      </c>
      <c r="C3" s="207"/>
      <c r="D3" s="208"/>
      <c r="E3" s="4" t="s">
        <v>4</v>
      </c>
      <c r="F3" s="209" t="str">
        <f>'[1]Set Up'!J7</f>
        <v>2121783.CMP</v>
      </c>
      <c r="G3" s="210"/>
      <c r="H3" s="5">
        <f>'[1]Set Up'!K16</f>
        <v>11239</v>
      </c>
      <c r="I3" s="6" t="str">
        <f>'[1]Set Up'!E16</f>
        <v>4-1/2"</v>
      </c>
      <c r="J3" s="7">
        <f>'[1]Set Up'!F16</f>
        <v>13.5</v>
      </c>
      <c r="K3" s="6" t="str">
        <f>'[1]Set Up'!H16</f>
        <v>P-110</v>
      </c>
      <c r="L3" s="204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8"/>
    </row>
    <row r="4" spans="1:78" x14ac:dyDescent="0.35">
      <c r="A4" s="3" t="s">
        <v>5</v>
      </c>
      <c r="B4" s="188" t="str">
        <f>'[1]Set Up'!E6</f>
        <v>Allie Lay</v>
      </c>
      <c r="C4" s="207"/>
      <c r="D4" s="208"/>
      <c r="E4" s="4" t="s">
        <v>6</v>
      </c>
      <c r="F4" s="211">
        <f>'[1]Set Up'!R2</f>
        <v>12500</v>
      </c>
      <c r="G4" s="212"/>
      <c r="H4" s="5" t="str">
        <f>'[1]Set Up'!K17</f>
        <v/>
      </c>
      <c r="I4" s="6" t="str">
        <f>'[1]Set Up'!E17</f>
        <v/>
      </c>
      <c r="J4" s="7" t="str">
        <f>'[1]Set Up'!F17</f>
        <v/>
      </c>
      <c r="K4" s="6" t="str">
        <f>'[1]Set Up'!H17</f>
        <v/>
      </c>
      <c r="L4" s="204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9"/>
    </row>
    <row r="5" spans="1:78" ht="20" customHeight="1" x14ac:dyDescent="0.35">
      <c r="A5" s="3" t="s">
        <v>7</v>
      </c>
      <c r="B5" s="188" t="str">
        <f>'[1]Set Up'!E8</f>
        <v>Loving County Tx</v>
      </c>
      <c r="C5" s="207"/>
      <c r="D5" s="208"/>
      <c r="E5" s="10" t="s">
        <v>8</v>
      </c>
      <c r="F5" s="186" t="str">
        <f>'[1]Set Up'!R11</f>
        <v>53-Stage SW Plug &amp; Perf</v>
      </c>
      <c r="G5" s="187"/>
      <c r="H5" s="5" t="str">
        <f>'[1]Set Up'!K18</f>
        <v/>
      </c>
      <c r="I5" s="6" t="str">
        <f>'[1]Set Up'!E18</f>
        <v/>
      </c>
      <c r="J5" s="7" t="str">
        <f>'[1]Set Up'!F18</f>
        <v/>
      </c>
      <c r="K5" s="6" t="str">
        <f>'[1]Set Up'!H18</f>
        <v/>
      </c>
      <c r="L5" s="204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8"/>
    </row>
    <row r="6" spans="1:78" x14ac:dyDescent="0.35">
      <c r="A6" s="3" t="s">
        <v>9</v>
      </c>
      <c r="B6" s="188" t="str">
        <f>'[1]Set Up'!E10</f>
        <v>PumpCo 2</v>
      </c>
      <c r="C6" s="189"/>
      <c r="D6" s="189"/>
      <c r="E6" s="190"/>
      <c r="F6" s="191" t="str">
        <f>'[1]Set Up'!E11</f>
        <v>Odessa</v>
      </c>
      <c r="G6" s="192"/>
      <c r="H6" s="193"/>
      <c r="I6" s="191" t="str">
        <f>'[1]Set Up'!E12</f>
        <v xml:space="preserve">Julian Weaver/ Jarvis Weaver </v>
      </c>
      <c r="J6" s="192"/>
      <c r="K6" s="193"/>
      <c r="L6" s="205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3"/>
    </row>
    <row r="7" spans="1:78" ht="15" thickBot="1" x14ac:dyDescent="0.4">
      <c r="A7" s="14" t="s">
        <v>10</v>
      </c>
      <c r="B7" s="15" t="s">
        <v>11</v>
      </c>
      <c r="C7" s="15">
        <v>1</v>
      </c>
      <c r="D7" s="15">
        <v>2</v>
      </c>
      <c r="E7" s="15">
        <v>3</v>
      </c>
      <c r="F7" s="16">
        <v>4</v>
      </c>
      <c r="G7" s="15">
        <v>5</v>
      </c>
      <c r="H7" s="15">
        <v>6</v>
      </c>
      <c r="I7" s="15">
        <v>7</v>
      </c>
      <c r="J7" s="15">
        <v>8</v>
      </c>
      <c r="K7" s="15">
        <v>9</v>
      </c>
      <c r="L7" s="15">
        <v>10</v>
      </c>
      <c r="M7" s="15">
        <v>11</v>
      </c>
      <c r="N7" s="15">
        <v>12</v>
      </c>
      <c r="O7" s="15">
        <v>13</v>
      </c>
      <c r="P7" s="15">
        <v>14</v>
      </c>
      <c r="Q7" s="15">
        <v>15</v>
      </c>
      <c r="R7" s="15">
        <v>16</v>
      </c>
      <c r="S7" s="15">
        <v>17</v>
      </c>
      <c r="T7" s="15">
        <v>18</v>
      </c>
      <c r="U7" s="15">
        <v>19</v>
      </c>
      <c r="V7" s="15">
        <v>20</v>
      </c>
      <c r="W7" s="15">
        <v>21</v>
      </c>
      <c r="X7" s="15">
        <v>22</v>
      </c>
      <c r="Y7" s="15">
        <v>23</v>
      </c>
      <c r="Z7" s="15">
        <v>24</v>
      </c>
      <c r="AA7" s="15">
        <v>25</v>
      </c>
      <c r="AB7" s="15">
        <v>26</v>
      </c>
      <c r="AC7" s="15">
        <v>27</v>
      </c>
      <c r="AD7" s="15">
        <v>28</v>
      </c>
      <c r="AE7" s="15">
        <v>29</v>
      </c>
      <c r="AF7" s="15">
        <v>30</v>
      </c>
      <c r="AG7" s="15">
        <v>31</v>
      </c>
      <c r="AH7" s="15">
        <v>32</v>
      </c>
      <c r="AI7" s="15">
        <v>33</v>
      </c>
      <c r="AJ7" s="15">
        <v>34</v>
      </c>
      <c r="AK7" s="15">
        <v>35</v>
      </c>
      <c r="AL7" s="15">
        <v>36</v>
      </c>
      <c r="AM7" s="15">
        <v>37</v>
      </c>
      <c r="AN7" s="15">
        <v>38</v>
      </c>
      <c r="AO7" s="15">
        <v>39</v>
      </c>
      <c r="AP7" s="15">
        <v>40</v>
      </c>
      <c r="AQ7" s="15">
        <v>41</v>
      </c>
      <c r="AR7" s="15">
        <v>42</v>
      </c>
      <c r="AS7" s="15">
        <v>43</v>
      </c>
      <c r="AT7" s="15">
        <v>44</v>
      </c>
      <c r="AU7" s="15">
        <v>45</v>
      </c>
      <c r="AV7" s="15">
        <v>46</v>
      </c>
      <c r="AW7" s="15">
        <v>47</v>
      </c>
      <c r="AX7" s="15">
        <v>48</v>
      </c>
      <c r="AY7" s="15">
        <v>49</v>
      </c>
      <c r="AZ7" s="15">
        <v>50</v>
      </c>
      <c r="BA7" s="15">
        <v>51</v>
      </c>
      <c r="BB7" s="15">
        <v>52</v>
      </c>
      <c r="BC7" s="15">
        <v>53</v>
      </c>
      <c r="BD7" s="15">
        <v>54</v>
      </c>
      <c r="BE7" s="15">
        <v>55</v>
      </c>
      <c r="BF7" s="15">
        <v>56</v>
      </c>
      <c r="BG7" s="15">
        <v>57</v>
      </c>
      <c r="BH7" s="15">
        <v>58</v>
      </c>
      <c r="BI7" s="15">
        <v>59</v>
      </c>
      <c r="BJ7" s="15">
        <v>60</v>
      </c>
      <c r="BK7" s="15">
        <v>61</v>
      </c>
      <c r="BL7" s="15">
        <v>62</v>
      </c>
      <c r="BM7" s="15">
        <v>63</v>
      </c>
      <c r="BN7" s="15">
        <v>64</v>
      </c>
      <c r="BO7" s="15">
        <v>65</v>
      </c>
      <c r="BP7" s="15">
        <v>66</v>
      </c>
      <c r="BQ7" s="15">
        <v>67</v>
      </c>
      <c r="BR7" s="15">
        <v>68</v>
      </c>
      <c r="BS7" s="15">
        <v>69</v>
      </c>
      <c r="BT7" s="15">
        <v>70</v>
      </c>
      <c r="BU7" s="15">
        <v>71</v>
      </c>
      <c r="BV7" s="15">
        <v>72</v>
      </c>
      <c r="BW7" s="15">
        <v>73</v>
      </c>
      <c r="BX7" s="15">
        <v>74</v>
      </c>
      <c r="BY7" s="15">
        <v>75</v>
      </c>
      <c r="BZ7" s="17" t="s">
        <v>12</v>
      </c>
    </row>
    <row r="8" spans="1:78" x14ac:dyDescent="0.35">
      <c r="A8" s="18" t="s">
        <v>13</v>
      </c>
      <c r="B8" s="194" t="s">
        <v>14</v>
      </c>
      <c r="C8" s="19">
        <f>'[1]Set Up'!$U$2</f>
        <v>23230</v>
      </c>
      <c r="D8" s="19">
        <f>'[1]Set Up'!$U$3</f>
        <v>23029</v>
      </c>
      <c r="E8" s="19">
        <f>'[1]Set Up'!$U$4</f>
        <v>22829</v>
      </c>
      <c r="F8" s="19">
        <f>'[1]Set Up'!$U$5</f>
        <v>22628</v>
      </c>
      <c r="G8" s="19">
        <f>'[1]Set Up'!$U$6</f>
        <v>22427</v>
      </c>
      <c r="H8" s="19">
        <f>'[1]Set Up'!$U$7</f>
        <v>22227</v>
      </c>
      <c r="I8" s="19">
        <f>'[1]Set Up'!$U$8</f>
        <v>22026</v>
      </c>
      <c r="J8" s="19">
        <f>'[1]Set Up'!$U$9</f>
        <v>21825</v>
      </c>
      <c r="K8" s="19">
        <f>'[1]Set Up'!$U$10</f>
        <v>21625</v>
      </c>
      <c r="L8" s="19">
        <f>'[1]Set Up'!$U$11</f>
        <v>21424</v>
      </c>
      <c r="M8" s="19">
        <f>'[1]Set Up'!$U$12</f>
        <v>21223</v>
      </c>
      <c r="N8" s="19">
        <f>'[1]Set Up'!$U$13</f>
        <v>21023</v>
      </c>
      <c r="O8" s="19">
        <f>'[1]Set Up'!$U$14</f>
        <v>20822</v>
      </c>
      <c r="P8" s="19">
        <f>'[1]Set Up'!$U$15</f>
        <v>20621</v>
      </c>
      <c r="Q8" s="19">
        <f>'[1]Set Up'!$U$16</f>
        <v>20421</v>
      </c>
      <c r="R8" s="19">
        <f>'[1]Set Up'!$U$17</f>
        <v>20220</v>
      </c>
      <c r="S8" s="19">
        <f>'[1]Set Up'!$U$18</f>
        <v>20019</v>
      </c>
      <c r="T8" s="19">
        <f>'[1]Set Up'!$U$19</f>
        <v>19819</v>
      </c>
      <c r="U8" s="19">
        <f>'[1]Set Up'!$U$20</f>
        <v>19618</v>
      </c>
      <c r="V8" s="19">
        <f>'[1]Set Up'!$U$21</f>
        <v>19418</v>
      </c>
      <c r="W8" s="19">
        <f>'[1]Set Up'!$U$22</f>
        <v>19217</v>
      </c>
      <c r="X8" s="19">
        <f>'[1]Set Up'!$U$23</f>
        <v>19016</v>
      </c>
      <c r="Y8" s="19">
        <f>'[1]Set Up'!$U$24</f>
        <v>18816</v>
      </c>
      <c r="Z8" s="19">
        <f>'[1]Set Up'!$U$25</f>
        <v>18615</v>
      </c>
      <c r="AA8" s="19">
        <f>'[1]Set Up'!$U$26</f>
        <v>18414</v>
      </c>
      <c r="AB8" s="19">
        <f>'[1]Set Up'!$U$27</f>
        <v>18214</v>
      </c>
      <c r="AC8" s="19">
        <f>'[1]Set Up'!$U$28</f>
        <v>18013</v>
      </c>
      <c r="AD8" s="19">
        <f>'[1]Set Up'!$U$29</f>
        <v>17812</v>
      </c>
      <c r="AE8" s="19">
        <f>'[1]Set Up'!$U$30</f>
        <v>17612</v>
      </c>
      <c r="AF8" s="19">
        <f>'[1]Set Up'!$U$31</f>
        <v>17411</v>
      </c>
      <c r="AG8" s="19">
        <f>'[1]Set Up'!$U$32</f>
        <v>17210</v>
      </c>
      <c r="AH8" s="19">
        <f>'[1]Set Up'!$U$33</f>
        <v>17010</v>
      </c>
      <c r="AI8" s="19">
        <f>'[1]Set Up'!$U$34</f>
        <v>16809</v>
      </c>
      <c r="AJ8" s="19">
        <f>'[1]Set Up'!$U$35</f>
        <v>16608</v>
      </c>
      <c r="AK8" s="19">
        <f>'[1]Set Up'!$U$36</f>
        <v>16408</v>
      </c>
      <c r="AL8" s="19">
        <f>'[1]Set Up'!$U$37</f>
        <v>16207</v>
      </c>
      <c r="AM8" s="19">
        <f>'[1]Set Up'!$U$38</f>
        <v>16006</v>
      </c>
      <c r="AN8" s="19">
        <f>'[1]Set Up'!$U$39</f>
        <v>15806</v>
      </c>
      <c r="AO8" s="19">
        <v>15405</v>
      </c>
      <c r="AP8" s="19">
        <f>'[1]Set Up'!$U$41</f>
        <v>15405</v>
      </c>
      <c r="AQ8" s="19">
        <f>'[1]Set Up'!$U$42</f>
        <v>15204</v>
      </c>
      <c r="AR8" s="19">
        <f>'[1]Set Up'!$U$43</f>
        <v>15003</v>
      </c>
      <c r="AS8" s="19">
        <f>'[1]Set Up'!$U$44</f>
        <v>14803</v>
      </c>
      <c r="AT8" s="19">
        <f>'[1]Set Up'!$U$45</f>
        <v>14602</v>
      </c>
      <c r="AU8" s="19">
        <f>'[1]Set Up'!$U$46</f>
        <v>14401</v>
      </c>
      <c r="AV8" s="19">
        <f>'[1]Set Up'!$U$47</f>
        <v>14201</v>
      </c>
      <c r="AW8" s="19">
        <f>'[1]Set Up'!$U$48</f>
        <v>14000</v>
      </c>
      <c r="AX8" s="19">
        <f>'[1]Set Up'!$U$49</f>
        <v>13799</v>
      </c>
      <c r="AY8" s="19">
        <f>'[1]Set Up'!$U$50</f>
        <v>13599</v>
      </c>
      <c r="AZ8" s="19">
        <f>'[1]Set Up'!$U$51</f>
        <v>13398</v>
      </c>
      <c r="BA8" s="19">
        <f>'[1]Set Up'!$U$52</f>
        <v>13197</v>
      </c>
      <c r="BB8" s="19">
        <f>'[1]Set Up'!$U$53</f>
        <v>12997</v>
      </c>
      <c r="BC8" s="19">
        <f>'[1]Set Up'!$U$54</f>
        <v>12769</v>
      </c>
      <c r="BD8" s="19">
        <f>'[1]Set Up'!$U$55</f>
        <v>0</v>
      </c>
      <c r="BE8" s="19">
        <f>'[1]Set Up'!$U$56</f>
        <v>0</v>
      </c>
      <c r="BF8" s="19">
        <f>'[1]Set Up'!$U$57</f>
        <v>0</v>
      </c>
      <c r="BG8" s="19">
        <f>'[1]Set Up'!$U$58</f>
        <v>0</v>
      </c>
      <c r="BH8" s="19">
        <f>'[1]Set Up'!$U$59</f>
        <v>0</v>
      </c>
      <c r="BI8" s="19">
        <f>'[1]Set Up'!$U$60</f>
        <v>0</v>
      </c>
      <c r="BJ8" s="19">
        <f>'[1]Set Up'!$U$61</f>
        <v>0</v>
      </c>
      <c r="BK8" s="19">
        <f>'[1]Set Up'!$U$62</f>
        <v>0</v>
      </c>
      <c r="BL8" s="19">
        <f>'[1]Set Up'!$U$63</f>
        <v>0</v>
      </c>
      <c r="BM8" s="19">
        <f>'[1]Set Up'!$U$64</f>
        <v>0</v>
      </c>
      <c r="BN8" s="19">
        <f>'[1]Set Up'!$U$65</f>
        <v>0</v>
      </c>
      <c r="BO8" s="19">
        <f>'[1]Set Up'!$U$66</f>
        <v>0</v>
      </c>
      <c r="BP8" s="19">
        <f>'[1]Set Up'!$U$67</f>
        <v>0</v>
      </c>
      <c r="BQ8" s="19">
        <f>'[1]Set Up'!$U$68</f>
        <v>0</v>
      </c>
      <c r="BR8" s="19">
        <f>'[1]Set Up'!$U$69</f>
        <v>0</v>
      </c>
      <c r="BS8" s="19">
        <f>'[1]Set Up'!$U$70</f>
        <v>0</v>
      </c>
      <c r="BT8" s="19">
        <f>'[1]Set Up'!$U$71</f>
        <v>0</v>
      </c>
      <c r="BU8" s="19">
        <f>'[1]Set Up'!$U$72</f>
        <v>0</v>
      </c>
      <c r="BV8" s="19">
        <f>'[1]Set Up'!$U$73</f>
        <v>0</v>
      </c>
      <c r="BW8" s="19">
        <f>'[1]Set Up'!$U$74</f>
        <v>0</v>
      </c>
      <c r="BX8" s="19">
        <f>'[1]Set Up'!$U$75</f>
        <v>0</v>
      </c>
      <c r="BY8" s="19">
        <f>'[1]Set Up'!$U$76</f>
        <v>0</v>
      </c>
      <c r="BZ8" s="8"/>
    </row>
    <row r="9" spans="1:78" x14ac:dyDescent="0.35">
      <c r="A9" s="20" t="s">
        <v>15</v>
      </c>
      <c r="B9" s="195"/>
      <c r="C9" s="21">
        <f>'[1]Set Up'!$V2</f>
        <v>23392</v>
      </c>
      <c r="D9" s="21">
        <f>'[1]Set Up'!$V3</f>
        <v>23191</v>
      </c>
      <c r="E9" s="21">
        <f>'[1]Set Up'!$V4</f>
        <v>22990</v>
      </c>
      <c r="F9" s="21">
        <f>'[1]Set Up'!$V5</f>
        <v>22790</v>
      </c>
      <c r="G9" s="21">
        <f>'[1]Set Up'!$V6</f>
        <v>22589</v>
      </c>
      <c r="H9" s="21">
        <f>'[1]Set Up'!$V7</f>
        <v>22388</v>
      </c>
      <c r="I9" s="21">
        <f>'[1]Set Up'!$V8</f>
        <v>22188</v>
      </c>
      <c r="J9" s="21">
        <f>'[1]Set Up'!$V9</f>
        <v>21987</v>
      </c>
      <c r="K9" s="21">
        <f>'[1]Set Up'!$V10</f>
        <v>21786</v>
      </c>
      <c r="L9" s="21">
        <f>'[1]Set Up'!$V11</f>
        <v>21586</v>
      </c>
      <c r="M9" s="21">
        <f>'[1]Set Up'!$V12</f>
        <v>21385</v>
      </c>
      <c r="N9" s="21">
        <f>'[1]Set Up'!$V13</f>
        <v>21184</v>
      </c>
      <c r="O9" s="21">
        <f>'[1]Set Up'!$V14</f>
        <v>20984</v>
      </c>
      <c r="P9" s="21">
        <f>'[1]Set Up'!$V15</f>
        <v>20783</v>
      </c>
      <c r="Q9" s="21">
        <f>'[1]Set Up'!$V16</f>
        <v>20582</v>
      </c>
      <c r="R9" s="21">
        <f>'[1]Set Up'!$V17</f>
        <v>20382</v>
      </c>
      <c r="S9" s="21">
        <f>'[1]Set Up'!$V18</f>
        <v>20181</v>
      </c>
      <c r="T9" s="21">
        <f>'[1]Set Up'!$V19</f>
        <v>19980</v>
      </c>
      <c r="U9" s="21">
        <f>'[1]Set Up'!$V20</f>
        <v>19780</v>
      </c>
      <c r="V9" s="21">
        <f>'[1]Set Up'!$V21</f>
        <v>19579</v>
      </c>
      <c r="W9" s="21">
        <f>'[1]Set Up'!$V22</f>
        <v>19379</v>
      </c>
      <c r="X9" s="21">
        <f>'[1]Set Up'!$V23</f>
        <v>19178</v>
      </c>
      <c r="Y9" s="21">
        <f>'[1]Set Up'!$V24</f>
        <v>18977</v>
      </c>
      <c r="Z9" s="21">
        <f>'[1]Set Up'!$V25</f>
        <v>18777</v>
      </c>
      <c r="AA9" s="21">
        <f>'[1]Set Up'!$V26</f>
        <v>18576</v>
      </c>
      <c r="AB9" s="21">
        <f>'[1]Set Up'!$V27</f>
        <v>18375</v>
      </c>
      <c r="AC9" s="21">
        <f>'[1]Set Up'!$V28</f>
        <v>18175</v>
      </c>
      <c r="AD9" s="21">
        <f>'[1]Set Up'!$V29</f>
        <v>17974</v>
      </c>
      <c r="AE9" s="21">
        <f>'[1]Set Up'!$V30</f>
        <v>17773</v>
      </c>
      <c r="AF9" s="21">
        <f>'[1]Set Up'!$V31</f>
        <v>17573</v>
      </c>
      <c r="AG9" s="21">
        <f>'[1]Set Up'!$V32</f>
        <v>17372</v>
      </c>
      <c r="AH9" s="21">
        <f>'[1]Set Up'!$V33</f>
        <v>17171</v>
      </c>
      <c r="AI9" s="21">
        <f>'[1]Set Up'!$V34</f>
        <v>16971</v>
      </c>
      <c r="AJ9" s="21">
        <f>'[1]Set Up'!$V35</f>
        <v>16770</v>
      </c>
      <c r="AK9" s="21">
        <f>'[1]Set Up'!$V36</f>
        <v>16569</v>
      </c>
      <c r="AL9" s="21">
        <f>'[1]Set Up'!$V37</f>
        <v>16369</v>
      </c>
      <c r="AM9" s="21">
        <f>'[1]Set Up'!$V38</f>
        <v>16168</v>
      </c>
      <c r="AN9" s="21">
        <f>'[1]Set Up'!$V39</f>
        <v>15967</v>
      </c>
      <c r="AO9" s="21">
        <v>15566</v>
      </c>
      <c r="AP9" s="21">
        <f>'[1]Set Up'!$V41</f>
        <v>15566</v>
      </c>
      <c r="AQ9" s="21">
        <f>'[1]Set Up'!$V42</f>
        <v>15366</v>
      </c>
      <c r="AR9" s="21">
        <f>'[1]Set Up'!$V43</f>
        <v>15165</v>
      </c>
      <c r="AS9" s="21">
        <f>'[1]Set Up'!$V44</f>
        <v>14964</v>
      </c>
      <c r="AT9" s="21">
        <f>'[1]Set Up'!$V45</f>
        <v>14764</v>
      </c>
      <c r="AU9" s="21">
        <f>'[1]Set Up'!$V46</f>
        <v>14563</v>
      </c>
      <c r="AV9" s="21">
        <f>'[1]Set Up'!$V47</f>
        <v>14362</v>
      </c>
      <c r="AW9" s="21">
        <f>'[1]Set Up'!$V48</f>
        <v>14162</v>
      </c>
      <c r="AX9" s="21">
        <f>'[1]Set Up'!$V49</f>
        <v>13961</v>
      </c>
      <c r="AY9" s="21">
        <f>'[1]Set Up'!$V50</f>
        <v>13760</v>
      </c>
      <c r="AZ9" s="21">
        <f>'[1]Set Up'!$V51</f>
        <v>13560</v>
      </c>
      <c r="BA9" s="21">
        <f>'[1]Set Up'!$V52</f>
        <v>13359</v>
      </c>
      <c r="BB9" s="21">
        <f>'[1]Set Up'!$V53</f>
        <v>13158</v>
      </c>
      <c r="BC9" s="21">
        <f>'[1]Set Up'!$V54</f>
        <v>12958</v>
      </c>
      <c r="BD9" s="21">
        <f>'[1]Set Up'!$V55</f>
        <v>0</v>
      </c>
      <c r="BE9" s="21">
        <f>'[1]Set Up'!$V56</f>
        <v>0</v>
      </c>
      <c r="BF9" s="21">
        <f>'[1]Set Up'!$V57</f>
        <v>0</v>
      </c>
      <c r="BG9" s="21">
        <f>'[1]Set Up'!$V58</f>
        <v>0</v>
      </c>
      <c r="BH9" s="21">
        <f>'[1]Set Up'!$V59</f>
        <v>0</v>
      </c>
      <c r="BI9" s="21">
        <f>'[1]Set Up'!$V60</f>
        <v>0</v>
      </c>
      <c r="BJ9" s="21">
        <f>'[1]Set Up'!$V61</f>
        <v>0</v>
      </c>
      <c r="BK9" s="21">
        <f>'[1]Set Up'!$V62</f>
        <v>0</v>
      </c>
      <c r="BL9" s="21">
        <f>'[1]Set Up'!$V63</f>
        <v>0</v>
      </c>
      <c r="BM9" s="21">
        <f>'[1]Set Up'!$V64</f>
        <v>0</v>
      </c>
      <c r="BN9" s="21">
        <f>'[1]Set Up'!$V65</f>
        <v>0</v>
      </c>
      <c r="BO9" s="21">
        <f>'[1]Set Up'!$V66</f>
        <v>0</v>
      </c>
      <c r="BP9" s="21">
        <f>'[1]Set Up'!$V67</f>
        <v>0</v>
      </c>
      <c r="BQ9" s="21">
        <f>'[1]Set Up'!$V68</f>
        <v>0</v>
      </c>
      <c r="BR9" s="21">
        <f>'[1]Set Up'!$V69</f>
        <v>0</v>
      </c>
      <c r="BS9" s="21">
        <f>'[1]Set Up'!$V70</f>
        <v>0</v>
      </c>
      <c r="BT9" s="21">
        <f>'[1]Set Up'!$V71</f>
        <v>0</v>
      </c>
      <c r="BU9" s="21">
        <f>'[1]Set Up'!$V72</f>
        <v>0</v>
      </c>
      <c r="BV9" s="21">
        <f>'[1]Set Up'!$V73</f>
        <v>0</v>
      </c>
      <c r="BW9" s="21">
        <f>'[1]Set Up'!$V74</f>
        <v>0</v>
      </c>
      <c r="BX9" s="21">
        <f>'[1]Set Up'!$V75</f>
        <v>0</v>
      </c>
      <c r="BY9" s="21">
        <f>'[1]Set Up'!$V76</f>
        <v>0</v>
      </c>
      <c r="BZ9" s="8"/>
    </row>
    <row r="10" spans="1:78" ht="15" thickBot="1" x14ac:dyDescent="0.4">
      <c r="A10" s="22" t="s">
        <v>16</v>
      </c>
      <c r="B10" s="195"/>
      <c r="C10" s="23">
        <f>'[1]Set Up'!$W2</f>
        <v>24</v>
      </c>
      <c r="D10" s="23">
        <f>'[1]Set Up'!$W3</f>
        <v>24</v>
      </c>
      <c r="E10" s="23">
        <f>'[1]Set Up'!$W4</f>
        <v>24</v>
      </c>
      <c r="F10" s="23">
        <f>'[1]Set Up'!$W5</f>
        <v>24</v>
      </c>
      <c r="G10" s="23">
        <f>'[1]Set Up'!$W6</f>
        <v>32</v>
      </c>
      <c r="H10" s="23">
        <f>'[1]Set Up'!$W7</f>
        <v>24</v>
      </c>
      <c r="I10" s="23">
        <f>'[1]Set Up'!$W8</f>
        <v>24</v>
      </c>
      <c r="J10" s="23">
        <f>'[1]Set Up'!$W9</f>
        <v>24</v>
      </c>
      <c r="K10" s="23">
        <f>'[1]Set Up'!$W10</f>
        <v>24</v>
      </c>
      <c r="L10" s="23">
        <f>'[1]Set Up'!$W11</f>
        <v>24</v>
      </c>
      <c r="M10" s="23">
        <f>'[1]Set Up'!$W12</f>
        <v>24</v>
      </c>
      <c r="N10" s="23">
        <f>'[1]Set Up'!$W13</f>
        <v>24</v>
      </c>
      <c r="O10" s="23">
        <f>'[1]Set Up'!$W14</f>
        <v>24</v>
      </c>
      <c r="P10" s="23">
        <f>'[1]Set Up'!$W15</f>
        <v>24</v>
      </c>
      <c r="Q10" s="23">
        <f>'[1]Set Up'!$W16</f>
        <v>24</v>
      </c>
      <c r="R10" s="23">
        <f>'[1]Set Up'!$W17</f>
        <v>24</v>
      </c>
      <c r="S10" s="23">
        <f>'[1]Set Up'!$W18</f>
        <v>24</v>
      </c>
      <c r="T10" s="23">
        <f>'[1]Set Up'!$W19</f>
        <v>24</v>
      </c>
      <c r="U10" s="23">
        <f>'[1]Set Up'!$W20</f>
        <v>24</v>
      </c>
      <c r="V10" s="23">
        <f>'[1]Set Up'!$W21</f>
        <v>24</v>
      </c>
      <c r="W10" s="23">
        <f>'[1]Set Up'!$W22</f>
        <v>24</v>
      </c>
      <c r="X10" s="23">
        <f>'[1]Set Up'!$W23</f>
        <v>24</v>
      </c>
      <c r="Y10" s="23">
        <f>'[1]Set Up'!$W24</f>
        <v>24</v>
      </c>
      <c r="Z10" s="23">
        <f>'[1]Set Up'!$W25</f>
        <v>24</v>
      </c>
      <c r="AA10" s="23">
        <f>'[1]Set Up'!$W26</f>
        <v>24</v>
      </c>
      <c r="AB10" s="23">
        <f>'[1]Set Up'!$W27</f>
        <v>24</v>
      </c>
      <c r="AC10" s="23">
        <f>'[1]Set Up'!$W28</f>
        <v>24</v>
      </c>
      <c r="AD10" s="23">
        <f>'[1]Set Up'!$W29</f>
        <v>24</v>
      </c>
      <c r="AE10" s="23">
        <f>'[1]Set Up'!$W30</f>
        <v>24</v>
      </c>
      <c r="AF10" s="23">
        <f>'[1]Set Up'!$W31</f>
        <v>24</v>
      </c>
      <c r="AG10" s="23">
        <f>'[1]Set Up'!$W32</f>
        <v>24</v>
      </c>
      <c r="AH10" s="23">
        <f>'[1]Set Up'!$W33</f>
        <v>24</v>
      </c>
      <c r="AI10" s="23">
        <f>'[1]Set Up'!$W34</f>
        <v>24</v>
      </c>
      <c r="AJ10" s="23">
        <f>'[1]Set Up'!$W35</f>
        <v>24</v>
      </c>
      <c r="AK10" s="23">
        <f>'[1]Set Up'!$W36</f>
        <v>24</v>
      </c>
      <c r="AL10" s="23">
        <f>'[1]Set Up'!$W37</f>
        <v>24</v>
      </c>
      <c r="AM10" s="23">
        <f>'[1]Set Up'!$W38</f>
        <v>24</v>
      </c>
      <c r="AN10" s="23">
        <f>'[1]Set Up'!$W39</f>
        <v>24</v>
      </c>
      <c r="AO10" s="23">
        <v>24</v>
      </c>
      <c r="AP10" s="23">
        <f>'[1]Set Up'!$W41</f>
        <v>24</v>
      </c>
      <c r="AQ10" s="23">
        <f>'[1]Set Up'!$W42</f>
        <v>24</v>
      </c>
      <c r="AR10" s="23">
        <f>'[1]Set Up'!$W43</f>
        <v>24</v>
      </c>
      <c r="AS10" s="23">
        <f>'[1]Set Up'!$W44</f>
        <v>24</v>
      </c>
      <c r="AT10" s="23">
        <f>'[1]Set Up'!$W45</f>
        <v>24</v>
      </c>
      <c r="AU10" s="23">
        <f>'[1]Set Up'!$W46</f>
        <v>24</v>
      </c>
      <c r="AV10" s="23">
        <f>'[1]Set Up'!$W47</f>
        <v>24</v>
      </c>
      <c r="AW10" s="23">
        <f>'[1]Set Up'!$W48</f>
        <v>24</v>
      </c>
      <c r="AX10" s="23">
        <f>'[1]Set Up'!$W49</f>
        <v>24</v>
      </c>
      <c r="AY10" s="23">
        <f>'[1]Set Up'!$W50</f>
        <v>24</v>
      </c>
      <c r="AZ10" s="23">
        <f>'[1]Set Up'!$W51</f>
        <v>24</v>
      </c>
      <c r="BA10" s="23">
        <f>'[1]Set Up'!$W52</f>
        <v>24</v>
      </c>
      <c r="BB10" s="23">
        <f>'[1]Set Up'!$W53</f>
        <v>24</v>
      </c>
      <c r="BC10" s="23">
        <f>'[1]Set Up'!$W54</f>
        <v>24</v>
      </c>
      <c r="BD10" s="23">
        <f>'[1]Set Up'!$W55</f>
        <v>0</v>
      </c>
      <c r="BE10" s="23">
        <f>'[1]Set Up'!$W56</f>
        <v>0</v>
      </c>
      <c r="BF10" s="23">
        <f>'[1]Set Up'!$W57</f>
        <v>0</v>
      </c>
      <c r="BG10" s="23">
        <f>'[1]Set Up'!$W58</f>
        <v>0</v>
      </c>
      <c r="BH10" s="23">
        <f>'[1]Set Up'!$W59</f>
        <v>0</v>
      </c>
      <c r="BI10" s="23">
        <f>'[1]Set Up'!$W60</f>
        <v>0</v>
      </c>
      <c r="BJ10" s="23">
        <f>'[1]Set Up'!$W61</f>
        <v>0</v>
      </c>
      <c r="BK10" s="23">
        <f>'[1]Set Up'!$W62</f>
        <v>0</v>
      </c>
      <c r="BL10" s="23">
        <f>'[1]Set Up'!$W63</f>
        <v>0</v>
      </c>
      <c r="BM10" s="23">
        <f>'[1]Set Up'!$W64</f>
        <v>0</v>
      </c>
      <c r="BN10" s="23">
        <f>'[1]Set Up'!$W65</f>
        <v>0</v>
      </c>
      <c r="BO10" s="23">
        <f>'[1]Set Up'!$W66</f>
        <v>0</v>
      </c>
      <c r="BP10" s="23">
        <f>'[1]Set Up'!$W67</f>
        <v>0</v>
      </c>
      <c r="BQ10" s="23">
        <f>'[1]Set Up'!$W68</f>
        <v>0</v>
      </c>
      <c r="BR10" s="23">
        <f>'[1]Set Up'!$W69</f>
        <v>0</v>
      </c>
      <c r="BS10" s="23">
        <f>'[1]Set Up'!$W70</f>
        <v>0</v>
      </c>
      <c r="BT10" s="23">
        <f>'[1]Set Up'!$W71</f>
        <v>0</v>
      </c>
      <c r="BU10" s="23">
        <f>'[1]Set Up'!$W72</f>
        <v>0</v>
      </c>
      <c r="BV10" s="23">
        <f>'[1]Set Up'!$W73</f>
        <v>0</v>
      </c>
      <c r="BW10" s="23">
        <f>'[1]Set Up'!$W74</f>
        <v>0</v>
      </c>
      <c r="BX10" s="23">
        <f>'[1]Set Up'!$W75</f>
        <v>0</v>
      </c>
      <c r="BY10" s="23">
        <f>'[1]Set Up'!$W76</f>
        <v>0</v>
      </c>
      <c r="BZ10" s="8"/>
    </row>
    <row r="11" spans="1:78" x14ac:dyDescent="0.35">
      <c r="A11" s="18" t="s">
        <v>17</v>
      </c>
      <c r="B11" s="195"/>
      <c r="C11" s="19">
        <f>'[1]Set Up'!$X2</f>
        <v>23411</v>
      </c>
      <c r="D11" s="19">
        <f>'[1]Set Up'!$X3</f>
        <v>23210</v>
      </c>
      <c r="E11" s="19">
        <f>'[1]Set Up'!$X4</f>
        <v>23009</v>
      </c>
      <c r="F11" s="19">
        <f>'[1]Set Up'!$X5</f>
        <v>22809</v>
      </c>
      <c r="G11" s="19">
        <f>'[1]Set Up'!$X6</f>
        <v>22608</v>
      </c>
      <c r="H11" s="19">
        <f>'[1]Set Up'!$X7</f>
        <v>22407</v>
      </c>
      <c r="I11" s="19">
        <f>'[1]Set Up'!$X8</f>
        <v>22207</v>
      </c>
      <c r="J11" s="19">
        <f>'[1]Set Up'!$X9</f>
        <v>22006</v>
      </c>
      <c r="K11" s="19">
        <f>'[1]Set Up'!$X10</f>
        <v>21805</v>
      </c>
      <c r="L11" s="19">
        <f>'[1]Set Up'!$X11</f>
        <v>21605</v>
      </c>
      <c r="M11" s="19">
        <f>'[1]Set Up'!$X12</f>
        <v>21404</v>
      </c>
      <c r="N11" s="19">
        <f>'[1]Set Up'!$X13</f>
        <v>21203</v>
      </c>
      <c r="O11" s="19">
        <f>'[1]Set Up'!$X14</f>
        <v>21003</v>
      </c>
      <c r="P11" s="19">
        <f>'[1]Set Up'!$X15</f>
        <v>20802</v>
      </c>
      <c r="Q11" s="19">
        <f>'[1]Set Up'!$X16</f>
        <v>20601</v>
      </c>
      <c r="R11" s="19">
        <f>'[1]Set Up'!$X17</f>
        <v>20401</v>
      </c>
      <c r="S11" s="19">
        <f>'[1]Set Up'!$X18</f>
        <v>20200</v>
      </c>
      <c r="T11" s="19">
        <f>'[1]Set Up'!$X19</f>
        <v>19999</v>
      </c>
      <c r="U11" s="19">
        <f>'[1]Set Up'!$X20</f>
        <v>19799</v>
      </c>
      <c r="V11" s="19">
        <f>'[1]Set Up'!$X21</f>
        <v>19598</v>
      </c>
      <c r="W11" s="19">
        <f>'[1]Set Up'!$X22</f>
        <v>19398</v>
      </c>
      <c r="X11" s="19">
        <f>'[1]Set Up'!$X23</f>
        <v>19197</v>
      </c>
      <c r="Y11" s="19">
        <f>'[1]Set Up'!$X24</f>
        <v>18996</v>
      </c>
      <c r="Z11" s="19">
        <f>'[1]Set Up'!$X25</f>
        <v>18796</v>
      </c>
      <c r="AA11" s="19">
        <f>'[1]Set Up'!$X26</f>
        <v>18595</v>
      </c>
      <c r="AB11" s="19">
        <f>'[1]Set Up'!$X27</f>
        <v>18394</v>
      </c>
      <c r="AC11" s="19">
        <f>'[1]Set Up'!$X28</f>
        <v>18194</v>
      </c>
      <c r="AD11" s="19">
        <f>'[1]Set Up'!$X29</f>
        <v>17993</v>
      </c>
      <c r="AE11" s="19">
        <f>'[1]Set Up'!$X30</f>
        <v>17792</v>
      </c>
      <c r="AF11" s="19">
        <f>'[1]Set Up'!$X31</f>
        <v>17592</v>
      </c>
      <c r="AG11" s="19">
        <f>'[1]Set Up'!$X32</f>
        <v>17391</v>
      </c>
      <c r="AH11" s="19">
        <f>'[1]Set Up'!$X33</f>
        <v>17190</v>
      </c>
      <c r="AI11" s="19">
        <f>'[1]Set Up'!$X34</f>
        <v>16990</v>
      </c>
      <c r="AJ11" s="19">
        <f>'[1]Set Up'!$X35</f>
        <v>16789</v>
      </c>
      <c r="AK11" s="19">
        <f>'[1]Set Up'!$X36</f>
        <v>16588</v>
      </c>
      <c r="AL11" s="19">
        <f>'[1]Set Up'!$X37</f>
        <v>16388</v>
      </c>
      <c r="AM11" s="19">
        <f>'[1]Set Up'!$X38</f>
        <v>16187</v>
      </c>
      <c r="AN11" s="19">
        <f>'[1]Set Up'!$X39</f>
        <v>15986</v>
      </c>
      <c r="AO11" s="19">
        <v>15585</v>
      </c>
      <c r="AP11" s="19">
        <f>'[1]Set Up'!$X41</f>
        <v>15585</v>
      </c>
      <c r="AQ11" s="19">
        <f>'[1]Set Up'!$X42</f>
        <v>15385</v>
      </c>
      <c r="AR11" s="19">
        <f>'[1]Set Up'!$X43</f>
        <v>15184</v>
      </c>
      <c r="AS11" s="19">
        <f>'[1]Set Up'!$X44</f>
        <v>14983</v>
      </c>
      <c r="AT11" s="19">
        <f>'[1]Set Up'!$X45</f>
        <v>14783</v>
      </c>
      <c r="AU11" s="19">
        <f>'[1]Set Up'!$X46</f>
        <v>14582</v>
      </c>
      <c r="AV11" s="19">
        <f>'[1]Set Up'!$X47</f>
        <v>14381</v>
      </c>
      <c r="AW11" s="19">
        <f>'[1]Set Up'!$X48</f>
        <v>14181</v>
      </c>
      <c r="AX11" s="19">
        <f>'[1]Set Up'!$X49</f>
        <v>13980</v>
      </c>
      <c r="AY11" s="19">
        <f>'[1]Set Up'!$X50</f>
        <v>13779</v>
      </c>
      <c r="AZ11" s="19">
        <f>'[1]Set Up'!$X51</f>
        <v>13579</v>
      </c>
      <c r="BA11" s="19">
        <f>'[1]Set Up'!$X52</f>
        <v>13378</v>
      </c>
      <c r="BB11" s="19">
        <f>'[1]Set Up'!$X53</f>
        <v>13177</v>
      </c>
      <c r="BC11" s="19">
        <f>'[1]Set Up'!$X54</f>
        <v>12977</v>
      </c>
      <c r="BD11" s="19">
        <f>'[1]Set Up'!$X55</f>
        <v>0</v>
      </c>
      <c r="BE11" s="19">
        <f>'[1]Set Up'!$X56</f>
        <v>0</v>
      </c>
      <c r="BF11" s="19">
        <f>'[1]Set Up'!$X57</f>
        <v>0</v>
      </c>
      <c r="BG11" s="19">
        <f>'[1]Set Up'!$X58</f>
        <v>0</v>
      </c>
      <c r="BH11" s="19">
        <f>'[1]Set Up'!$X59</f>
        <v>0</v>
      </c>
      <c r="BI11" s="19">
        <f>'[1]Set Up'!$X60</f>
        <v>0</v>
      </c>
      <c r="BJ11" s="19">
        <f>'[1]Set Up'!$X61</f>
        <v>0</v>
      </c>
      <c r="BK11" s="19">
        <f>'[1]Set Up'!$X62</f>
        <v>0</v>
      </c>
      <c r="BL11" s="19">
        <f>'[1]Set Up'!$X63</f>
        <v>0</v>
      </c>
      <c r="BM11" s="19">
        <f>'[1]Set Up'!$X64</f>
        <v>0</v>
      </c>
      <c r="BN11" s="19">
        <f>'[1]Set Up'!$X65</f>
        <v>0</v>
      </c>
      <c r="BO11" s="19">
        <f>'[1]Set Up'!$X66</f>
        <v>0</v>
      </c>
      <c r="BP11" s="19">
        <f>'[1]Set Up'!$X67</f>
        <v>0</v>
      </c>
      <c r="BQ11" s="19">
        <f>'[1]Set Up'!$X68</f>
        <v>0</v>
      </c>
      <c r="BR11" s="19">
        <f>'[1]Set Up'!$X69</f>
        <v>0</v>
      </c>
      <c r="BS11" s="19">
        <f>'[1]Set Up'!$X70</f>
        <v>0</v>
      </c>
      <c r="BT11" s="19">
        <f>'[1]Set Up'!$X71</f>
        <v>0</v>
      </c>
      <c r="BU11" s="19">
        <f>'[1]Set Up'!$X72</f>
        <v>0</v>
      </c>
      <c r="BV11" s="19">
        <f>'[1]Set Up'!$X73</f>
        <v>0</v>
      </c>
      <c r="BW11" s="19">
        <f>'[1]Set Up'!$X74</f>
        <v>0</v>
      </c>
      <c r="BX11" s="19">
        <f>'[1]Set Up'!$X75</f>
        <v>0</v>
      </c>
      <c r="BY11" s="19">
        <f>'[1]Set Up'!$X76</f>
        <v>0</v>
      </c>
      <c r="BZ11" s="8"/>
    </row>
    <row r="12" spans="1:78" ht="15" thickBot="1" x14ac:dyDescent="0.4">
      <c r="A12" s="20" t="s">
        <v>18</v>
      </c>
      <c r="B12" s="195"/>
      <c r="C12" s="24">
        <f>'[1]Set Up'!$AA2</f>
        <v>12540</v>
      </c>
      <c r="D12" s="24">
        <f>'[1]Set Up'!$AA3</f>
        <v>12534</v>
      </c>
      <c r="E12" s="24">
        <f>'[1]Set Up'!$AA4</f>
        <v>12531</v>
      </c>
      <c r="F12" s="24">
        <f>'[1]Set Up'!$AA5</f>
        <v>12523</v>
      </c>
      <c r="G12" s="24">
        <f>'[1]Set Up'!$AA6</f>
        <v>12509</v>
      </c>
      <c r="H12" s="24">
        <f>'[1]Set Up'!$AA7</f>
        <v>12505</v>
      </c>
      <c r="I12" s="24">
        <f>'[1]Set Up'!$AA8</f>
        <v>12513</v>
      </c>
      <c r="J12" s="24">
        <f>'[1]Set Up'!$AA9</f>
        <v>12526</v>
      </c>
      <c r="K12" s="24">
        <f>'[1]Set Up'!$AA10</f>
        <v>12536</v>
      </c>
      <c r="L12" s="24">
        <f>'[1]Set Up'!$AA11</f>
        <v>12536</v>
      </c>
      <c r="M12" s="24">
        <f>'[1]Set Up'!$AA12</f>
        <v>12534</v>
      </c>
      <c r="N12" s="24">
        <f>'[1]Set Up'!$AA13</f>
        <v>12535</v>
      </c>
      <c r="O12" s="24">
        <f>'[1]Set Up'!$AA14</f>
        <v>12531</v>
      </c>
      <c r="P12" s="24">
        <f>'[1]Set Up'!$AA15</f>
        <v>12525</v>
      </c>
      <c r="Q12" s="24">
        <f>'[1]Set Up'!$AA16</f>
        <v>12513</v>
      </c>
      <c r="R12" s="24">
        <f>'[1]Set Up'!$AA17</f>
        <v>12512</v>
      </c>
      <c r="S12" s="24">
        <f>'[1]Set Up'!$AA18</f>
        <v>12517</v>
      </c>
      <c r="T12" s="24">
        <f>'[1]Set Up'!$AA19</f>
        <v>12519</v>
      </c>
      <c r="U12" s="24">
        <f>'[1]Set Up'!$AA20</f>
        <v>12516</v>
      </c>
      <c r="V12" s="24">
        <f>'[1]Set Up'!$AA21</f>
        <v>12518</v>
      </c>
      <c r="W12" s="24">
        <f>'[1]Set Up'!$AA22</f>
        <v>12521</v>
      </c>
      <c r="X12" s="24">
        <f>'[1]Set Up'!$AA23</f>
        <v>12520.24</v>
      </c>
      <c r="Y12" s="24">
        <f>'[1]Set Up'!$AA24</f>
        <v>12511</v>
      </c>
      <c r="Z12" s="24">
        <f>'[1]Set Up'!$AA25</f>
        <v>12494</v>
      </c>
      <c r="AA12" s="24">
        <f>'[1]Set Up'!$AA26</f>
        <v>12483</v>
      </c>
      <c r="AB12" s="24">
        <f>'[1]Set Up'!$AA27</f>
        <v>12487</v>
      </c>
      <c r="AC12" s="24">
        <f>'[1]Set Up'!$AA28</f>
        <v>12500</v>
      </c>
      <c r="AD12" s="24">
        <f>'[1]Set Up'!$AA29</f>
        <v>12511</v>
      </c>
      <c r="AE12" s="24">
        <f>'[1]Set Up'!$AA30</f>
        <v>12519</v>
      </c>
      <c r="AF12" s="24">
        <f>'[1]Set Up'!$AA31</f>
        <v>12514</v>
      </c>
      <c r="AG12" s="24">
        <f>'[1]Set Up'!$AA32</f>
        <v>12511</v>
      </c>
      <c r="AH12" s="24">
        <f>'[1]Set Up'!$AA33</f>
        <v>12503</v>
      </c>
      <c r="AI12" s="24">
        <f>'[1]Set Up'!$AA34</f>
        <v>12496</v>
      </c>
      <c r="AJ12" s="24">
        <f>'[1]Set Up'!$AA35</f>
        <v>12493</v>
      </c>
      <c r="AK12" s="24">
        <f>'[1]Set Up'!$AA36</f>
        <v>12493</v>
      </c>
      <c r="AL12" s="24">
        <f>'[1]Set Up'!$AA37</f>
        <v>12492</v>
      </c>
      <c r="AM12" s="24">
        <f>'[1]Set Up'!$AA38</f>
        <v>12493</v>
      </c>
      <c r="AN12" s="24">
        <f>'[1]Set Up'!$AA39</f>
        <v>12492</v>
      </c>
      <c r="AO12" s="24">
        <v>12475</v>
      </c>
      <c r="AP12" s="24">
        <f>'[1]Set Up'!$AA41</f>
        <v>12475</v>
      </c>
      <c r="AQ12" s="24">
        <f>'[1]Set Up'!$AA42</f>
        <v>12483</v>
      </c>
      <c r="AR12" s="24">
        <f>'[1]Set Up'!$AA43</f>
        <v>12476</v>
      </c>
      <c r="AS12" s="24">
        <f>'[1]Set Up'!$AA44</f>
        <v>12475</v>
      </c>
      <c r="AT12" s="24">
        <f>'[1]Set Up'!$AA45</f>
        <v>12471</v>
      </c>
      <c r="AU12" s="24">
        <f>'[1]Set Up'!$AA46</f>
        <v>12467</v>
      </c>
      <c r="AV12" s="24">
        <f>'[1]Set Up'!$AA47</f>
        <v>12466</v>
      </c>
      <c r="AW12" s="24">
        <f>'[1]Set Up'!$AA48</f>
        <v>12472</v>
      </c>
      <c r="AX12" s="24">
        <f>'[1]Set Up'!$AA49</f>
        <v>12472</v>
      </c>
      <c r="AY12" s="24">
        <f>'[1]Set Up'!$AA50</f>
        <v>12466</v>
      </c>
      <c r="AZ12" s="24">
        <f>'[1]Set Up'!$AA51</f>
        <v>12456</v>
      </c>
      <c r="BA12" s="24">
        <f>'[1]Set Up'!$AA52</f>
        <v>12449</v>
      </c>
      <c r="BB12" s="24">
        <f>'[1]Set Up'!$AA53</f>
        <v>12457</v>
      </c>
      <c r="BC12" s="24">
        <f>'[1]Set Up'!$AA54</f>
        <v>12459</v>
      </c>
      <c r="BD12" s="24">
        <f>'[1]Set Up'!$AA55</f>
        <v>0</v>
      </c>
      <c r="BE12" s="24">
        <f>'[1]Set Up'!$AA56</f>
        <v>0</v>
      </c>
      <c r="BF12" s="24">
        <f>'[1]Set Up'!$AA57</f>
        <v>0</v>
      </c>
      <c r="BG12" s="24">
        <f>'[1]Set Up'!$AA58</f>
        <v>0</v>
      </c>
      <c r="BH12" s="24">
        <f>'[1]Set Up'!$AA59</f>
        <v>0</v>
      </c>
      <c r="BI12" s="24">
        <f>'[1]Set Up'!$AA60</f>
        <v>0</v>
      </c>
      <c r="BJ12" s="24">
        <f>'[1]Set Up'!$AA61</f>
        <v>0</v>
      </c>
      <c r="BK12" s="24">
        <f>'[1]Set Up'!$AA62</f>
        <v>0</v>
      </c>
      <c r="BL12" s="24">
        <f>'[1]Set Up'!$AA63</f>
        <v>0</v>
      </c>
      <c r="BM12" s="24">
        <f>'[1]Set Up'!$AA64</f>
        <v>0</v>
      </c>
      <c r="BN12" s="24">
        <f>'[1]Set Up'!$AA65</f>
        <v>0</v>
      </c>
      <c r="BO12" s="24">
        <f>'[1]Set Up'!$AA66</f>
        <v>0</v>
      </c>
      <c r="BP12" s="24">
        <f>'[1]Set Up'!$AA67</f>
        <v>0</v>
      </c>
      <c r="BQ12" s="24">
        <f>'[1]Set Up'!$AA68</f>
        <v>0</v>
      </c>
      <c r="BR12" s="24">
        <f>'[1]Set Up'!$AA69</f>
        <v>0</v>
      </c>
      <c r="BS12" s="24">
        <f>'[1]Set Up'!$AA70</f>
        <v>0</v>
      </c>
      <c r="BT12" s="24">
        <f>'[1]Set Up'!$AA71</f>
        <v>0</v>
      </c>
      <c r="BU12" s="24">
        <f>'[1]Set Up'!$AA72</f>
        <v>0</v>
      </c>
      <c r="BV12" s="24">
        <f>'[1]Set Up'!$AA73</f>
        <v>0</v>
      </c>
      <c r="BW12" s="24">
        <f>'[1]Set Up'!$AA74</f>
        <v>0</v>
      </c>
      <c r="BX12" s="24">
        <f>'[1]Set Up'!$AA75</f>
        <v>0</v>
      </c>
      <c r="BY12" s="24">
        <f>'[1]Set Up'!$AA76</f>
        <v>0</v>
      </c>
      <c r="BZ12" s="8"/>
    </row>
    <row r="13" spans="1:78" x14ac:dyDescent="0.35">
      <c r="A13" s="25" t="s">
        <v>19</v>
      </c>
      <c r="B13" s="196" t="s">
        <v>20</v>
      </c>
      <c r="C13" s="26">
        <f>IF(C8="","",IF(C8&lt;'[1]Set Up'!$J$15,C8*'[1]Set Up'!$N$15,IF(C8&lt;'[1]Set Up'!$J$16,(C8-'[1]Set Up'!$J$15)*'[1]Set Up'!$N$16+'[1]Set Up'!$O$15,IF(C8&lt;'[1]Set Up'!$J$17,(C8-'[1]Set Up'!$J$16)*'[1]Set Up'!$N$17+'[1]Set Up'!$O$15+'[1]Set Up'!$O$16,(C8-'[1]Set Up'!$J$17)*'[1]Set Up'!$N$18 + SUM('[1]Set Up'!$O$15:'[1]Set Up'!$O$17)))))</f>
        <v>423.50672241691984</v>
      </c>
      <c r="D13" s="26">
        <f>IF(D8="","",IF(D8&lt;'[1]Set Up'!$J$15,D8*'[1]Set Up'!$N$15,IF(D8&lt;'[1]Set Up'!$J$16,(D8-'[1]Set Up'!$J$15)*'[1]Set Up'!$N$16+'[1]Set Up'!$O$15,IF(D8&lt;'[1]Set Up'!$J$17,(D8-'[1]Set Up'!$J$16)*'[1]Set Up'!$N$17+'[1]Set Up'!$O$15+'[1]Set Up'!$O$16,(D8-'[1]Set Up'!$J$17)*'[1]Set Up'!$N$18 + SUM('[1]Set Up'!$O$15:'[1]Set Up'!$O$17)))))</f>
        <v>420.50550136477693</v>
      </c>
      <c r="E13" s="26">
        <f>IF(E8="","",IF(E8&lt;'[1]Set Up'!$J$15,E8*'[1]Set Up'!$N$15,IF(E8&lt;'[1]Set Up'!$J$16,(E8-'[1]Set Up'!$J$15)*'[1]Set Up'!$N$16+'[1]Set Up'!$O$15,IF(E8&lt;'[1]Set Up'!$J$17,(E8-'[1]Set Up'!$J$16)*'[1]Set Up'!$N$17+'[1]Set Up'!$O$15+'[1]Set Up'!$O$16,(E8-'[1]Set Up'!$J$17)*'[1]Set Up'!$N$18 + SUM('[1]Set Up'!$O$15:'[1]Set Up'!$O$17)))))</f>
        <v>417.51921176065468</v>
      </c>
      <c r="F13" s="26">
        <f>IF(F8="","",IF(F8&lt;'[1]Set Up'!$J$15,F8*'[1]Set Up'!$N$15,IF(F8&lt;'[1]Set Up'!$J$16,(F8-'[1]Set Up'!$J$15)*'[1]Set Up'!$N$16+'[1]Set Up'!$O$15,IF(F8&lt;'[1]Set Up'!$J$17,(F8-'[1]Set Up'!$J$16)*'[1]Set Up'!$N$17+'[1]Set Up'!$O$15+'[1]Set Up'!$O$16,(F8-'[1]Set Up'!$J$17)*'[1]Set Up'!$N$18 + SUM('[1]Set Up'!$O$15:'[1]Set Up'!$O$17)))))</f>
        <v>414.51799070851177</v>
      </c>
      <c r="G13" s="26">
        <f>IF(G8="","",IF(G8&lt;'[1]Set Up'!$J$15,G8*'[1]Set Up'!$N$15,IF(G8&lt;'[1]Set Up'!$J$16,(G8-'[1]Set Up'!$J$15)*'[1]Set Up'!$N$16+'[1]Set Up'!$O$15,IF(G8&lt;'[1]Set Up'!$J$17,(G8-'[1]Set Up'!$J$16)*'[1]Set Up'!$N$17+'[1]Set Up'!$O$15+'[1]Set Up'!$O$16,(G8-'[1]Set Up'!$J$17)*'[1]Set Up'!$N$18 + SUM('[1]Set Up'!$O$15:'[1]Set Up'!$O$17)))))</f>
        <v>411.51676965636887</v>
      </c>
      <c r="H13" s="26">
        <f>IF(H8="","",IF(H8&lt;'[1]Set Up'!$J$15,H8*'[1]Set Up'!$N$15,IF(H8&lt;'[1]Set Up'!$J$16,(H8-'[1]Set Up'!$J$15)*'[1]Set Up'!$N$16+'[1]Set Up'!$O$15,IF(H8&lt;'[1]Set Up'!$J$17,(H8-'[1]Set Up'!$J$16)*'[1]Set Up'!$N$17+'[1]Set Up'!$O$15+'[1]Set Up'!$O$16,(H8-'[1]Set Up'!$J$17)*'[1]Set Up'!$N$18 + SUM('[1]Set Up'!$O$15:'[1]Set Up'!$O$17)))))</f>
        <v>408.53048005224662</v>
      </c>
      <c r="I13" s="26">
        <f>IF(I8="","",IF(I8&lt;'[1]Set Up'!$J$15,I8*'[1]Set Up'!$N$15,IF(I8&lt;'[1]Set Up'!$J$16,(I8-'[1]Set Up'!$J$15)*'[1]Set Up'!$N$16+'[1]Set Up'!$O$15,IF(I8&lt;'[1]Set Up'!$J$17,(I8-'[1]Set Up'!$J$16)*'[1]Set Up'!$N$17+'[1]Set Up'!$O$15+'[1]Set Up'!$O$16,(I8-'[1]Set Up'!$J$17)*'[1]Set Up'!$N$18 + SUM('[1]Set Up'!$O$15:'[1]Set Up'!$O$17)))))</f>
        <v>405.52925900010371</v>
      </c>
      <c r="J13" s="26">
        <f>IF(J8="","",IF(J8&lt;'[1]Set Up'!$J$15,J8*'[1]Set Up'!$N$15,IF(J8&lt;'[1]Set Up'!$J$16,(J8-'[1]Set Up'!$J$15)*'[1]Set Up'!$N$16+'[1]Set Up'!$O$15,IF(J8&lt;'[1]Set Up'!$J$17,(J8-'[1]Set Up'!$J$16)*'[1]Set Up'!$N$17+'[1]Set Up'!$O$15+'[1]Set Up'!$O$16,(J8-'[1]Set Up'!$J$17)*'[1]Set Up'!$N$18 + SUM('[1]Set Up'!$O$15:'[1]Set Up'!$O$17)))))</f>
        <v>402.5280379479608</v>
      </c>
      <c r="K13" s="26">
        <f>IF(K8="","",IF(K8&lt;'[1]Set Up'!$J$15,K8*'[1]Set Up'!$N$15,IF(K8&lt;'[1]Set Up'!$J$16,(K8-'[1]Set Up'!$J$15)*'[1]Set Up'!$N$16+'[1]Set Up'!$O$15,IF(K8&lt;'[1]Set Up'!$J$17,(K8-'[1]Set Up'!$J$16)*'[1]Set Up'!$N$17+'[1]Set Up'!$O$15+'[1]Set Up'!$O$16,(K8-'[1]Set Up'!$J$17)*'[1]Set Up'!$N$18 + SUM('[1]Set Up'!$O$15:'[1]Set Up'!$O$17)))))</f>
        <v>399.54174834383855</v>
      </c>
      <c r="L13" s="26">
        <f>IF(L8="","",IF(L8&lt;'[1]Set Up'!$J$15,L8*'[1]Set Up'!$N$15,IF(L8&lt;'[1]Set Up'!$J$16,(L8-'[1]Set Up'!$J$15)*'[1]Set Up'!$N$16+'[1]Set Up'!$O$15,IF(L8&lt;'[1]Set Up'!$J$17,(L8-'[1]Set Up'!$J$16)*'[1]Set Up'!$N$17+'[1]Set Up'!$O$15+'[1]Set Up'!$O$16,(L8-'[1]Set Up'!$J$17)*'[1]Set Up'!$N$18 + SUM('[1]Set Up'!$O$15:'[1]Set Up'!$O$17)))))</f>
        <v>396.54052729169564</v>
      </c>
      <c r="M13" s="26">
        <f>IF(M8="","",IF(M8&lt;'[1]Set Up'!$J$15,M8*'[1]Set Up'!$N$15,IF(M8&lt;'[1]Set Up'!$J$16,(M8-'[1]Set Up'!$J$15)*'[1]Set Up'!$N$16+'[1]Set Up'!$O$15,IF(M8&lt;'[1]Set Up'!$J$17,(M8-'[1]Set Up'!$J$16)*'[1]Set Up'!$N$17+'[1]Set Up'!$O$15+'[1]Set Up'!$O$16,(M8-'[1]Set Up'!$J$17)*'[1]Set Up'!$N$18 + SUM('[1]Set Up'!$O$15:'[1]Set Up'!$O$17)))))</f>
        <v>393.53930623955273</v>
      </c>
      <c r="N13" s="26">
        <f>IF(N8="","",IF(N8&lt;'[1]Set Up'!$J$15,N8*'[1]Set Up'!$N$15,IF(N8&lt;'[1]Set Up'!$J$16,(N8-'[1]Set Up'!$J$15)*'[1]Set Up'!$N$16+'[1]Set Up'!$O$15,IF(N8&lt;'[1]Set Up'!$J$17,(N8-'[1]Set Up'!$J$16)*'[1]Set Up'!$N$17+'[1]Set Up'!$O$15+'[1]Set Up'!$O$16,(N8-'[1]Set Up'!$J$17)*'[1]Set Up'!$N$18 + SUM('[1]Set Up'!$O$15:'[1]Set Up'!$O$17)))))</f>
        <v>390.55301663543048</v>
      </c>
      <c r="O13" s="26">
        <f>IF(O8="","",IF(O8&lt;'[1]Set Up'!$J$15,O8*'[1]Set Up'!$N$15,IF(O8&lt;'[1]Set Up'!$J$16,(O8-'[1]Set Up'!$J$15)*'[1]Set Up'!$N$16+'[1]Set Up'!$O$15,IF(O8&lt;'[1]Set Up'!$J$17,(O8-'[1]Set Up'!$J$16)*'[1]Set Up'!$N$17+'[1]Set Up'!$O$15+'[1]Set Up'!$O$16,(O8-'[1]Set Up'!$J$17)*'[1]Set Up'!$N$18 + SUM('[1]Set Up'!$O$15:'[1]Set Up'!$O$17)))))</f>
        <v>387.55179558328757</v>
      </c>
      <c r="P13" s="26">
        <f>IF(P8="","",IF(P8&lt;'[1]Set Up'!$J$15,P8*'[1]Set Up'!$N$15,IF(P8&lt;'[1]Set Up'!$J$16,(P8-'[1]Set Up'!$J$15)*'[1]Set Up'!$N$16+'[1]Set Up'!$O$15,IF(P8&lt;'[1]Set Up'!$J$17,(P8-'[1]Set Up'!$J$16)*'[1]Set Up'!$N$17+'[1]Set Up'!$O$15+'[1]Set Up'!$O$16,(P8-'[1]Set Up'!$J$17)*'[1]Set Up'!$N$18 + SUM('[1]Set Up'!$O$15:'[1]Set Up'!$O$17)))))</f>
        <v>384.55057453114472</v>
      </c>
      <c r="Q13" s="26">
        <f>IF(Q8="","",IF(Q8&lt;'[1]Set Up'!$J$15,Q8*'[1]Set Up'!$N$15,IF(Q8&lt;'[1]Set Up'!$J$16,(Q8-'[1]Set Up'!$J$15)*'[1]Set Up'!$N$16+'[1]Set Up'!$O$15,IF(Q8&lt;'[1]Set Up'!$J$17,(Q8-'[1]Set Up'!$J$16)*'[1]Set Up'!$N$17+'[1]Set Up'!$O$15+'[1]Set Up'!$O$16,(Q8-'[1]Set Up'!$J$17)*'[1]Set Up'!$N$18 + SUM('[1]Set Up'!$O$15:'[1]Set Up'!$O$17)))))</f>
        <v>381.56428492702241</v>
      </c>
      <c r="R13" s="26">
        <f>IF(R8="","",IF(R8&lt;'[1]Set Up'!$J$15,R8*'[1]Set Up'!$N$15,IF(R8&lt;'[1]Set Up'!$J$16,(R8-'[1]Set Up'!$J$15)*'[1]Set Up'!$N$16+'[1]Set Up'!$O$15,IF(R8&lt;'[1]Set Up'!$J$17,(R8-'[1]Set Up'!$J$16)*'[1]Set Up'!$N$17+'[1]Set Up'!$O$15+'[1]Set Up'!$O$16,(R8-'[1]Set Up'!$J$17)*'[1]Set Up'!$N$18 + SUM('[1]Set Up'!$O$15:'[1]Set Up'!$O$17)))))</f>
        <v>378.5630638748795</v>
      </c>
      <c r="S13" s="26">
        <f>IF(S8="","",IF(S8&lt;'[1]Set Up'!$J$15,S8*'[1]Set Up'!$N$15,IF(S8&lt;'[1]Set Up'!$J$16,(S8-'[1]Set Up'!$J$15)*'[1]Set Up'!$N$16+'[1]Set Up'!$O$15,IF(S8&lt;'[1]Set Up'!$J$17,(S8-'[1]Set Up'!$J$16)*'[1]Set Up'!$N$17+'[1]Set Up'!$O$15+'[1]Set Up'!$O$16,(S8-'[1]Set Up'!$J$17)*'[1]Set Up'!$N$18 + SUM('[1]Set Up'!$O$15:'[1]Set Up'!$O$17)))))</f>
        <v>375.56184282273665</v>
      </c>
      <c r="T13" s="26">
        <f>IF(T8="","",IF(T8&lt;'[1]Set Up'!$J$15,T8*'[1]Set Up'!$N$15,IF(T8&lt;'[1]Set Up'!$J$16,(T8-'[1]Set Up'!$J$15)*'[1]Set Up'!$N$16+'[1]Set Up'!$O$15,IF(T8&lt;'[1]Set Up'!$J$17,(T8-'[1]Set Up'!$J$16)*'[1]Set Up'!$N$17+'[1]Set Up'!$O$15+'[1]Set Up'!$O$16,(T8-'[1]Set Up'!$J$17)*'[1]Set Up'!$N$18 + SUM('[1]Set Up'!$O$15:'[1]Set Up'!$O$17)))))</f>
        <v>372.57555321861435</v>
      </c>
      <c r="U13" s="26">
        <f>IF(U8="","",IF(U8&lt;'[1]Set Up'!$J$15,U8*'[1]Set Up'!$N$15,IF(U8&lt;'[1]Set Up'!$J$16,(U8-'[1]Set Up'!$J$15)*'[1]Set Up'!$N$16+'[1]Set Up'!$O$15,IF(U8&lt;'[1]Set Up'!$J$17,(U8-'[1]Set Up'!$J$16)*'[1]Set Up'!$N$17+'[1]Set Up'!$O$15+'[1]Set Up'!$O$16,(U8-'[1]Set Up'!$J$17)*'[1]Set Up'!$N$18 + SUM('[1]Set Up'!$O$15:'[1]Set Up'!$O$17)))))</f>
        <v>369.57433216647149</v>
      </c>
      <c r="V13" s="26">
        <f>IF(V8="","",IF(V8&lt;'[1]Set Up'!$J$15,V8*'[1]Set Up'!$N$15,IF(V8&lt;'[1]Set Up'!$J$16,(V8-'[1]Set Up'!$J$15)*'[1]Set Up'!$N$16+'[1]Set Up'!$O$15,IF(V8&lt;'[1]Set Up'!$J$17,(V8-'[1]Set Up'!$J$16)*'[1]Set Up'!$N$17+'[1]Set Up'!$O$15+'[1]Set Up'!$O$16,(V8-'[1]Set Up'!$J$17)*'[1]Set Up'!$N$18 + SUM('[1]Set Up'!$O$15:'[1]Set Up'!$O$17)))))</f>
        <v>366.58804256234919</v>
      </c>
      <c r="W13" s="26">
        <f>IF(W8="","",IF(W8&lt;'[1]Set Up'!$J$15,W8*'[1]Set Up'!$N$15,IF(W8&lt;'[1]Set Up'!$J$16,(W8-'[1]Set Up'!$J$15)*'[1]Set Up'!$N$16+'[1]Set Up'!$O$15,IF(W8&lt;'[1]Set Up'!$J$17,(W8-'[1]Set Up'!$J$16)*'[1]Set Up'!$N$17+'[1]Set Up'!$O$15+'[1]Set Up'!$O$16,(W8-'[1]Set Up'!$J$17)*'[1]Set Up'!$N$18 + SUM('[1]Set Up'!$O$15:'[1]Set Up'!$O$17)))))</f>
        <v>363.58682151020628</v>
      </c>
      <c r="X13" s="26">
        <f>IF(X8="","",IF(X8&lt;'[1]Set Up'!$J$15,X8*'[1]Set Up'!$N$15,IF(X8&lt;'[1]Set Up'!$J$16,(X8-'[1]Set Up'!$J$15)*'[1]Set Up'!$N$16+'[1]Set Up'!$O$15,IF(X8&lt;'[1]Set Up'!$J$17,(X8-'[1]Set Up'!$J$16)*'[1]Set Up'!$N$17+'[1]Set Up'!$O$15+'[1]Set Up'!$O$16,(X8-'[1]Set Up'!$J$17)*'[1]Set Up'!$N$18 + SUM('[1]Set Up'!$O$15:'[1]Set Up'!$O$17)))))</f>
        <v>360.58560045806342</v>
      </c>
      <c r="Y13" s="26">
        <f>IF(Y8="","",IF(Y8&lt;'[1]Set Up'!$J$15,Y8*'[1]Set Up'!$N$15,IF(Y8&lt;'[1]Set Up'!$J$16,(Y8-'[1]Set Up'!$J$15)*'[1]Set Up'!$N$16+'[1]Set Up'!$O$15,IF(Y8&lt;'[1]Set Up'!$J$17,(Y8-'[1]Set Up'!$J$16)*'[1]Set Up'!$N$17+'[1]Set Up'!$O$15+'[1]Set Up'!$O$16,(Y8-'[1]Set Up'!$J$17)*'[1]Set Up'!$N$18 + SUM('[1]Set Up'!$O$15:'[1]Set Up'!$O$17)))))</f>
        <v>357.59931085394112</v>
      </c>
      <c r="Z13" s="26">
        <f>IF(Z8="","",IF(Z8&lt;'[1]Set Up'!$J$15,Z8*'[1]Set Up'!$N$15,IF(Z8&lt;'[1]Set Up'!$J$16,(Z8-'[1]Set Up'!$J$15)*'[1]Set Up'!$N$16+'[1]Set Up'!$O$15,IF(Z8&lt;'[1]Set Up'!$J$17,(Z8-'[1]Set Up'!$J$16)*'[1]Set Up'!$N$17+'[1]Set Up'!$O$15+'[1]Set Up'!$O$16,(Z8-'[1]Set Up'!$J$17)*'[1]Set Up'!$N$18 + SUM('[1]Set Up'!$O$15:'[1]Set Up'!$O$17)))))</f>
        <v>354.59808980179821</v>
      </c>
      <c r="AA13" s="26">
        <f>IF(AA8="","",IF(AA8&lt;'[1]Set Up'!$J$15,AA8*'[1]Set Up'!$N$15,IF(AA8&lt;'[1]Set Up'!$J$16,(AA8-'[1]Set Up'!$J$15)*'[1]Set Up'!$N$16+'[1]Set Up'!$O$15,IF(AA8&lt;'[1]Set Up'!$J$17,(AA8-'[1]Set Up'!$J$16)*'[1]Set Up'!$N$17+'[1]Set Up'!$O$15+'[1]Set Up'!$O$16,(AA8-'[1]Set Up'!$J$17)*'[1]Set Up'!$N$18 + SUM('[1]Set Up'!$O$15:'[1]Set Up'!$O$17)))))</f>
        <v>351.59686874965536</v>
      </c>
      <c r="AB13" s="26">
        <f>IF(AB8="","",IF(AB8&lt;'[1]Set Up'!$J$15,AB8*'[1]Set Up'!$N$15,IF(AB8&lt;'[1]Set Up'!$J$16,(AB8-'[1]Set Up'!$J$15)*'[1]Set Up'!$N$16+'[1]Set Up'!$O$15,IF(AB8&lt;'[1]Set Up'!$J$17,(AB8-'[1]Set Up'!$J$16)*'[1]Set Up'!$N$17+'[1]Set Up'!$O$15+'[1]Set Up'!$O$16,(AB8-'[1]Set Up'!$J$17)*'[1]Set Up'!$N$18 + SUM('[1]Set Up'!$O$15:'[1]Set Up'!$O$17)))))</f>
        <v>348.61057914553305</v>
      </c>
      <c r="AC13" s="26">
        <f>IF(AC8="","",IF(AC8&lt;'[1]Set Up'!$J$15,AC8*'[1]Set Up'!$N$15,IF(AC8&lt;'[1]Set Up'!$J$16,(AC8-'[1]Set Up'!$J$15)*'[1]Set Up'!$N$16+'[1]Set Up'!$O$15,IF(AC8&lt;'[1]Set Up'!$J$17,(AC8-'[1]Set Up'!$J$16)*'[1]Set Up'!$N$17+'[1]Set Up'!$O$15+'[1]Set Up'!$O$16,(AC8-'[1]Set Up'!$J$17)*'[1]Set Up'!$N$18 + SUM('[1]Set Up'!$O$15:'[1]Set Up'!$O$17)))))</f>
        <v>345.6093580933902</v>
      </c>
      <c r="AD13" s="26">
        <f>IF(AD8="","",IF(AD8&lt;'[1]Set Up'!$J$15,AD8*'[1]Set Up'!$N$15,IF(AD8&lt;'[1]Set Up'!$J$16,(AD8-'[1]Set Up'!$J$15)*'[1]Set Up'!$N$16+'[1]Set Up'!$O$15,IF(AD8&lt;'[1]Set Up'!$J$17,(AD8-'[1]Set Up'!$J$16)*'[1]Set Up'!$N$17+'[1]Set Up'!$O$15+'[1]Set Up'!$O$16,(AD8-'[1]Set Up'!$J$17)*'[1]Set Up'!$N$18 + SUM('[1]Set Up'!$O$15:'[1]Set Up'!$O$17)))))</f>
        <v>342.60813704124729</v>
      </c>
      <c r="AE13" s="26">
        <f>IF(AE8="","",IF(AE8&lt;'[1]Set Up'!$J$15,AE8*'[1]Set Up'!$N$15,IF(AE8&lt;'[1]Set Up'!$J$16,(AE8-'[1]Set Up'!$J$15)*'[1]Set Up'!$N$16+'[1]Set Up'!$O$15,IF(AE8&lt;'[1]Set Up'!$J$17,(AE8-'[1]Set Up'!$J$16)*'[1]Set Up'!$N$17+'[1]Set Up'!$O$15+'[1]Set Up'!$O$16,(AE8-'[1]Set Up'!$J$17)*'[1]Set Up'!$N$18 + SUM('[1]Set Up'!$O$15:'[1]Set Up'!$O$17)))))</f>
        <v>339.62184743712498</v>
      </c>
      <c r="AF13" s="26">
        <f>IF(AF8="","",IF(AF8&lt;'[1]Set Up'!$J$15,AF8*'[1]Set Up'!$N$15,IF(AF8&lt;'[1]Set Up'!$J$16,(AF8-'[1]Set Up'!$J$15)*'[1]Set Up'!$N$16+'[1]Set Up'!$O$15,IF(AF8&lt;'[1]Set Up'!$J$17,(AF8-'[1]Set Up'!$J$16)*'[1]Set Up'!$N$17+'[1]Set Up'!$O$15+'[1]Set Up'!$O$16,(AF8-'[1]Set Up'!$J$17)*'[1]Set Up'!$N$18 + SUM('[1]Set Up'!$O$15:'[1]Set Up'!$O$17)))))</f>
        <v>336.62062638498213</v>
      </c>
      <c r="AG13" s="26">
        <f>IF(AG8="","",IF(AG8&lt;'[1]Set Up'!$J$15,AG8*'[1]Set Up'!$N$15,IF(AG8&lt;'[1]Set Up'!$J$16,(AG8-'[1]Set Up'!$J$15)*'[1]Set Up'!$N$16+'[1]Set Up'!$O$15,IF(AG8&lt;'[1]Set Up'!$J$17,(AG8-'[1]Set Up'!$J$16)*'[1]Set Up'!$N$17+'[1]Set Up'!$O$15+'[1]Set Up'!$O$16,(AG8-'[1]Set Up'!$J$17)*'[1]Set Up'!$N$18 + SUM('[1]Set Up'!$O$15:'[1]Set Up'!$O$17)))))</f>
        <v>333.61940533283922</v>
      </c>
      <c r="AH13" s="26">
        <f>IF(AH8="","",IF(AH8&lt;'[1]Set Up'!$J$15,AH8*'[1]Set Up'!$N$15,IF(AH8&lt;'[1]Set Up'!$J$16,(AH8-'[1]Set Up'!$J$15)*'[1]Set Up'!$N$16+'[1]Set Up'!$O$15,IF(AH8&lt;'[1]Set Up'!$J$17,(AH8-'[1]Set Up'!$J$16)*'[1]Set Up'!$N$17+'[1]Set Up'!$O$15+'[1]Set Up'!$O$16,(AH8-'[1]Set Up'!$J$17)*'[1]Set Up'!$N$18 + SUM('[1]Set Up'!$O$15:'[1]Set Up'!$O$17)))))</f>
        <v>330.63311572871697</v>
      </c>
      <c r="AI13" s="26">
        <f>IF(AI8="","",IF(AI8&lt;'[1]Set Up'!$J$15,AI8*'[1]Set Up'!$N$15,IF(AI8&lt;'[1]Set Up'!$J$16,(AI8-'[1]Set Up'!$J$15)*'[1]Set Up'!$N$16+'[1]Set Up'!$O$15,IF(AI8&lt;'[1]Set Up'!$J$17,(AI8-'[1]Set Up'!$J$16)*'[1]Set Up'!$N$17+'[1]Set Up'!$O$15+'[1]Set Up'!$O$16,(AI8-'[1]Set Up'!$J$17)*'[1]Set Up'!$N$18 + SUM('[1]Set Up'!$O$15:'[1]Set Up'!$O$17)))))</f>
        <v>327.63189467657406</v>
      </c>
      <c r="AJ13" s="26">
        <f>IF(AJ8="","",IF(AJ8&lt;'[1]Set Up'!$J$15,AJ8*'[1]Set Up'!$N$15,IF(AJ8&lt;'[1]Set Up'!$J$16,(AJ8-'[1]Set Up'!$J$15)*'[1]Set Up'!$N$16+'[1]Set Up'!$O$15,IF(AJ8&lt;'[1]Set Up'!$J$17,(AJ8-'[1]Set Up'!$J$16)*'[1]Set Up'!$N$17+'[1]Set Up'!$O$15+'[1]Set Up'!$O$16,(AJ8-'[1]Set Up'!$J$17)*'[1]Set Up'!$N$18 + SUM('[1]Set Up'!$O$15:'[1]Set Up'!$O$17)))))</f>
        <v>324.63067362443121</v>
      </c>
      <c r="AK13" s="26">
        <f>IF(AK8="","",IF(AK8&lt;'[1]Set Up'!$J$15,AK8*'[1]Set Up'!$N$15,IF(AK8&lt;'[1]Set Up'!$J$16,(AK8-'[1]Set Up'!$J$15)*'[1]Set Up'!$N$16+'[1]Set Up'!$O$15,IF(AK8&lt;'[1]Set Up'!$J$17,(AK8-'[1]Set Up'!$J$16)*'[1]Set Up'!$N$17+'[1]Set Up'!$O$15+'[1]Set Up'!$O$16,(AK8-'[1]Set Up'!$J$17)*'[1]Set Up'!$N$18 + SUM('[1]Set Up'!$O$15:'[1]Set Up'!$O$17)))))</f>
        <v>321.64438402030891</v>
      </c>
      <c r="AL13" s="26">
        <f>IF(AL8="","",IF(AL8&lt;'[1]Set Up'!$J$15,AL8*'[1]Set Up'!$N$15,IF(AL8&lt;'[1]Set Up'!$J$16,(AL8-'[1]Set Up'!$J$15)*'[1]Set Up'!$N$16+'[1]Set Up'!$O$15,IF(AL8&lt;'[1]Set Up'!$J$17,(AL8-'[1]Set Up'!$J$16)*'[1]Set Up'!$N$17+'[1]Set Up'!$O$15+'[1]Set Up'!$O$16,(AL8-'[1]Set Up'!$J$17)*'[1]Set Up'!$N$18 + SUM('[1]Set Up'!$O$15:'[1]Set Up'!$O$17)))))</f>
        <v>318.643162968166</v>
      </c>
      <c r="AM13" s="26">
        <f>IF(AM8="","",IF(AM8&lt;'[1]Set Up'!$J$15,AM8*'[1]Set Up'!$N$15,IF(AM8&lt;'[1]Set Up'!$J$16,(AM8-'[1]Set Up'!$J$15)*'[1]Set Up'!$N$16+'[1]Set Up'!$O$15,IF(AM8&lt;'[1]Set Up'!$J$17,(AM8-'[1]Set Up'!$J$16)*'[1]Set Up'!$N$17+'[1]Set Up'!$O$15+'[1]Set Up'!$O$16,(AM8-'[1]Set Up'!$J$17)*'[1]Set Up'!$N$18 + SUM('[1]Set Up'!$O$15:'[1]Set Up'!$O$17)))))</f>
        <v>315.64194191602314</v>
      </c>
      <c r="AN13" s="26">
        <f>IF(AN8="","",IF(AN8&lt;'[1]Set Up'!$J$15,AN8*'[1]Set Up'!$N$15,IF(AN8&lt;'[1]Set Up'!$J$16,(AN8-'[1]Set Up'!$J$15)*'[1]Set Up'!$N$16+'[1]Set Up'!$O$15,IF(AN8&lt;'[1]Set Up'!$J$17,(AN8-'[1]Set Up'!$J$16)*'[1]Set Up'!$N$17+'[1]Set Up'!$O$15+'[1]Set Up'!$O$16,(AN8-'[1]Set Up'!$J$17)*'[1]Set Up'!$N$18 + SUM('[1]Set Up'!$O$15:'[1]Set Up'!$O$17)))))</f>
        <v>312.65565231190084</v>
      </c>
      <c r="AO13" s="26">
        <v>306.66814165563568</v>
      </c>
      <c r="AP13" s="26">
        <f>IF(AP8="","",IF(AP8&lt;'[1]Set Up'!$J$15,AP8*'[1]Set Up'!$N$15,IF(AP8&lt;'[1]Set Up'!$J$16,(AP8-'[1]Set Up'!$J$15)*'[1]Set Up'!$N$16+'[1]Set Up'!$O$15,IF(AP8&lt;'[1]Set Up'!$J$17,(AP8-'[1]Set Up'!$J$16)*'[1]Set Up'!$N$17+'[1]Set Up'!$O$15+'[1]Set Up'!$O$16,(AP8-'[1]Set Up'!$J$17)*'[1]Set Up'!$N$18 + SUM('[1]Set Up'!$O$15:'[1]Set Up'!$O$17)))))</f>
        <v>306.66814165563568</v>
      </c>
      <c r="AQ13" s="26">
        <f>IF(AQ8="","",IF(AQ8&lt;'[1]Set Up'!$J$15,AQ8*'[1]Set Up'!$N$15,IF(AQ8&lt;'[1]Set Up'!$J$16,(AQ8-'[1]Set Up'!$J$15)*'[1]Set Up'!$N$16+'[1]Set Up'!$O$15,IF(AQ8&lt;'[1]Set Up'!$J$17,(AQ8-'[1]Set Up'!$J$16)*'[1]Set Up'!$N$17+'[1]Set Up'!$O$15+'[1]Set Up'!$O$16,(AQ8-'[1]Set Up'!$J$17)*'[1]Set Up'!$N$18 + SUM('[1]Set Up'!$O$15:'[1]Set Up'!$O$17)))))</f>
        <v>303.66692060349277</v>
      </c>
      <c r="AR13" s="26">
        <f>IF(AR8="","",IF(AR8&lt;'[1]Set Up'!$J$15,AR8*'[1]Set Up'!$N$15,IF(AR8&lt;'[1]Set Up'!$J$16,(AR8-'[1]Set Up'!$J$15)*'[1]Set Up'!$N$16+'[1]Set Up'!$O$15,IF(AR8&lt;'[1]Set Up'!$J$17,(AR8-'[1]Set Up'!$J$16)*'[1]Set Up'!$N$17+'[1]Set Up'!$O$15+'[1]Set Up'!$O$16,(AR8-'[1]Set Up'!$J$17)*'[1]Set Up'!$N$18 + SUM('[1]Set Up'!$O$15:'[1]Set Up'!$O$17)))))</f>
        <v>300.66569955134992</v>
      </c>
      <c r="AS13" s="26">
        <f>IF(AS8="","",IF(AS8&lt;'[1]Set Up'!$J$15,AS8*'[1]Set Up'!$N$15,IF(AS8&lt;'[1]Set Up'!$J$16,(AS8-'[1]Set Up'!$J$15)*'[1]Set Up'!$N$16+'[1]Set Up'!$O$15,IF(AS8&lt;'[1]Set Up'!$J$17,(AS8-'[1]Set Up'!$J$16)*'[1]Set Up'!$N$17+'[1]Set Up'!$O$15+'[1]Set Up'!$O$16,(AS8-'[1]Set Up'!$J$17)*'[1]Set Up'!$N$18 + SUM('[1]Set Up'!$O$15:'[1]Set Up'!$O$17)))))</f>
        <v>297.67940994722761</v>
      </c>
      <c r="AT13" s="26">
        <f>IF(AT8="","",IF(AT8&lt;'[1]Set Up'!$J$15,AT8*'[1]Set Up'!$N$15,IF(AT8&lt;'[1]Set Up'!$J$16,(AT8-'[1]Set Up'!$J$15)*'[1]Set Up'!$N$16+'[1]Set Up'!$O$15,IF(AT8&lt;'[1]Set Up'!$J$17,(AT8-'[1]Set Up'!$J$16)*'[1]Set Up'!$N$17+'[1]Set Up'!$O$15+'[1]Set Up'!$O$16,(AT8-'[1]Set Up'!$J$17)*'[1]Set Up'!$N$18 + SUM('[1]Set Up'!$O$15:'[1]Set Up'!$O$17)))))</f>
        <v>294.6781888950847</v>
      </c>
      <c r="AU13" s="26">
        <f>IF(AU8="","",IF(AU8&lt;'[1]Set Up'!$J$15,AU8*'[1]Set Up'!$N$15,IF(AU8&lt;'[1]Set Up'!$J$16,(AU8-'[1]Set Up'!$J$15)*'[1]Set Up'!$N$16+'[1]Set Up'!$O$15,IF(AU8&lt;'[1]Set Up'!$J$17,(AU8-'[1]Set Up'!$J$16)*'[1]Set Up'!$N$17+'[1]Set Up'!$O$15+'[1]Set Up'!$O$16,(AU8-'[1]Set Up'!$J$17)*'[1]Set Up'!$N$18 + SUM('[1]Set Up'!$O$15:'[1]Set Up'!$O$17)))))</f>
        <v>291.67696784294185</v>
      </c>
      <c r="AV13" s="26">
        <f>IF(AV8="","",IF(AV8&lt;'[1]Set Up'!$J$15,AV8*'[1]Set Up'!$N$15,IF(AV8&lt;'[1]Set Up'!$J$16,(AV8-'[1]Set Up'!$J$15)*'[1]Set Up'!$N$16+'[1]Set Up'!$O$15,IF(AV8&lt;'[1]Set Up'!$J$17,(AV8-'[1]Set Up'!$J$16)*'[1]Set Up'!$N$17+'[1]Set Up'!$O$15+'[1]Set Up'!$O$16,(AV8-'[1]Set Up'!$J$17)*'[1]Set Up'!$N$18 + SUM('[1]Set Up'!$O$15:'[1]Set Up'!$O$17)))))</f>
        <v>288.69067823881954</v>
      </c>
      <c r="AW13" s="26">
        <f>IF(AW8="","",IF(AW8&lt;'[1]Set Up'!$J$15,AW8*'[1]Set Up'!$N$15,IF(AW8&lt;'[1]Set Up'!$J$16,(AW8-'[1]Set Up'!$J$15)*'[1]Set Up'!$N$16+'[1]Set Up'!$O$15,IF(AW8&lt;'[1]Set Up'!$J$17,(AW8-'[1]Set Up'!$J$16)*'[1]Set Up'!$N$17+'[1]Set Up'!$O$15+'[1]Set Up'!$O$16,(AW8-'[1]Set Up'!$J$17)*'[1]Set Up'!$N$18 + SUM('[1]Set Up'!$O$15:'[1]Set Up'!$O$17)))))</f>
        <v>285.68945718667663</v>
      </c>
      <c r="AX13" s="26">
        <f>IF(AX8="","",IF(AX8&lt;'[1]Set Up'!$J$15,AX8*'[1]Set Up'!$N$15,IF(AX8&lt;'[1]Set Up'!$J$16,(AX8-'[1]Set Up'!$J$15)*'[1]Set Up'!$N$16+'[1]Set Up'!$O$15,IF(AX8&lt;'[1]Set Up'!$J$17,(AX8-'[1]Set Up'!$J$16)*'[1]Set Up'!$N$17+'[1]Set Up'!$O$15+'[1]Set Up'!$O$16,(AX8-'[1]Set Up'!$J$17)*'[1]Set Up'!$N$18 + SUM('[1]Set Up'!$O$15:'[1]Set Up'!$O$17)))))</f>
        <v>282.68823613453378</v>
      </c>
      <c r="AY13" s="26">
        <f>IF(AY8="","",IF(AY8&lt;'[1]Set Up'!$J$15,AY8*'[1]Set Up'!$N$15,IF(AY8&lt;'[1]Set Up'!$J$16,(AY8-'[1]Set Up'!$J$15)*'[1]Set Up'!$N$16+'[1]Set Up'!$O$15,IF(AY8&lt;'[1]Set Up'!$J$17,(AY8-'[1]Set Up'!$J$16)*'[1]Set Up'!$N$17+'[1]Set Up'!$O$15+'[1]Set Up'!$O$16,(AY8-'[1]Set Up'!$J$17)*'[1]Set Up'!$N$18 + SUM('[1]Set Up'!$O$15:'[1]Set Up'!$O$17)))))</f>
        <v>279.70194653041148</v>
      </c>
      <c r="AZ13" s="26">
        <f>IF(AZ8="","",IF(AZ8&lt;'[1]Set Up'!$J$15,AZ8*'[1]Set Up'!$N$15,IF(AZ8&lt;'[1]Set Up'!$J$16,(AZ8-'[1]Set Up'!$J$15)*'[1]Set Up'!$N$16+'[1]Set Up'!$O$15,IF(AZ8&lt;'[1]Set Up'!$J$17,(AZ8-'[1]Set Up'!$J$16)*'[1]Set Up'!$N$17+'[1]Set Up'!$O$15+'[1]Set Up'!$O$16,(AZ8-'[1]Set Up'!$J$17)*'[1]Set Up'!$N$18 + SUM('[1]Set Up'!$O$15:'[1]Set Up'!$O$17)))))</f>
        <v>276.70072547826862</v>
      </c>
      <c r="BA13" s="26">
        <f>IF(BA8="","",IF(BA8&lt;'[1]Set Up'!$J$15,BA8*'[1]Set Up'!$N$15,IF(BA8&lt;'[1]Set Up'!$J$16,(BA8-'[1]Set Up'!$J$15)*'[1]Set Up'!$N$16+'[1]Set Up'!$O$15,IF(BA8&lt;'[1]Set Up'!$J$17,(BA8-'[1]Set Up'!$J$16)*'[1]Set Up'!$N$17+'[1]Set Up'!$O$15+'[1]Set Up'!$O$16,(BA8-'[1]Set Up'!$J$17)*'[1]Set Up'!$N$18 + SUM('[1]Set Up'!$O$15:'[1]Set Up'!$O$17)))))</f>
        <v>273.69950442612571</v>
      </c>
      <c r="BB13" s="26">
        <f>IF(BB8="","",IF(BB8&lt;'[1]Set Up'!$J$15,BB8*'[1]Set Up'!$N$15,IF(BB8&lt;'[1]Set Up'!$J$16,(BB8-'[1]Set Up'!$J$15)*'[1]Set Up'!$N$16+'[1]Set Up'!$O$15,IF(BB8&lt;'[1]Set Up'!$J$17,(BB8-'[1]Set Up'!$J$16)*'[1]Set Up'!$N$17+'[1]Set Up'!$O$15+'[1]Set Up'!$O$16,(BB8-'[1]Set Up'!$J$17)*'[1]Set Up'!$N$18 + SUM('[1]Set Up'!$O$15:'[1]Set Up'!$O$17)))))</f>
        <v>270.71321482200341</v>
      </c>
      <c r="BC13" s="26">
        <f>IF(BC8="","",IF(BC8&lt;'[1]Set Up'!$J$15,BC8*'[1]Set Up'!$N$15,IF(BC8&lt;'[1]Set Up'!$J$16,(BC8-'[1]Set Up'!$J$15)*'[1]Set Up'!$N$16+'[1]Set Up'!$O$15,IF(BC8&lt;'[1]Set Up'!$J$17,(BC8-'[1]Set Up'!$J$16)*'[1]Set Up'!$N$17+'[1]Set Up'!$O$15+'[1]Set Up'!$O$16,(BC8-'[1]Set Up'!$J$17)*'[1]Set Up'!$N$18 + SUM('[1]Set Up'!$O$15:'[1]Set Up'!$O$17)))))</f>
        <v>267.30884467330401</v>
      </c>
      <c r="BD13" s="26">
        <f>IF(BD8="","",IF(BD8&lt;'[1]Set Up'!$J$15,BD8*'[1]Set Up'!$N$15,IF(BD8&lt;'[1]Set Up'!$J$16,(BD8-'[1]Set Up'!$J$15)*'[1]Set Up'!$N$16+'[1]Set Up'!$O$15,IF(BD8&lt;'[1]Set Up'!$J$17,(BD8-'[1]Set Up'!$J$16)*'[1]Set Up'!$N$17+'[1]Set Up'!$O$15+'[1]Set Up'!$O$16,(BD8-'[1]Set Up'!$J$17)*'[1]Set Up'!$N$18 + SUM('[1]Set Up'!$O$15:'[1]Set Up'!$O$17)))))</f>
        <v>0</v>
      </c>
      <c r="BE13" s="26">
        <f>IF(BE8="","",IF(BE8&lt;'[1]Set Up'!$J$15,BE8*'[1]Set Up'!$N$15,IF(BE8&lt;'[1]Set Up'!$J$16,(BE8-'[1]Set Up'!$J$15)*'[1]Set Up'!$N$16+'[1]Set Up'!$O$15,IF(BE8&lt;'[1]Set Up'!$J$17,(BE8-'[1]Set Up'!$J$16)*'[1]Set Up'!$N$17+'[1]Set Up'!$O$15+'[1]Set Up'!$O$16,(BE8-'[1]Set Up'!$J$17)*'[1]Set Up'!$N$18 + SUM('[1]Set Up'!$O$15:'[1]Set Up'!$O$17)))))</f>
        <v>0</v>
      </c>
      <c r="BF13" s="26">
        <f>IF(BF8="","",IF(BF8&lt;'[1]Set Up'!$J$15,BF8*'[1]Set Up'!$N$15,IF(BF8&lt;'[1]Set Up'!$J$16,(BF8-'[1]Set Up'!$J$15)*'[1]Set Up'!$N$16+'[1]Set Up'!$O$15,IF(BF8&lt;'[1]Set Up'!$J$17,(BF8-'[1]Set Up'!$J$16)*'[1]Set Up'!$N$17+'[1]Set Up'!$O$15+'[1]Set Up'!$O$16,(BF8-'[1]Set Up'!$J$17)*'[1]Set Up'!$N$18 + SUM('[1]Set Up'!$O$15:'[1]Set Up'!$O$17)))))</f>
        <v>0</v>
      </c>
      <c r="BG13" s="26">
        <f>IF(BG8="","",IF(BG8&lt;'[1]Set Up'!$J$15,BG8*'[1]Set Up'!$N$15,IF(BG8&lt;'[1]Set Up'!$J$16,(BG8-'[1]Set Up'!$J$15)*'[1]Set Up'!$N$16+'[1]Set Up'!$O$15,IF(BG8&lt;'[1]Set Up'!$J$17,(BG8-'[1]Set Up'!$J$16)*'[1]Set Up'!$N$17+'[1]Set Up'!$O$15+'[1]Set Up'!$O$16,(BG8-'[1]Set Up'!$J$17)*'[1]Set Up'!$N$18 + SUM('[1]Set Up'!$O$15:'[1]Set Up'!$O$17)))))</f>
        <v>0</v>
      </c>
      <c r="BH13" s="26">
        <f>IF(BH8="","",IF(BH8&lt;'[1]Set Up'!$J$15,BH8*'[1]Set Up'!$N$15,IF(BH8&lt;'[1]Set Up'!$J$16,(BH8-'[1]Set Up'!$J$15)*'[1]Set Up'!$N$16+'[1]Set Up'!$O$15,IF(BH8&lt;'[1]Set Up'!$J$17,(BH8-'[1]Set Up'!$J$16)*'[1]Set Up'!$N$17+'[1]Set Up'!$O$15+'[1]Set Up'!$O$16,(BH8-'[1]Set Up'!$J$17)*'[1]Set Up'!$N$18 + SUM('[1]Set Up'!$O$15:'[1]Set Up'!$O$17)))))</f>
        <v>0</v>
      </c>
      <c r="BI13" s="26">
        <f>IF(BI8="","",IF(BI8&lt;'[1]Set Up'!$J$15,BI8*'[1]Set Up'!$N$15,IF(BI8&lt;'[1]Set Up'!$J$16,(BI8-'[1]Set Up'!$J$15)*'[1]Set Up'!$N$16+'[1]Set Up'!$O$15,IF(BI8&lt;'[1]Set Up'!$J$17,(BI8-'[1]Set Up'!$J$16)*'[1]Set Up'!$N$17+'[1]Set Up'!$O$15+'[1]Set Up'!$O$16,(BI8-'[1]Set Up'!$J$17)*'[1]Set Up'!$N$18 + SUM('[1]Set Up'!$O$15:'[1]Set Up'!$O$17)))))</f>
        <v>0</v>
      </c>
      <c r="BJ13" s="26">
        <f>IF(BJ8="","",IF(BJ8&lt;'[1]Set Up'!$J$15,BJ8*'[1]Set Up'!$N$15,IF(BJ8&lt;'[1]Set Up'!$J$16,(BJ8-'[1]Set Up'!$J$15)*'[1]Set Up'!$N$16+'[1]Set Up'!$O$15,IF(BJ8&lt;'[1]Set Up'!$J$17,(BJ8-'[1]Set Up'!$J$16)*'[1]Set Up'!$N$17+'[1]Set Up'!$O$15+'[1]Set Up'!$O$16,(BJ8-'[1]Set Up'!$J$17)*'[1]Set Up'!$N$18 + SUM('[1]Set Up'!$O$15:'[1]Set Up'!$O$17)))))</f>
        <v>0</v>
      </c>
      <c r="BK13" s="26">
        <f>IF(BK8="","",IF(BK8&lt;'[1]Set Up'!$J$15,BK8*'[1]Set Up'!$N$15,IF(BK8&lt;'[1]Set Up'!$J$16,(BK8-'[1]Set Up'!$J$15)*'[1]Set Up'!$N$16+'[1]Set Up'!$O$15,IF(BK8&lt;'[1]Set Up'!$J$17,(BK8-'[1]Set Up'!$J$16)*'[1]Set Up'!$N$17+'[1]Set Up'!$O$15+'[1]Set Up'!$O$16,(BK8-'[1]Set Up'!$J$17)*'[1]Set Up'!$N$18 + SUM('[1]Set Up'!$O$15:'[1]Set Up'!$O$17)))))</f>
        <v>0</v>
      </c>
      <c r="BL13" s="26">
        <f>IF(BL8="","",IF(BL8&lt;'[1]Set Up'!$J$15,BL8*'[1]Set Up'!$N$15,IF(BL8&lt;'[1]Set Up'!$J$16,(BL8-'[1]Set Up'!$J$15)*'[1]Set Up'!$N$16+'[1]Set Up'!$O$15,IF(BL8&lt;'[1]Set Up'!$J$17,(BL8-'[1]Set Up'!$J$16)*'[1]Set Up'!$N$17+'[1]Set Up'!$O$15+'[1]Set Up'!$O$16,(BL8-'[1]Set Up'!$J$17)*'[1]Set Up'!$N$18 + SUM('[1]Set Up'!$O$15:'[1]Set Up'!$O$17)))))</f>
        <v>0</v>
      </c>
      <c r="BM13" s="26">
        <f>IF(BM8="","",IF(BM8&lt;'[1]Set Up'!$J$15,BM8*'[1]Set Up'!$N$15,IF(BM8&lt;'[1]Set Up'!$J$16,(BM8-'[1]Set Up'!$J$15)*'[1]Set Up'!$N$16+'[1]Set Up'!$O$15,IF(BM8&lt;'[1]Set Up'!$J$17,(BM8-'[1]Set Up'!$J$16)*'[1]Set Up'!$N$17+'[1]Set Up'!$O$15+'[1]Set Up'!$O$16,(BM8-'[1]Set Up'!$J$17)*'[1]Set Up'!$N$18 + SUM('[1]Set Up'!$O$15:'[1]Set Up'!$O$17)))))</f>
        <v>0</v>
      </c>
      <c r="BN13" s="26">
        <f>IF(BN8="","",IF(BN8&lt;'[1]Set Up'!$J$15,BN8*'[1]Set Up'!$N$15,IF(BN8&lt;'[1]Set Up'!$J$16,(BN8-'[1]Set Up'!$J$15)*'[1]Set Up'!$N$16+'[1]Set Up'!$O$15,IF(BN8&lt;'[1]Set Up'!$J$17,(BN8-'[1]Set Up'!$J$16)*'[1]Set Up'!$N$17+'[1]Set Up'!$O$15+'[1]Set Up'!$O$16,(BN8-'[1]Set Up'!$J$17)*'[1]Set Up'!$N$18 + SUM('[1]Set Up'!$O$15:'[1]Set Up'!$O$17)))))</f>
        <v>0</v>
      </c>
      <c r="BO13" s="26">
        <f>IF(BO8="","",IF(BO8&lt;'[1]Set Up'!$J$15,BO8*'[1]Set Up'!$N$15,IF(BO8&lt;'[1]Set Up'!$J$16,(BO8-'[1]Set Up'!$J$15)*'[1]Set Up'!$N$16+'[1]Set Up'!$O$15,IF(BO8&lt;'[1]Set Up'!$J$17,(BO8-'[1]Set Up'!$J$16)*'[1]Set Up'!$N$17+'[1]Set Up'!$O$15+'[1]Set Up'!$O$16,(BO8-'[1]Set Up'!$J$17)*'[1]Set Up'!$N$18 + SUM('[1]Set Up'!$O$15:'[1]Set Up'!$O$17)))))</f>
        <v>0</v>
      </c>
      <c r="BP13" s="26">
        <f>IF(BP8="","",IF(BP8&lt;'[1]Set Up'!$J$15,BP8*'[1]Set Up'!$N$15,IF(BP8&lt;'[1]Set Up'!$J$16,(BP8-'[1]Set Up'!$J$15)*'[1]Set Up'!$N$16+'[1]Set Up'!$O$15,IF(BP8&lt;'[1]Set Up'!$J$17,(BP8-'[1]Set Up'!$J$16)*'[1]Set Up'!$N$17+'[1]Set Up'!$O$15+'[1]Set Up'!$O$16,(BP8-'[1]Set Up'!$J$17)*'[1]Set Up'!$N$18 + SUM('[1]Set Up'!$O$15:'[1]Set Up'!$O$17)))))</f>
        <v>0</v>
      </c>
      <c r="BQ13" s="26">
        <f>IF(BQ8="","",IF(BQ8&lt;'[1]Set Up'!$J$15,BQ8*'[1]Set Up'!$N$15,IF(BQ8&lt;'[1]Set Up'!$J$16,(BQ8-'[1]Set Up'!$J$15)*'[1]Set Up'!$N$16+'[1]Set Up'!$O$15,IF(BQ8&lt;'[1]Set Up'!$J$17,(BQ8-'[1]Set Up'!$J$16)*'[1]Set Up'!$N$17+'[1]Set Up'!$O$15+'[1]Set Up'!$O$16,(BQ8-'[1]Set Up'!$J$17)*'[1]Set Up'!$N$18 + SUM('[1]Set Up'!$O$15:'[1]Set Up'!$O$17)))))</f>
        <v>0</v>
      </c>
      <c r="BR13" s="26">
        <f>IF(BR8="","",IF(BR8&lt;'[1]Set Up'!$J$15,BR8*'[1]Set Up'!$N$15,IF(BR8&lt;'[1]Set Up'!$J$16,(BR8-'[1]Set Up'!$J$15)*'[1]Set Up'!$N$16+'[1]Set Up'!$O$15,IF(BR8&lt;'[1]Set Up'!$J$17,(BR8-'[1]Set Up'!$J$16)*'[1]Set Up'!$N$17+'[1]Set Up'!$O$15+'[1]Set Up'!$O$16,(BR8-'[1]Set Up'!$J$17)*'[1]Set Up'!$N$18 + SUM('[1]Set Up'!$O$15:'[1]Set Up'!$O$17)))))</f>
        <v>0</v>
      </c>
      <c r="BS13" s="26">
        <f>IF(BS8="","",IF(BS8&lt;'[1]Set Up'!$J$15,BS8*'[1]Set Up'!$N$15,IF(BS8&lt;'[1]Set Up'!$J$16,(BS8-'[1]Set Up'!$J$15)*'[1]Set Up'!$N$16+'[1]Set Up'!$O$15,IF(BS8&lt;'[1]Set Up'!$J$17,(BS8-'[1]Set Up'!$J$16)*'[1]Set Up'!$N$17+'[1]Set Up'!$O$15+'[1]Set Up'!$O$16,(BS8-'[1]Set Up'!$J$17)*'[1]Set Up'!$N$18 + SUM('[1]Set Up'!$O$15:'[1]Set Up'!$O$17)))))</f>
        <v>0</v>
      </c>
      <c r="BT13" s="26">
        <f>IF(BT8="","",IF(BT8&lt;'[1]Set Up'!$J$15,BT8*'[1]Set Up'!$N$15,IF(BT8&lt;'[1]Set Up'!$J$16,(BT8-'[1]Set Up'!$J$15)*'[1]Set Up'!$N$16+'[1]Set Up'!$O$15,IF(BT8&lt;'[1]Set Up'!$J$17,(BT8-'[1]Set Up'!$J$16)*'[1]Set Up'!$N$17+'[1]Set Up'!$O$15+'[1]Set Up'!$O$16,(BT8-'[1]Set Up'!$J$17)*'[1]Set Up'!$N$18 + SUM('[1]Set Up'!$O$15:'[1]Set Up'!$O$17)))))</f>
        <v>0</v>
      </c>
      <c r="BU13" s="26">
        <f>IF(BU8="","",IF(BU8&lt;'[1]Set Up'!$J$15,BU8*'[1]Set Up'!$N$15,IF(BU8&lt;'[1]Set Up'!$J$16,(BU8-'[1]Set Up'!$J$15)*'[1]Set Up'!$N$16+'[1]Set Up'!$O$15,IF(BU8&lt;'[1]Set Up'!$J$17,(BU8-'[1]Set Up'!$J$16)*'[1]Set Up'!$N$17+'[1]Set Up'!$O$15+'[1]Set Up'!$O$16,(BU8-'[1]Set Up'!$J$17)*'[1]Set Up'!$N$18 + SUM('[1]Set Up'!$O$15:'[1]Set Up'!$O$17)))))</f>
        <v>0</v>
      </c>
      <c r="BV13" s="26">
        <f>IF(BV8="","",IF(BV8&lt;'[1]Set Up'!$J$15,BV8*'[1]Set Up'!$N$15,IF(BV8&lt;'[1]Set Up'!$J$16,(BV8-'[1]Set Up'!$J$15)*'[1]Set Up'!$N$16+'[1]Set Up'!$O$15,IF(BV8&lt;'[1]Set Up'!$J$17,(BV8-'[1]Set Up'!$J$16)*'[1]Set Up'!$N$17+'[1]Set Up'!$O$15+'[1]Set Up'!$O$16,(BV8-'[1]Set Up'!$J$17)*'[1]Set Up'!$N$18 + SUM('[1]Set Up'!$O$15:'[1]Set Up'!$O$17)))))</f>
        <v>0</v>
      </c>
      <c r="BW13" s="26">
        <f>IF(BW8="","",IF(BW8&lt;'[1]Set Up'!$J$15,BW8*'[1]Set Up'!$N$15,IF(BW8&lt;'[1]Set Up'!$J$16,(BW8-'[1]Set Up'!$J$15)*'[1]Set Up'!$N$16+'[1]Set Up'!$O$15,IF(BW8&lt;'[1]Set Up'!$J$17,(BW8-'[1]Set Up'!$J$16)*'[1]Set Up'!$N$17+'[1]Set Up'!$O$15+'[1]Set Up'!$O$16,(BW8-'[1]Set Up'!$J$17)*'[1]Set Up'!$N$18 + SUM('[1]Set Up'!$O$15:'[1]Set Up'!$O$17)))))</f>
        <v>0</v>
      </c>
      <c r="BX13" s="26">
        <f>IF(BX8="","",IF(BX8&lt;'[1]Set Up'!$J$15,BX8*'[1]Set Up'!$N$15,IF(BX8&lt;'[1]Set Up'!$J$16,(BX8-'[1]Set Up'!$J$15)*'[1]Set Up'!$N$16+'[1]Set Up'!$O$15,IF(BX8&lt;'[1]Set Up'!$J$17,(BX8-'[1]Set Up'!$J$16)*'[1]Set Up'!$N$17+'[1]Set Up'!$O$15+'[1]Set Up'!$O$16,(BX8-'[1]Set Up'!$J$17)*'[1]Set Up'!$N$18 + SUM('[1]Set Up'!$O$15:'[1]Set Up'!$O$17)))))</f>
        <v>0</v>
      </c>
      <c r="BY13" s="26">
        <f>IF(BY8="","",IF(BY8&lt;'[1]Set Up'!$J$15,BY8*'[1]Set Up'!$N$15,IF(BY8&lt;'[1]Set Up'!$J$16,(BY8-'[1]Set Up'!$J$15)*'[1]Set Up'!$N$16+'[1]Set Up'!$O$15,IF(BY8&lt;'[1]Set Up'!$J$17,(BY8-'[1]Set Up'!$J$16)*'[1]Set Up'!$N$17+'[1]Set Up'!$O$15+'[1]Set Up'!$O$16,(BY8-'[1]Set Up'!$J$17)*'[1]Set Up'!$N$18 + SUM('[1]Set Up'!$O$15:'[1]Set Up'!$O$17)))))</f>
        <v>0</v>
      </c>
      <c r="BZ13" s="8"/>
    </row>
    <row r="14" spans="1:78" x14ac:dyDescent="0.35">
      <c r="A14" s="27" t="s">
        <v>21</v>
      </c>
      <c r="B14" s="195"/>
      <c r="C14" s="28">
        <f>IF(C9="","",IF(C9&lt;'[1]Set Up'!$J$15,C9*'[1]Set Up'!$N$15,IF(C9&lt;'[1]Set Up'!$J$16,(C9-'[1]Set Up'!$J$15)*'[1]Set Up'!$N$16+'[1]Set Up'!$O$15,IF(C9&lt;'[1]Set Up'!$J$17,(C9-'[1]Set Up'!$J$16)*'[1]Set Up'!$N$17+'[1]Set Up'!$O$15+'[1]Set Up'!$O$16,(C9-'[1]Set Up'!$J$17)*'[1]Set Up'!$N$18 + SUM('[1]Set Up'!$O$15:'[1]Set Up'!$O$17)))))</f>
        <v>425.9256169962589</v>
      </c>
      <c r="D14" s="28">
        <f>IF(D9="","",IF(D9&lt;'[1]Set Up'!$J$15,D9*'[1]Set Up'!$N$15,IF(D9&lt;'[1]Set Up'!$J$16,(D9-'[1]Set Up'!$J$15)*'[1]Set Up'!$N$16+'[1]Set Up'!$O$15,IF(D9&lt;'[1]Set Up'!$J$17,(D9-'[1]Set Up'!$J$16)*'[1]Set Up'!$N$17+'[1]Set Up'!$O$15+'[1]Set Up'!$O$16,(D9-'[1]Set Up'!$J$17)*'[1]Set Up'!$N$18 + SUM('[1]Set Up'!$O$15:'[1]Set Up'!$O$17)))))</f>
        <v>422.92439594411599</v>
      </c>
      <c r="E14" s="28">
        <f>IF(E9="","",IF(E9&lt;'[1]Set Up'!$J$15,E9*'[1]Set Up'!$N$15,IF(E9&lt;'[1]Set Up'!$J$16,(E9-'[1]Set Up'!$J$15)*'[1]Set Up'!$N$16+'[1]Set Up'!$O$15,IF(E9&lt;'[1]Set Up'!$J$17,(E9-'[1]Set Up'!$J$16)*'[1]Set Up'!$N$17+'[1]Set Up'!$O$15+'[1]Set Up'!$O$16,(E9-'[1]Set Up'!$J$17)*'[1]Set Up'!$N$18 + SUM('[1]Set Up'!$O$15:'[1]Set Up'!$O$17)))))</f>
        <v>419.92317489197308</v>
      </c>
      <c r="F14" s="28">
        <f>IF(F9="","",IF(F9&lt;'[1]Set Up'!$J$15,F9*'[1]Set Up'!$N$15,IF(F9&lt;'[1]Set Up'!$J$16,(F9-'[1]Set Up'!$J$15)*'[1]Set Up'!$N$16+'[1]Set Up'!$O$15,IF(F9&lt;'[1]Set Up'!$J$17,(F9-'[1]Set Up'!$J$16)*'[1]Set Up'!$N$17+'[1]Set Up'!$O$15+'[1]Set Up'!$O$16,(F9-'[1]Set Up'!$J$17)*'[1]Set Up'!$N$18 + SUM('[1]Set Up'!$O$15:'[1]Set Up'!$O$17)))))</f>
        <v>416.93688528785083</v>
      </c>
      <c r="G14" s="28">
        <f>IF(G9="","",IF(G9&lt;'[1]Set Up'!$J$15,G9*'[1]Set Up'!$N$15,IF(G9&lt;'[1]Set Up'!$J$16,(G9-'[1]Set Up'!$J$15)*'[1]Set Up'!$N$16+'[1]Set Up'!$O$15,IF(G9&lt;'[1]Set Up'!$J$17,(G9-'[1]Set Up'!$J$16)*'[1]Set Up'!$N$17+'[1]Set Up'!$O$15+'[1]Set Up'!$O$16,(G9-'[1]Set Up'!$J$17)*'[1]Set Up'!$N$18 + SUM('[1]Set Up'!$O$15:'[1]Set Up'!$O$17)))))</f>
        <v>413.93566423570792</v>
      </c>
      <c r="H14" s="28">
        <f>IF(H9="","",IF(H9&lt;'[1]Set Up'!$J$15,H9*'[1]Set Up'!$N$15,IF(H9&lt;'[1]Set Up'!$J$16,(H9-'[1]Set Up'!$J$15)*'[1]Set Up'!$N$16+'[1]Set Up'!$O$15,IF(H9&lt;'[1]Set Up'!$J$17,(H9-'[1]Set Up'!$J$16)*'[1]Set Up'!$N$17+'[1]Set Up'!$O$15+'[1]Set Up'!$O$16,(H9-'[1]Set Up'!$J$17)*'[1]Set Up'!$N$18 + SUM('[1]Set Up'!$O$15:'[1]Set Up'!$O$17)))))</f>
        <v>410.93444318356501</v>
      </c>
      <c r="I14" s="28">
        <f>IF(I9="","",IF(I9&lt;'[1]Set Up'!$J$15,I9*'[1]Set Up'!$N$15,IF(I9&lt;'[1]Set Up'!$J$16,(I9-'[1]Set Up'!$J$15)*'[1]Set Up'!$N$16+'[1]Set Up'!$O$15,IF(I9&lt;'[1]Set Up'!$J$17,(I9-'[1]Set Up'!$J$16)*'[1]Set Up'!$N$17+'[1]Set Up'!$O$15+'[1]Set Up'!$O$16,(I9-'[1]Set Up'!$J$17)*'[1]Set Up'!$N$18 + SUM('[1]Set Up'!$O$15:'[1]Set Up'!$O$17)))))</f>
        <v>407.94815357944276</v>
      </c>
      <c r="J14" s="28">
        <f>IF(J9="","",IF(J9&lt;'[1]Set Up'!$J$15,J9*'[1]Set Up'!$N$15,IF(J9&lt;'[1]Set Up'!$J$16,(J9-'[1]Set Up'!$J$15)*'[1]Set Up'!$N$16+'[1]Set Up'!$O$15,IF(J9&lt;'[1]Set Up'!$J$17,(J9-'[1]Set Up'!$J$16)*'[1]Set Up'!$N$17+'[1]Set Up'!$O$15+'[1]Set Up'!$O$16,(J9-'[1]Set Up'!$J$17)*'[1]Set Up'!$N$18 + SUM('[1]Set Up'!$O$15:'[1]Set Up'!$O$17)))))</f>
        <v>404.94693252729985</v>
      </c>
      <c r="K14" s="28">
        <f>IF(K9="","",IF(K9&lt;'[1]Set Up'!$J$15,K9*'[1]Set Up'!$N$15,IF(K9&lt;'[1]Set Up'!$J$16,(K9-'[1]Set Up'!$J$15)*'[1]Set Up'!$N$16+'[1]Set Up'!$O$15,IF(K9&lt;'[1]Set Up'!$J$17,(K9-'[1]Set Up'!$J$16)*'[1]Set Up'!$N$17+'[1]Set Up'!$O$15+'[1]Set Up'!$O$16,(K9-'[1]Set Up'!$J$17)*'[1]Set Up'!$N$18 + SUM('[1]Set Up'!$O$15:'[1]Set Up'!$O$17)))))</f>
        <v>401.94571147515694</v>
      </c>
      <c r="L14" s="28">
        <f>IF(L9="","",IF(L9&lt;'[1]Set Up'!$J$15,L9*'[1]Set Up'!$N$15,IF(L9&lt;'[1]Set Up'!$J$16,(L9-'[1]Set Up'!$J$15)*'[1]Set Up'!$N$16+'[1]Set Up'!$O$15,IF(L9&lt;'[1]Set Up'!$J$17,(L9-'[1]Set Up'!$J$16)*'[1]Set Up'!$N$17+'[1]Set Up'!$O$15+'[1]Set Up'!$O$16,(L9-'[1]Set Up'!$J$17)*'[1]Set Up'!$N$18 + SUM('[1]Set Up'!$O$15:'[1]Set Up'!$O$17)))))</f>
        <v>398.95942187103469</v>
      </c>
      <c r="M14" s="28">
        <f>IF(M9="","",IF(M9&lt;'[1]Set Up'!$J$15,M9*'[1]Set Up'!$N$15,IF(M9&lt;'[1]Set Up'!$J$16,(M9-'[1]Set Up'!$J$15)*'[1]Set Up'!$N$16+'[1]Set Up'!$O$15,IF(M9&lt;'[1]Set Up'!$J$17,(M9-'[1]Set Up'!$J$16)*'[1]Set Up'!$N$17+'[1]Set Up'!$O$15+'[1]Set Up'!$O$16,(M9-'[1]Set Up'!$J$17)*'[1]Set Up'!$N$18 + SUM('[1]Set Up'!$O$15:'[1]Set Up'!$O$17)))))</f>
        <v>395.95820081889178</v>
      </c>
      <c r="N14" s="28">
        <f>IF(N9="","",IF(N9&lt;'[1]Set Up'!$J$15,N9*'[1]Set Up'!$N$15,IF(N9&lt;'[1]Set Up'!$J$16,(N9-'[1]Set Up'!$J$15)*'[1]Set Up'!$N$16+'[1]Set Up'!$O$15,IF(N9&lt;'[1]Set Up'!$J$17,(N9-'[1]Set Up'!$J$16)*'[1]Set Up'!$N$17+'[1]Set Up'!$O$15+'[1]Set Up'!$O$16,(N9-'[1]Set Up'!$J$17)*'[1]Set Up'!$N$18 + SUM('[1]Set Up'!$O$15:'[1]Set Up'!$O$17)))))</f>
        <v>392.95697976674893</v>
      </c>
      <c r="O14" s="28">
        <f>IF(O9="","",IF(O9&lt;'[1]Set Up'!$J$15,O9*'[1]Set Up'!$N$15,IF(O9&lt;'[1]Set Up'!$J$16,(O9-'[1]Set Up'!$J$15)*'[1]Set Up'!$N$16+'[1]Set Up'!$O$15,IF(O9&lt;'[1]Set Up'!$J$17,(O9-'[1]Set Up'!$J$16)*'[1]Set Up'!$N$17+'[1]Set Up'!$O$15+'[1]Set Up'!$O$16,(O9-'[1]Set Up'!$J$17)*'[1]Set Up'!$N$18 + SUM('[1]Set Up'!$O$15:'[1]Set Up'!$O$17)))))</f>
        <v>389.97069016262662</v>
      </c>
      <c r="P14" s="28">
        <f>IF(P9="","",IF(P9&lt;'[1]Set Up'!$J$15,P9*'[1]Set Up'!$N$15,IF(P9&lt;'[1]Set Up'!$J$16,(P9-'[1]Set Up'!$J$15)*'[1]Set Up'!$N$16+'[1]Set Up'!$O$15,IF(P9&lt;'[1]Set Up'!$J$17,(P9-'[1]Set Up'!$J$16)*'[1]Set Up'!$N$17+'[1]Set Up'!$O$15+'[1]Set Up'!$O$16,(P9-'[1]Set Up'!$J$17)*'[1]Set Up'!$N$18 + SUM('[1]Set Up'!$O$15:'[1]Set Up'!$O$17)))))</f>
        <v>386.96946911048371</v>
      </c>
      <c r="Q14" s="28">
        <f>IF(Q9="","",IF(Q9&lt;'[1]Set Up'!$J$15,Q9*'[1]Set Up'!$N$15,IF(Q9&lt;'[1]Set Up'!$J$16,(Q9-'[1]Set Up'!$J$15)*'[1]Set Up'!$N$16+'[1]Set Up'!$O$15,IF(Q9&lt;'[1]Set Up'!$J$17,(Q9-'[1]Set Up'!$J$16)*'[1]Set Up'!$N$17+'[1]Set Up'!$O$15+'[1]Set Up'!$O$16,(Q9-'[1]Set Up'!$J$17)*'[1]Set Up'!$N$18 + SUM('[1]Set Up'!$O$15:'[1]Set Up'!$O$17)))))</f>
        <v>383.96824805834086</v>
      </c>
      <c r="R14" s="28">
        <f>IF(R9="","",IF(R9&lt;'[1]Set Up'!$J$15,R9*'[1]Set Up'!$N$15,IF(R9&lt;'[1]Set Up'!$J$16,(R9-'[1]Set Up'!$J$15)*'[1]Set Up'!$N$16+'[1]Set Up'!$O$15,IF(R9&lt;'[1]Set Up'!$J$17,(R9-'[1]Set Up'!$J$16)*'[1]Set Up'!$N$17+'[1]Set Up'!$O$15+'[1]Set Up'!$O$16,(R9-'[1]Set Up'!$J$17)*'[1]Set Up'!$N$18 + SUM('[1]Set Up'!$O$15:'[1]Set Up'!$O$17)))))</f>
        <v>380.98195845421856</v>
      </c>
      <c r="S14" s="28">
        <f>IF(S9="","",IF(S9&lt;'[1]Set Up'!$J$15,S9*'[1]Set Up'!$N$15,IF(S9&lt;'[1]Set Up'!$J$16,(S9-'[1]Set Up'!$J$15)*'[1]Set Up'!$N$16+'[1]Set Up'!$O$15,IF(S9&lt;'[1]Set Up'!$J$17,(S9-'[1]Set Up'!$J$16)*'[1]Set Up'!$N$17+'[1]Set Up'!$O$15+'[1]Set Up'!$O$16,(S9-'[1]Set Up'!$J$17)*'[1]Set Up'!$N$18 + SUM('[1]Set Up'!$O$15:'[1]Set Up'!$O$17)))))</f>
        <v>377.9807374020757</v>
      </c>
      <c r="T14" s="28">
        <f>IF(T9="","",IF(T9&lt;'[1]Set Up'!$J$15,T9*'[1]Set Up'!$N$15,IF(T9&lt;'[1]Set Up'!$J$16,(T9-'[1]Set Up'!$J$15)*'[1]Set Up'!$N$16+'[1]Set Up'!$O$15,IF(T9&lt;'[1]Set Up'!$J$17,(T9-'[1]Set Up'!$J$16)*'[1]Set Up'!$N$17+'[1]Set Up'!$O$15+'[1]Set Up'!$O$16,(T9-'[1]Set Up'!$J$17)*'[1]Set Up'!$N$18 + SUM('[1]Set Up'!$O$15:'[1]Set Up'!$O$17)))))</f>
        <v>374.97951634993279</v>
      </c>
      <c r="U14" s="28">
        <f>IF(U9="","",IF(U9&lt;'[1]Set Up'!$J$15,U9*'[1]Set Up'!$N$15,IF(U9&lt;'[1]Set Up'!$J$16,(U9-'[1]Set Up'!$J$15)*'[1]Set Up'!$N$16+'[1]Set Up'!$O$15,IF(U9&lt;'[1]Set Up'!$J$17,(U9-'[1]Set Up'!$J$16)*'[1]Set Up'!$N$17+'[1]Set Up'!$O$15+'[1]Set Up'!$O$16,(U9-'[1]Set Up'!$J$17)*'[1]Set Up'!$N$18 + SUM('[1]Set Up'!$O$15:'[1]Set Up'!$O$17)))))</f>
        <v>371.99322674581049</v>
      </c>
      <c r="V14" s="28">
        <f>IF(V9="","",IF(V9&lt;'[1]Set Up'!$J$15,V9*'[1]Set Up'!$N$15,IF(V9&lt;'[1]Set Up'!$J$16,(V9-'[1]Set Up'!$J$15)*'[1]Set Up'!$N$16+'[1]Set Up'!$O$15,IF(V9&lt;'[1]Set Up'!$J$17,(V9-'[1]Set Up'!$J$16)*'[1]Set Up'!$N$17+'[1]Set Up'!$O$15+'[1]Set Up'!$O$16,(V9-'[1]Set Up'!$J$17)*'[1]Set Up'!$N$18 + SUM('[1]Set Up'!$O$15:'[1]Set Up'!$O$17)))))</f>
        <v>368.99200569366764</v>
      </c>
      <c r="W14" s="28">
        <f>IF(W9="","",IF(W9&lt;'[1]Set Up'!$J$15,W9*'[1]Set Up'!$N$15,IF(W9&lt;'[1]Set Up'!$J$16,(W9-'[1]Set Up'!$J$15)*'[1]Set Up'!$N$16+'[1]Set Up'!$O$15,IF(W9&lt;'[1]Set Up'!$J$17,(W9-'[1]Set Up'!$J$16)*'[1]Set Up'!$N$17+'[1]Set Up'!$O$15+'[1]Set Up'!$O$16,(W9-'[1]Set Up'!$J$17)*'[1]Set Up'!$N$18 + SUM('[1]Set Up'!$O$15:'[1]Set Up'!$O$17)))))</f>
        <v>366.00571608954533</v>
      </c>
      <c r="X14" s="28">
        <f>IF(X9="","",IF(X9&lt;'[1]Set Up'!$J$15,X9*'[1]Set Up'!$N$15,IF(X9&lt;'[1]Set Up'!$J$16,(X9-'[1]Set Up'!$J$15)*'[1]Set Up'!$N$16+'[1]Set Up'!$O$15,IF(X9&lt;'[1]Set Up'!$J$17,(X9-'[1]Set Up'!$J$16)*'[1]Set Up'!$N$17+'[1]Set Up'!$O$15+'[1]Set Up'!$O$16,(X9-'[1]Set Up'!$J$17)*'[1]Set Up'!$N$18 + SUM('[1]Set Up'!$O$15:'[1]Set Up'!$O$17)))))</f>
        <v>363.00449503740248</v>
      </c>
      <c r="Y14" s="28">
        <f>IF(Y9="","",IF(Y9&lt;'[1]Set Up'!$J$15,Y9*'[1]Set Up'!$N$15,IF(Y9&lt;'[1]Set Up'!$J$16,(Y9-'[1]Set Up'!$J$15)*'[1]Set Up'!$N$16+'[1]Set Up'!$O$15,IF(Y9&lt;'[1]Set Up'!$J$17,(Y9-'[1]Set Up'!$J$16)*'[1]Set Up'!$N$17+'[1]Set Up'!$O$15+'[1]Set Up'!$O$16,(Y9-'[1]Set Up'!$J$17)*'[1]Set Up'!$N$18 + SUM('[1]Set Up'!$O$15:'[1]Set Up'!$O$17)))))</f>
        <v>360.00327398525957</v>
      </c>
      <c r="Z14" s="28">
        <f>IF(Z9="","",IF(Z9&lt;'[1]Set Up'!$J$15,Z9*'[1]Set Up'!$N$15,IF(Z9&lt;'[1]Set Up'!$J$16,(Z9-'[1]Set Up'!$J$15)*'[1]Set Up'!$N$16+'[1]Set Up'!$O$15,IF(Z9&lt;'[1]Set Up'!$J$17,(Z9-'[1]Set Up'!$J$16)*'[1]Set Up'!$N$17+'[1]Set Up'!$O$15+'[1]Set Up'!$O$16,(Z9-'[1]Set Up'!$J$17)*'[1]Set Up'!$N$18 + SUM('[1]Set Up'!$O$15:'[1]Set Up'!$O$17)))))</f>
        <v>357.01698438113726</v>
      </c>
      <c r="AA14" s="28">
        <f>IF(AA9="","",IF(AA9&lt;'[1]Set Up'!$J$15,AA9*'[1]Set Up'!$N$15,IF(AA9&lt;'[1]Set Up'!$J$16,(AA9-'[1]Set Up'!$J$15)*'[1]Set Up'!$N$16+'[1]Set Up'!$O$15,IF(AA9&lt;'[1]Set Up'!$J$17,(AA9-'[1]Set Up'!$J$16)*'[1]Set Up'!$N$17+'[1]Set Up'!$O$15+'[1]Set Up'!$O$16,(AA9-'[1]Set Up'!$J$17)*'[1]Set Up'!$N$18 + SUM('[1]Set Up'!$O$15:'[1]Set Up'!$O$17)))))</f>
        <v>354.01576332899441</v>
      </c>
      <c r="AB14" s="28">
        <f>IF(AB9="","",IF(AB9&lt;'[1]Set Up'!$J$15,AB9*'[1]Set Up'!$N$15,IF(AB9&lt;'[1]Set Up'!$J$16,(AB9-'[1]Set Up'!$J$15)*'[1]Set Up'!$N$16+'[1]Set Up'!$O$15,IF(AB9&lt;'[1]Set Up'!$J$17,(AB9-'[1]Set Up'!$J$16)*'[1]Set Up'!$N$17+'[1]Set Up'!$O$15+'[1]Set Up'!$O$16,(AB9-'[1]Set Up'!$J$17)*'[1]Set Up'!$N$18 + SUM('[1]Set Up'!$O$15:'[1]Set Up'!$O$17)))))</f>
        <v>351.0145422768515</v>
      </c>
      <c r="AC14" s="28">
        <f>IF(AC9="","",IF(AC9&lt;'[1]Set Up'!$J$15,AC9*'[1]Set Up'!$N$15,IF(AC9&lt;'[1]Set Up'!$J$16,(AC9-'[1]Set Up'!$J$15)*'[1]Set Up'!$N$16+'[1]Set Up'!$O$15,IF(AC9&lt;'[1]Set Up'!$J$17,(AC9-'[1]Set Up'!$J$16)*'[1]Set Up'!$N$17+'[1]Set Up'!$O$15+'[1]Set Up'!$O$16,(AC9-'[1]Set Up'!$J$17)*'[1]Set Up'!$N$18 + SUM('[1]Set Up'!$O$15:'[1]Set Up'!$O$17)))))</f>
        <v>348.0282526727292</v>
      </c>
      <c r="AD14" s="28">
        <f>IF(AD9="","",IF(AD9&lt;'[1]Set Up'!$J$15,AD9*'[1]Set Up'!$N$15,IF(AD9&lt;'[1]Set Up'!$J$16,(AD9-'[1]Set Up'!$J$15)*'[1]Set Up'!$N$16+'[1]Set Up'!$O$15,IF(AD9&lt;'[1]Set Up'!$J$17,(AD9-'[1]Set Up'!$J$16)*'[1]Set Up'!$N$17+'[1]Set Up'!$O$15+'[1]Set Up'!$O$16,(AD9-'[1]Set Up'!$J$17)*'[1]Set Up'!$N$18 + SUM('[1]Set Up'!$O$15:'[1]Set Up'!$O$17)))))</f>
        <v>345.02703162058634</v>
      </c>
      <c r="AE14" s="28">
        <f>IF(AE9="","",IF(AE9&lt;'[1]Set Up'!$J$15,AE9*'[1]Set Up'!$N$15,IF(AE9&lt;'[1]Set Up'!$J$16,(AE9-'[1]Set Up'!$J$15)*'[1]Set Up'!$N$16+'[1]Set Up'!$O$15,IF(AE9&lt;'[1]Set Up'!$J$17,(AE9-'[1]Set Up'!$J$16)*'[1]Set Up'!$N$17+'[1]Set Up'!$O$15+'[1]Set Up'!$O$16,(AE9-'[1]Set Up'!$J$17)*'[1]Set Up'!$N$18 + SUM('[1]Set Up'!$O$15:'[1]Set Up'!$O$17)))))</f>
        <v>342.02581056844343</v>
      </c>
      <c r="AF14" s="28">
        <f>IF(AF9="","",IF(AF9&lt;'[1]Set Up'!$J$15,AF9*'[1]Set Up'!$N$15,IF(AF9&lt;'[1]Set Up'!$J$16,(AF9-'[1]Set Up'!$J$15)*'[1]Set Up'!$N$16+'[1]Set Up'!$O$15,IF(AF9&lt;'[1]Set Up'!$J$17,(AF9-'[1]Set Up'!$J$16)*'[1]Set Up'!$N$17+'[1]Set Up'!$O$15+'[1]Set Up'!$O$16,(AF9-'[1]Set Up'!$J$17)*'[1]Set Up'!$N$18 + SUM('[1]Set Up'!$O$15:'[1]Set Up'!$O$17)))))</f>
        <v>339.03952096432118</v>
      </c>
      <c r="AG14" s="28">
        <f>IF(AG9="","",IF(AG9&lt;'[1]Set Up'!$J$15,AG9*'[1]Set Up'!$N$15,IF(AG9&lt;'[1]Set Up'!$J$16,(AG9-'[1]Set Up'!$J$15)*'[1]Set Up'!$N$16+'[1]Set Up'!$O$15,IF(AG9&lt;'[1]Set Up'!$J$17,(AG9-'[1]Set Up'!$J$16)*'[1]Set Up'!$N$17+'[1]Set Up'!$O$15+'[1]Set Up'!$O$16,(AG9-'[1]Set Up'!$J$17)*'[1]Set Up'!$N$18 + SUM('[1]Set Up'!$O$15:'[1]Set Up'!$O$17)))))</f>
        <v>336.03829991217827</v>
      </c>
      <c r="AH14" s="28">
        <f>IF(AH9="","",IF(AH9&lt;'[1]Set Up'!$J$15,AH9*'[1]Set Up'!$N$15,IF(AH9&lt;'[1]Set Up'!$J$16,(AH9-'[1]Set Up'!$J$15)*'[1]Set Up'!$N$16+'[1]Set Up'!$O$15,IF(AH9&lt;'[1]Set Up'!$J$17,(AH9-'[1]Set Up'!$J$16)*'[1]Set Up'!$N$17+'[1]Set Up'!$O$15+'[1]Set Up'!$O$16,(AH9-'[1]Set Up'!$J$17)*'[1]Set Up'!$N$18 + SUM('[1]Set Up'!$O$15:'[1]Set Up'!$O$17)))))</f>
        <v>333.03707886003542</v>
      </c>
      <c r="AI14" s="28">
        <f>IF(AI9="","",IF(AI9&lt;'[1]Set Up'!$J$15,AI9*'[1]Set Up'!$N$15,IF(AI9&lt;'[1]Set Up'!$J$16,(AI9-'[1]Set Up'!$J$15)*'[1]Set Up'!$N$16+'[1]Set Up'!$O$15,IF(AI9&lt;'[1]Set Up'!$J$17,(AI9-'[1]Set Up'!$J$16)*'[1]Set Up'!$N$17+'[1]Set Up'!$O$15+'[1]Set Up'!$O$16,(AI9-'[1]Set Up'!$J$17)*'[1]Set Up'!$N$18 + SUM('[1]Set Up'!$O$15:'[1]Set Up'!$O$17)))))</f>
        <v>330.05078925591312</v>
      </c>
      <c r="AJ14" s="28">
        <f>IF(AJ9="","",IF(AJ9&lt;'[1]Set Up'!$J$15,AJ9*'[1]Set Up'!$N$15,IF(AJ9&lt;'[1]Set Up'!$J$16,(AJ9-'[1]Set Up'!$J$15)*'[1]Set Up'!$N$16+'[1]Set Up'!$O$15,IF(AJ9&lt;'[1]Set Up'!$J$17,(AJ9-'[1]Set Up'!$J$16)*'[1]Set Up'!$N$17+'[1]Set Up'!$O$15+'[1]Set Up'!$O$16,(AJ9-'[1]Set Up'!$J$17)*'[1]Set Up'!$N$18 + SUM('[1]Set Up'!$O$15:'[1]Set Up'!$O$17)))))</f>
        <v>327.04956820377021</v>
      </c>
      <c r="AK14" s="28">
        <f>IF(AK9="","",IF(AK9&lt;'[1]Set Up'!$J$15,AK9*'[1]Set Up'!$N$15,IF(AK9&lt;'[1]Set Up'!$J$16,(AK9-'[1]Set Up'!$J$15)*'[1]Set Up'!$N$16+'[1]Set Up'!$O$15,IF(AK9&lt;'[1]Set Up'!$J$17,(AK9-'[1]Set Up'!$J$16)*'[1]Set Up'!$N$17+'[1]Set Up'!$O$15+'[1]Set Up'!$O$16,(AK9-'[1]Set Up'!$J$17)*'[1]Set Up'!$N$18 + SUM('[1]Set Up'!$O$15:'[1]Set Up'!$O$17)))))</f>
        <v>324.04834715162735</v>
      </c>
      <c r="AL14" s="28">
        <f>IF(AL9="","",IF(AL9&lt;'[1]Set Up'!$J$15,AL9*'[1]Set Up'!$N$15,IF(AL9&lt;'[1]Set Up'!$J$16,(AL9-'[1]Set Up'!$J$15)*'[1]Set Up'!$N$16+'[1]Set Up'!$O$15,IF(AL9&lt;'[1]Set Up'!$J$17,(AL9-'[1]Set Up'!$J$16)*'[1]Set Up'!$N$17+'[1]Set Up'!$O$15+'[1]Set Up'!$O$16,(AL9-'[1]Set Up'!$J$17)*'[1]Set Up'!$N$18 + SUM('[1]Set Up'!$O$15:'[1]Set Up'!$O$17)))))</f>
        <v>321.06205754750505</v>
      </c>
      <c r="AM14" s="28">
        <f>IF(AM9="","",IF(AM9&lt;'[1]Set Up'!$J$15,AM9*'[1]Set Up'!$N$15,IF(AM9&lt;'[1]Set Up'!$J$16,(AM9-'[1]Set Up'!$J$15)*'[1]Set Up'!$N$16+'[1]Set Up'!$O$15,IF(AM9&lt;'[1]Set Up'!$J$17,(AM9-'[1]Set Up'!$J$16)*'[1]Set Up'!$N$17+'[1]Set Up'!$O$15+'[1]Set Up'!$O$16,(AM9-'[1]Set Up'!$J$17)*'[1]Set Up'!$N$18 + SUM('[1]Set Up'!$O$15:'[1]Set Up'!$O$17)))))</f>
        <v>318.06083649536214</v>
      </c>
      <c r="AN14" s="28">
        <f>IF(AN9="","",IF(AN9&lt;'[1]Set Up'!$J$15,AN9*'[1]Set Up'!$N$15,IF(AN9&lt;'[1]Set Up'!$J$16,(AN9-'[1]Set Up'!$J$15)*'[1]Set Up'!$N$16+'[1]Set Up'!$O$15,IF(AN9&lt;'[1]Set Up'!$J$17,(AN9-'[1]Set Up'!$J$16)*'[1]Set Up'!$N$17+'[1]Set Up'!$O$15+'[1]Set Up'!$O$16,(AN9-'[1]Set Up'!$J$17)*'[1]Set Up'!$N$18 + SUM('[1]Set Up'!$O$15:'[1]Set Up'!$O$17)))))</f>
        <v>315.05961544321929</v>
      </c>
      <c r="AO14" s="28">
        <v>309.07210478695413</v>
      </c>
      <c r="AP14" s="28">
        <f>IF(AP9="","",IF(AP9&lt;'[1]Set Up'!$J$15,AP9*'[1]Set Up'!$N$15,IF(AP9&lt;'[1]Set Up'!$J$16,(AP9-'[1]Set Up'!$J$15)*'[1]Set Up'!$N$16+'[1]Set Up'!$O$15,IF(AP9&lt;'[1]Set Up'!$J$17,(AP9-'[1]Set Up'!$J$16)*'[1]Set Up'!$N$17+'[1]Set Up'!$O$15+'[1]Set Up'!$O$16,(AP9-'[1]Set Up'!$J$17)*'[1]Set Up'!$N$18 + SUM('[1]Set Up'!$O$15:'[1]Set Up'!$O$17)))))</f>
        <v>309.07210478695413</v>
      </c>
      <c r="AQ14" s="28">
        <f>IF(AQ9="","",IF(AQ9&lt;'[1]Set Up'!$J$15,AQ9*'[1]Set Up'!$N$15,IF(AQ9&lt;'[1]Set Up'!$J$16,(AQ9-'[1]Set Up'!$J$15)*'[1]Set Up'!$N$16+'[1]Set Up'!$O$15,IF(AQ9&lt;'[1]Set Up'!$J$17,(AQ9-'[1]Set Up'!$J$16)*'[1]Set Up'!$N$17+'[1]Set Up'!$O$15+'[1]Set Up'!$O$16,(AQ9-'[1]Set Up'!$J$17)*'[1]Set Up'!$N$18 + SUM('[1]Set Up'!$O$15:'[1]Set Up'!$O$17)))))</f>
        <v>306.08581518283182</v>
      </c>
      <c r="AR14" s="28">
        <f>IF(AR9="","",IF(AR9&lt;'[1]Set Up'!$J$15,AR9*'[1]Set Up'!$N$15,IF(AR9&lt;'[1]Set Up'!$J$16,(AR9-'[1]Set Up'!$J$15)*'[1]Set Up'!$N$16+'[1]Set Up'!$O$15,IF(AR9&lt;'[1]Set Up'!$J$17,(AR9-'[1]Set Up'!$J$16)*'[1]Set Up'!$N$17+'[1]Set Up'!$O$15+'[1]Set Up'!$O$16,(AR9-'[1]Set Up'!$J$17)*'[1]Set Up'!$N$18 + SUM('[1]Set Up'!$O$15:'[1]Set Up'!$O$17)))))</f>
        <v>303.08459413068891</v>
      </c>
      <c r="AS14" s="28">
        <f>IF(AS9="","",IF(AS9&lt;'[1]Set Up'!$J$15,AS9*'[1]Set Up'!$N$15,IF(AS9&lt;'[1]Set Up'!$J$16,(AS9-'[1]Set Up'!$J$15)*'[1]Set Up'!$N$16+'[1]Set Up'!$O$15,IF(AS9&lt;'[1]Set Up'!$J$17,(AS9-'[1]Set Up'!$J$16)*'[1]Set Up'!$N$17+'[1]Set Up'!$O$15+'[1]Set Up'!$O$16,(AS9-'[1]Set Up'!$J$17)*'[1]Set Up'!$N$18 + SUM('[1]Set Up'!$O$15:'[1]Set Up'!$O$17)))))</f>
        <v>300.08337307854606</v>
      </c>
      <c r="AT14" s="28">
        <f>IF(AT9="","",IF(AT9&lt;'[1]Set Up'!$J$15,AT9*'[1]Set Up'!$N$15,IF(AT9&lt;'[1]Set Up'!$J$16,(AT9-'[1]Set Up'!$J$15)*'[1]Set Up'!$N$16+'[1]Set Up'!$O$15,IF(AT9&lt;'[1]Set Up'!$J$17,(AT9-'[1]Set Up'!$J$16)*'[1]Set Up'!$N$17+'[1]Set Up'!$O$15+'[1]Set Up'!$O$16,(AT9-'[1]Set Up'!$J$17)*'[1]Set Up'!$N$18 + SUM('[1]Set Up'!$O$15:'[1]Set Up'!$O$17)))))</f>
        <v>297.09708347442375</v>
      </c>
      <c r="AU14" s="28">
        <f>IF(AU9="","",IF(AU9&lt;'[1]Set Up'!$J$15,AU9*'[1]Set Up'!$N$15,IF(AU9&lt;'[1]Set Up'!$J$16,(AU9-'[1]Set Up'!$J$15)*'[1]Set Up'!$N$16+'[1]Set Up'!$O$15,IF(AU9&lt;'[1]Set Up'!$J$17,(AU9-'[1]Set Up'!$J$16)*'[1]Set Up'!$N$17+'[1]Set Up'!$O$15+'[1]Set Up'!$O$16,(AU9-'[1]Set Up'!$J$17)*'[1]Set Up'!$N$18 + SUM('[1]Set Up'!$O$15:'[1]Set Up'!$O$17)))))</f>
        <v>294.0958624222809</v>
      </c>
      <c r="AV14" s="28">
        <f>IF(AV9="","",IF(AV9&lt;'[1]Set Up'!$J$15,AV9*'[1]Set Up'!$N$15,IF(AV9&lt;'[1]Set Up'!$J$16,(AV9-'[1]Set Up'!$J$15)*'[1]Set Up'!$N$16+'[1]Set Up'!$O$15,IF(AV9&lt;'[1]Set Up'!$J$17,(AV9-'[1]Set Up'!$J$16)*'[1]Set Up'!$N$17+'[1]Set Up'!$O$15+'[1]Set Up'!$O$16,(AV9-'[1]Set Up'!$J$17)*'[1]Set Up'!$N$18 + SUM('[1]Set Up'!$O$15:'[1]Set Up'!$O$17)))))</f>
        <v>291.09464137013799</v>
      </c>
      <c r="AW14" s="28">
        <f>IF(AW9="","",IF(AW9&lt;'[1]Set Up'!$J$15,AW9*'[1]Set Up'!$N$15,IF(AW9&lt;'[1]Set Up'!$J$16,(AW9-'[1]Set Up'!$J$15)*'[1]Set Up'!$N$16+'[1]Set Up'!$O$15,IF(AW9&lt;'[1]Set Up'!$J$17,(AW9-'[1]Set Up'!$J$16)*'[1]Set Up'!$N$17+'[1]Set Up'!$O$15+'[1]Set Up'!$O$16,(AW9-'[1]Set Up'!$J$17)*'[1]Set Up'!$N$18 + SUM('[1]Set Up'!$O$15:'[1]Set Up'!$O$17)))))</f>
        <v>288.10835176601569</v>
      </c>
      <c r="AX14" s="28">
        <f>IF(AX9="","",IF(AX9&lt;'[1]Set Up'!$J$15,AX9*'[1]Set Up'!$N$15,IF(AX9&lt;'[1]Set Up'!$J$16,(AX9-'[1]Set Up'!$J$15)*'[1]Set Up'!$N$16+'[1]Set Up'!$O$15,IF(AX9&lt;'[1]Set Up'!$J$17,(AX9-'[1]Set Up'!$J$16)*'[1]Set Up'!$N$17+'[1]Set Up'!$O$15+'[1]Set Up'!$O$16,(AX9-'[1]Set Up'!$J$17)*'[1]Set Up'!$N$18 + SUM('[1]Set Up'!$O$15:'[1]Set Up'!$O$17)))))</f>
        <v>285.10713071387283</v>
      </c>
      <c r="AY14" s="28">
        <f>IF(AY9="","",IF(AY9&lt;'[1]Set Up'!$J$15,AY9*'[1]Set Up'!$N$15,IF(AY9&lt;'[1]Set Up'!$J$16,(AY9-'[1]Set Up'!$J$15)*'[1]Set Up'!$N$16+'[1]Set Up'!$O$15,IF(AY9&lt;'[1]Set Up'!$J$17,(AY9-'[1]Set Up'!$J$16)*'[1]Set Up'!$N$17+'[1]Set Up'!$O$15+'[1]Set Up'!$O$16,(AY9-'[1]Set Up'!$J$17)*'[1]Set Up'!$N$18 + SUM('[1]Set Up'!$O$15:'[1]Set Up'!$O$17)))))</f>
        <v>282.10590966172992</v>
      </c>
      <c r="AZ14" s="28">
        <f>IF(AZ9="","",IF(AZ9&lt;'[1]Set Up'!$J$15,AZ9*'[1]Set Up'!$N$15,IF(AZ9&lt;'[1]Set Up'!$J$16,(AZ9-'[1]Set Up'!$J$15)*'[1]Set Up'!$N$16+'[1]Set Up'!$O$15,IF(AZ9&lt;'[1]Set Up'!$J$17,(AZ9-'[1]Set Up'!$J$16)*'[1]Set Up'!$N$17+'[1]Set Up'!$O$15+'[1]Set Up'!$O$16,(AZ9-'[1]Set Up'!$J$17)*'[1]Set Up'!$N$18 + SUM('[1]Set Up'!$O$15:'[1]Set Up'!$O$17)))))</f>
        <v>279.11962005760762</v>
      </c>
      <c r="BA14" s="28">
        <f>IF(BA9="","",IF(BA9&lt;'[1]Set Up'!$J$15,BA9*'[1]Set Up'!$N$15,IF(BA9&lt;'[1]Set Up'!$J$16,(BA9-'[1]Set Up'!$J$15)*'[1]Set Up'!$N$16+'[1]Set Up'!$O$15,IF(BA9&lt;'[1]Set Up'!$J$17,(BA9-'[1]Set Up'!$J$16)*'[1]Set Up'!$N$17+'[1]Set Up'!$O$15+'[1]Set Up'!$O$16,(BA9-'[1]Set Up'!$J$17)*'[1]Set Up'!$N$18 + SUM('[1]Set Up'!$O$15:'[1]Set Up'!$O$17)))))</f>
        <v>276.11839900546477</v>
      </c>
      <c r="BB14" s="28">
        <f>IF(BB9="","",IF(BB9&lt;'[1]Set Up'!$J$15,BB9*'[1]Set Up'!$N$15,IF(BB9&lt;'[1]Set Up'!$J$16,(BB9-'[1]Set Up'!$J$15)*'[1]Set Up'!$N$16+'[1]Set Up'!$O$15,IF(BB9&lt;'[1]Set Up'!$J$17,(BB9-'[1]Set Up'!$J$16)*'[1]Set Up'!$N$17+'[1]Set Up'!$O$15+'[1]Set Up'!$O$16,(BB9-'[1]Set Up'!$J$17)*'[1]Set Up'!$N$18 + SUM('[1]Set Up'!$O$15:'[1]Set Up'!$O$17)))))</f>
        <v>273.11717795332186</v>
      </c>
      <c r="BC14" s="28">
        <f>IF(BC9="","",IF(BC9&lt;'[1]Set Up'!$J$15,BC9*'[1]Set Up'!$N$15,IF(BC9&lt;'[1]Set Up'!$J$16,(BC9-'[1]Set Up'!$J$15)*'[1]Set Up'!$N$16+'[1]Set Up'!$O$15,IF(BC9&lt;'[1]Set Up'!$J$17,(BC9-'[1]Set Up'!$J$16)*'[1]Set Up'!$N$17+'[1]Set Up'!$O$15+'[1]Set Up'!$O$16,(BC9-'[1]Set Up'!$J$17)*'[1]Set Up'!$N$18 + SUM('[1]Set Up'!$O$15:'[1]Set Up'!$O$17)))))</f>
        <v>270.13088834919961</v>
      </c>
      <c r="BD14" s="28">
        <f>IF(BD9="","",IF(BD9&lt;'[1]Set Up'!$J$15,BD9*'[1]Set Up'!$N$15,IF(BD9&lt;'[1]Set Up'!$J$16,(BD9-'[1]Set Up'!$J$15)*'[1]Set Up'!$N$16+'[1]Set Up'!$O$15,IF(BD9&lt;'[1]Set Up'!$J$17,(BD9-'[1]Set Up'!$J$16)*'[1]Set Up'!$N$17+'[1]Set Up'!$O$15+'[1]Set Up'!$O$16,(BD9-'[1]Set Up'!$J$17)*'[1]Set Up'!$N$18 + SUM('[1]Set Up'!$O$15:'[1]Set Up'!$O$17)))))</f>
        <v>0</v>
      </c>
      <c r="BE14" s="28">
        <f>IF(BE9="","",IF(BE9&lt;'[1]Set Up'!$J$15,BE9*'[1]Set Up'!$N$15,IF(BE9&lt;'[1]Set Up'!$J$16,(BE9-'[1]Set Up'!$J$15)*'[1]Set Up'!$N$16+'[1]Set Up'!$O$15,IF(BE9&lt;'[1]Set Up'!$J$17,(BE9-'[1]Set Up'!$J$16)*'[1]Set Up'!$N$17+'[1]Set Up'!$O$15+'[1]Set Up'!$O$16,(BE9-'[1]Set Up'!$J$17)*'[1]Set Up'!$N$18 + SUM('[1]Set Up'!$O$15:'[1]Set Up'!$O$17)))))</f>
        <v>0</v>
      </c>
      <c r="BF14" s="28">
        <f>IF(BF9="","",IF(BF9&lt;'[1]Set Up'!$J$15,BF9*'[1]Set Up'!$N$15,IF(BF9&lt;'[1]Set Up'!$J$16,(BF9-'[1]Set Up'!$J$15)*'[1]Set Up'!$N$16+'[1]Set Up'!$O$15,IF(BF9&lt;'[1]Set Up'!$J$17,(BF9-'[1]Set Up'!$J$16)*'[1]Set Up'!$N$17+'[1]Set Up'!$O$15+'[1]Set Up'!$O$16,(BF9-'[1]Set Up'!$J$17)*'[1]Set Up'!$N$18 + SUM('[1]Set Up'!$O$15:'[1]Set Up'!$O$17)))))</f>
        <v>0</v>
      </c>
      <c r="BG14" s="28">
        <f>IF(BG9="","",IF(BG9&lt;'[1]Set Up'!$J$15,BG9*'[1]Set Up'!$N$15,IF(BG9&lt;'[1]Set Up'!$J$16,(BG9-'[1]Set Up'!$J$15)*'[1]Set Up'!$N$16+'[1]Set Up'!$O$15,IF(BG9&lt;'[1]Set Up'!$J$17,(BG9-'[1]Set Up'!$J$16)*'[1]Set Up'!$N$17+'[1]Set Up'!$O$15+'[1]Set Up'!$O$16,(BG9-'[1]Set Up'!$J$17)*'[1]Set Up'!$N$18 + SUM('[1]Set Up'!$O$15:'[1]Set Up'!$O$17)))))</f>
        <v>0</v>
      </c>
      <c r="BH14" s="28">
        <f>IF(BH9="","",IF(BH9&lt;'[1]Set Up'!$J$15,BH9*'[1]Set Up'!$N$15,IF(BH9&lt;'[1]Set Up'!$J$16,(BH9-'[1]Set Up'!$J$15)*'[1]Set Up'!$N$16+'[1]Set Up'!$O$15,IF(BH9&lt;'[1]Set Up'!$J$17,(BH9-'[1]Set Up'!$J$16)*'[1]Set Up'!$N$17+'[1]Set Up'!$O$15+'[1]Set Up'!$O$16,(BH9-'[1]Set Up'!$J$17)*'[1]Set Up'!$N$18 + SUM('[1]Set Up'!$O$15:'[1]Set Up'!$O$17)))))</f>
        <v>0</v>
      </c>
      <c r="BI14" s="28">
        <f>IF(BI9="","",IF(BI9&lt;'[1]Set Up'!$J$15,BI9*'[1]Set Up'!$N$15,IF(BI9&lt;'[1]Set Up'!$J$16,(BI9-'[1]Set Up'!$J$15)*'[1]Set Up'!$N$16+'[1]Set Up'!$O$15,IF(BI9&lt;'[1]Set Up'!$J$17,(BI9-'[1]Set Up'!$J$16)*'[1]Set Up'!$N$17+'[1]Set Up'!$O$15+'[1]Set Up'!$O$16,(BI9-'[1]Set Up'!$J$17)*'[1]Set Up'!$N$18 + SUM('[1]Set Up'!$O$15:'[1]Set Up'!$O$17)))))</f>
        <v>0</v>
      </c>
      <c r="BJ14" s="28">
        <f>IF(BJ9="","",IF(BJ9&lt;'[1]Set Up'!$J$15,BJ9*'[1]Set Up'!$N$15,IF(BJ9&lt;'[1]Set Up'!$J$16,(BJ9-'[1]Set Up'!$J$15)*'[1]Set Up'!$N$16+'[1]Set Up'!$O$15,IF(BJ9&lt;'[1]Set Up'!$J$17,(BJ9-'[1]Set Up'!$J$16)*'[1]Set Up'!$N$17+'[1]Set Up'!$O$15+'[1]Set Up'!$O$16,(BJ9-'[1]Set Up'!$J$17)*'[1]Set Up'!$N$18 + SUM('[1]Set Up'!$O$15:'[1]Set Up'!$O$17)))))</f>
        <v>0</v>
      </c>
      <c r="BK14" s="28">
        <f>IF(BK9="","",IF(BK9&lt;'[1]Set Up'!$J$15,BK9*'[1]Set Up'!$N$15,IF(BK9&lt;'[1]Set Up'!$J$16,(BK9-'[1]Set Up'!$J$15)*'[1]Set Up'!$N$16+'[1]Set Up'!$O$15,IF(BK9&lt;'[1]Set Up'!$J$17,(BK9-'[1]Set Up'!$J$16)*'[1]Set Up'!$N$17+'[1]Set Up'!$O$15+'[1]Set Up'!$O$16,(BK9-'[1]Set Up'!$J$17)*'[1]Set Up'!$N$18 + SUM('[1]Set Up'!$O$15:'[1]Set Up'!$O$17)))))</f>
        <v>0</v>
      </c>
      <c r="BL14" s="28">
        <f>IF(BL9="","",IF(BL9&lt;'[1]Set Up'!$J$15,BL9*'[1]Set Up'!$N$15,IF(BL9&lt;'[1]Set Up'!$J$16,(BL9-'[1]Set Up'!$J$15)*'[1]Set Up'!$N$16+'[1]Set Up'!$O$15,IF(BL9&lt;'[1]Set Up'!$J$17,(BL9-'[1]Set Up'!$J$16)*'[1]Set Up'!$N$17+'[1]Set Up'!$O$15+'[1]Set Up'!$O$16,(BL9-'[1]Set Up'!$J$17)*'[1]Set Up'!$N$18 + SUM('[1]Set Up'!$O$15:'[1]Set Up'!$O$17)))))</f>
        <v>0</v>
      </c>
      <c r="BM14" s="28">
        <f>IF(BM9="","",IF(BM9&lt;'[1]Set Up'!$J$15,BM9*'[1]Set Up'!$N$15,IF(BM9&lt;'[1]Set Up'!$J$16,(BM9-'[1]Set Up'!$J$15)*'[1]Set Up'!$N$16+'[1]Set Up'!$O$15,IF(BM9&lt;'[1]Set Up'!$J$17,(BM9-'[1]Set Up'!$J$16)*'[1]Set Up'!$N$17+'[1]Set Up'!$O$15+'[1]Set Up'!$O$16,(BM9-'[1]Set Up'!$J$17)*'[1]Set Up'!$N$18 + SUM('[1]Set Up'!$O$15:'[1]Set Up'!$O$17)))))</f>
        <v>0</v>
      </c>
      <c r="BN14" s="28">
        <f>IF(BN9="","",IF(BN9&lt;'[1]Set Up'!$J$15,BN9*'[1]Set Up'!$N$15,IF(BN9&lt;'[1]Set Up'!$J$16,(BN9-'[1]Set Up'!$J$15)*'[1]Set Up'!$N$16+'[1]Set Up'!$O$15,IF(BN9&lt;'[1]Set Up'!$J$17,(BN9-'[1]Set Up'!$J$16)*'[1]Set Up'!$N$17+'[1]Set Up'!$O$15+'[1]Set Up'!$O$16,(BN9-'[1]Set Up'!$J$17)*'[1]Set Up'!$N$18 + SUM('[1]Set Up'!$O$15:'[1]Set Up'!$O$17)))))</f>
        <v>0</v>
      </c>
      <c r="BO14" s="28">
        <f>IF(BO9="","",IF(BO9&lt;'[1]Set Up'!$J$15,BO9*'[1]Set Up'!$N$15,IF(BO9&lt;'[1]Set Up'!$J$16,(BO9-'[1]Set Up'!$J$15)*'[1]Set Up'!$N$16+'[1]Set Up'!$O$15,IF(BO9&lt;'[1]Set Up'!$J$17,(BO9-'[1]Set Up'!$J$16)*'[1]Set Up'!$N$17+'[1]Set Up'!$O$15+'[1]Set Up'!$O$16,(BO9-'[1]Set Up'!$J$17)*'[1]Set Up'!$N$18 + SUM('[1]Set Up'!$O$15:'[1]Set Up'!$O$17)))))</f>
        <v>0</v>
      </c>
      <c r="BP14" s="28">
        <f>IF(BP9="","",IF(BP9&lt;'[1]Set Up'!$J$15,BP9*'[1]Set Up'!$N$15,IF(BP9&lt;'[1]Set Up'!$J$16,(BP9-'[1]Set Up'!$J$15)*'[1]Set Up'!$N$16+'[1]Set Up'!$O$15,IF(BP9&lt;'[1]Set Up'!$J$17,(BP9-'[1]Set Up'!$J$16)*'[1]Set Up'!$N$17+'[1]Set Up'!$O$15+'[1]Set Up'!$O$16,(BP9-'[1]Set Up'!$J$17)*'[1]Set Up'!$N$18 + SUM('[1]Set Up'!$O$15:'[1]Set Up'!$O$17)))))</f>
        <v>0</v>
      </c>
      <c r="BQ14" s="28">
        <f>IF(BQ9="","",IF(BQ9&lt;'[1]Set Up'!$J$15,BQ9*'[1]Set Up'!$N$15,IF(BQ9&lt;'[1]Set Up'!$J$16,(BQ9-'[1]Set Up'!$J$15)*'[1]Set Up'!$N$16+'[1]Set Up'!$O$15,IF(BQ9&lt;'[1]Set Up'!$J$17,(BQ9-'[1]Set Up'!$J$16)*'[1]Set Up'!$N$17+'[1]Set Up'!$O$15+'[1]Set Up'!$O$16,(BQ9-'[1]Set Up'!$J$17)*'[1]Set Up'!$N$18 + SUM('[1]Set Up'!$O$15:'[1]Set Up'!$O$17)))))</f>
        <v>0</v>
      </c>
      <c r="BR14" s="28">
        <f>IF(BR9="","",IF(BR9&lt;'[1]Set Up'!$J$15,BR9*'[1]Set Up'!$N$15,IF(BR9&lt;'[1]Set Up'!$J$16,(BR9-'[1]Set Up'!$J$15)*'[1]Set Up'!$N$16+'[1]Set Up'!$O$15,IF(BR9&lt;'[1]Set Up'!$J$17,(BR9-'[1]Set Up'!$J$16)*'[1]Set Up'!$N$17+'[1]Set Up'!$O$15+'[1]Set Up'!$O$16,(BR9-'[1]Set Up'!$J$17)*'[1]Set Up'!$N$18 + SUM('[1]Set Up'!$O$15:'[1]Set Up'!$O$17)))))</f>
        <v>0</v>
      </c>
      <c r="BS14" s="28">
        <f>IF(BS9="","",IF(BS9&lt;'[1]Set Up'!$J$15,BS9*'[1]Set Up'!$N$15,IF(BS9&lt;'[1]Set Up'!$J$16,(BS9-'[1]Set Up'!$J$15)*'[1]Set Up'!$N$16+'[1]Set Up'!$O$15,IF(BS9&lt;'[1]Set Up'!$J$17,(BS9-'[1]Set Up'!$J$16)*'[1]Set Up'!$N$17+'[1]Set Up'!$O$15+'[1]Set Up'!$O$16,(BS9-'[1]Set Up'!$J$17)*'[1]Set Up'!$N$18 + SUM('[1]Set Up'!$O$15:'[1]Set Up'!$O$17)))))</f>
        <v>0</v>
      </c>
      <c r="BT14" s="28">
        <f>IF(BT9="","",IF(BT9&lt;'[1]Set Up'!$J$15,BT9*'[1]Set Up'!$N$15,IF(BT9&lt;'[1]Set Up'!$J$16,(BT9-'[1]Set Up'!$J$15)*'[1]Set Up'!$N$16+'[1]Set Up'!$O$15,IF(BT9&lt;'[1]Set Up'!$J$17,(BT9-'[1]Set Up'!$J$16)*'[1]Set Up'!$N$17+'[1]Set Up'!$O$15+'[1]Set Up'!$O$16,(BT9-'[1]Set Up'!$J$17)*'[1]Set Up'!$N$18 + SUM('[1]Set Up'!$O$15:'[1]Set Up'!$O$17)))))</f>
        <v>0</v>
      </c>
      <c r="BU14" s="28">
        <f>IF(BU9="","",IF(BU9&lt;'[1]Set Up'!$J$15,BU9*'[1]Set Up'!$N$15,IF(BU9&lt;'[1]Set Up'!$J$16,(BU9-'[1]Set Up'!$J$15)*'[1]Set Up'!$N$16+'[1]Set Up'!$O$15,IF(BU9&lt;'[1]Set Up'!$J$17,(BU9-'[1]Set Up'!$J$16)*'[1]Set Up'!$N$17+'[1]Set Up'!$O$15+'[1]Set Up'!$O$16,(BU9-'[1]Set Up'!$J$17)*'[1]Set Up'!$N$18 + SUM('[1]Set Up'!$O$15:'[1]Set Up'!$O$17)))))</f>
        <v>0</v>
      </c>
      <c r="BV14" s="28">
        <f>IF(BV9="","",IF(BV9&lt;'[1]Set Up'!$J$15,BV9*'[1]Set Up'!$N$15,IF(BV9&lt;'[1]Set Up'!$J$16,(BV9-'[1]Set Up'!$J$15)*'[1]Set Up'!$N$16+'[1]Set Up'!$O$15,IF(BV9&lt;'[1]Set Up'!$J$17,(BV9-'[1]Set Up'!$J$16)*'[1]Set Up'!$N$17+'[1]Set Up'!$O$15+'[1]Set Up'!$O$16,(BV9-'[1]Set Up'!$J$17)*'[1]Set Up'!$N$18 + SUM('[1]Set Up'!$O$15:'[1]Set Up'!$O$17)))))</f>
        <v>0</v>
      </c>
      <c r="BW14" s="28">
        <f>IF(BW9="","",IF(BW9&lt;'[1]Set Up'!$J$15,BW9*'[1]Set Up'!$N$15,IF(BW9&lt;'[1]Set Up'!$J$16,(BW9-'[1]Set Up'!$J$15)*'[1]Set Up'!$N$16+'[1]Set Up'!$O$15,IF(BW9&lt;'[1]Set Up'!$J$17,(BW9-'[1]Set Up'!$J$16)*'[1]Set Up'!$N$17+'[1]Set Up'!$O$15+'[1]Set Up'!$O$16,(BW9-'[1]Set Up'!$J$17)*'[1]Set Up'!$N$18 + SUM('[1]Set Up'!$O$15:'[1]Set Up'!$O$17)))))</f>
        <v>0</v>
      </c>
      <c r="BX14" s="28">
        <f>IF(BX9="","",IF(BX9&lt;'[1]Set Up'!$J$15,BX9*'[1]Set Up'!$N$15,IF(BX9&lt;'[1]Set Up'!$J$16,(BX9-'[1]Set Up'!$J$15)*'[1]Set Up'!$N$16+'[1]Set Up'!$O$15,IF(BX9&lt;'[1]Set Up'!$J$17,(BX9-'[1]Set Up'!$J$16)*'[1]Set Up'!$N$17+'[1]Set Up'!$O$15+'[1]Set Up'!$O$16,(BX9-'[1]Set Up'!$J$17)*'[1]Set Up'!$N$18 + SUM('[1]Set Up'!$O$15:'[1]Set Up'!$O$17)))))</f>
        <v>0</v>
      </c>
      <c r="BY14" s="28">
        <f>IF(BY9="","",IF(BY9&lt;'[1]Set Up'!$J$15,BY9*'[1]Set Up'!$N$15,IF(BY9&lt;'[1]Set Up'!$J$16,(BY9-'[1]Set Up'!$J$15)*'[1]Set Up'!$N$16+'[1]Set Up'!$O$15,IF(BY9&lt;'[1]Set Up'!$J$17,(BY9-'[1]Set Up'!$J$16)*'[1]Set Up'!$N$17+'[1]Set Up'!$O$15+'[1]Set Up'!$O$16,(BY9-'[1]Set Up'!$J$17)*'[1]Set Up'!$N$18 + SUM('[1]Set Up'!$O$15:'[1]Set Up'!$O$17)))))</f>
        <v>0</v>
      </c>
      <c r="BZ14" s="8"/>
    </row>
    <row r="15" spans="1:78" ht="15" thickBot="1" x14ac:dyDescent="0.4">
      <c r="A15" s="29" t="s">
        <v>22</v>
      </c>
      <c r="B15" s="197"/>
      <c r="C15" s="30">
        <f>IF(C11="","",IF(C11&lt;'[1]Set Up'!$J$15,C11*'[1]Set Up'!$N$15,IF(C11&lt;'[1]Set Up'!$J$16,(C11-'[1]Set Up'!$J$15)*'[1]Set Up'!$N$16+'[1]Set Up'!$O$15,IF(C11&lt;'[1]Set Up'!$J$17,(C11-'[1]Set Up'!$J$16)*'[1]Set Up'!$N$17+'[1]Set Up'!$O$15+'[1]Set Up'!$O$16,(C11-'[1]Set Up'!$J$17)*'[1]Set Up'!$N$18 + SUM('[1]Set Up'!$O$15:'[1]Set Up'!$O$17)))))</f>
        <v>426.20931450865049</v>
      </c>
      <c r="D15" s="30">
        <f>IF(D11="","",IF(D11&lt;'[1]Set Up'!$J$15,D11*'[1]Set Up'!$N$15,IF(D11&lt;'[1]Set Up'!$J$16,(D11-'[1]Set Up'!$J$15)*'[1]Set Up'!$N$16+'[1]Set Up'!$O$15,IF(D11&lt;'[1]Set Up'!$J$17,(D11-'[1]Set Up'!$J$16)*'[1]Set Up'!$N$17+'[1]Set Up'!$O$15+'[1]Set Up'!$O$16,(D11-'[1]Set Up'!$J$17)*'[1]Set Up'!$N$18 + SUM('[1]Set Up'!$O$15:'[1]Set Up'!$O$17)))))</f>
        <v>423.20809345650764</v>
      </c>
      <c r="E15" s="30">
        <f>IF(E11="","",IF(E11&lt;'[1]Set Up'!$J$15,E11*'[1]Set Up'!$N$15,IF(E11&lt;'[1]Set Up'!$J$16,(E11-'[1]Set Up'!$J$15)*'[1]Set Up'!$N$16+'[1]Set Up'!$O$15,IF(E11&lt;'[1]Set Up'!$J$17,(E11-'[1]Set Up'!$J$16)*'[1]Set Up'!$N$17+'[1]Set Up'!$O$15+'[1]Set Up'!$O$16,(E11-'[1]Set Up'!$J$17)*'[1]Set Up'!$N$18 + SUM('[1]Set Up'!$O$15:'[1]Set Up'!$O$17)))))</f>
        <v>420.20687240436473</v>
      </c>
      <c r="F15" s="30">
        <f>IF(F11="","",IF(F11&lt;'[1]Set Up'!$J$15,F11*'[1]Set Up'!$N$15,IF(F11&lt;'[1]Set Up'!$J$16,(F11-'[1]Set Up'!$J$15)*'[1]Set Up'!$N$16+'[1]Set Up'!$O$15,IF(F11&lt;'[1]Set Up'!$J$17,(F11-'[1]Set Up'!$J$16)*'[1]Set Up'!$N$17+'[1]Set Up'!$O$15+'[1]Set Up'!$O$16,(F11-'[1]Set Up'!$J$17)*'[1]Set Up'!$N$18 + SUM('[1]Set Up'!$O$15:'[1]Set Up'!$O$17)))))</f>
        <v>417.22058280024243</v>
      </c>
      <c r="G15" s="30">
        <f>IF(G11="","",IF(G11&lt;'[1]Set Up'!$J$15,G11*'[1]Set Up'!$N$15,IF(G11&lt;'[1]Set Up'!$J$16,(G11-'[1]Set Up'!$J$15)*'[1]Set Up'!$N$16+'[1]Set Up'!$O$15,IF(G11&lt;'[1]Set Up'!$J$17,(G11-'[1]Set Up'!$J$16)*'[1]Set Up'!$N$17+'[1]Set Up'!$O$15+'[1]Set Up'!$O$16,(G11-'[1]Set Up'!$J$17)*'[1]Set Up'!$N$18 + SUM('[1]Set Up'!$O$15:'[1]Set Up'!$O$17)))))</f>
        <v>414.21936174809957</v>
      </c>
      <c r="H15" s="30">
        <f>IF(H11="","",IF(H11&lt;'[1]Set Up'!$J$15,H11*'[1]Set Up'!$N$15,IF(H11&lt;'[1]Set Up'!$J$16,(H11-'[1]Set Up'!$J$15)*'[1]Set Up'!$N$16+'[1]Set Up'!$O$15,IF(H11&lt;'[1]Set Up'!$J$17,(H11-'[1]Set Up'!$J$16)*'[1]Set Up'!$N$17+'[1]Set Up'!$O$15+'[1]Set Up'!$O$16,(H11-'[1]Set Up'!$J$17)*'[1]Set Up'!$N$18 + SUM('[1]Set Up'!$O$15:'[1]Set Up'!$O$17)))))</f>
        <v>411.21814069595666</v>
      </c>
      <c r="I15" s="30">
        <f>IF(I11="","",IF(I11&lt;'[1]Set Up'!$J$15,I11*'[1]Set Up'!$N$15,IF(I11&lt;'[1]Set Up'!$J$16,(I11-'[1]Set Up'!$J$15)*'[1]Set Up'!$N$16+'[1]Set Up'!$O$15,IF(I11&lt;'[1]Set Up'!$J$17,(I11-'[1]Set Up'!$J$16)*'[1]Set Up'!$N$17+'[1]Set Up'!$O$15+'[1]Set Up'!$O$16,(I11-'[1]Set Up'!$J$17)*'[1]Set Up'!$N$18 + SUM('[1]Set Up'!$O$15:'[1]Set Up'!$O$17)))))</f>
        <v>408.23185109183441</v>
      </c>
      <c r="J15" s="30">
        <f>IF(J11="","",IF(J11&lt;'[1]Set Up'!$J$15,J11*'[1]Set Up'!$N$15,IF(J11&lt;'[1]Set Up'!$J$16,(J11-'[1]Set Up'!$J$15)*'[1]Set Up'!$N$16+'[1]Set Up'!$O$15,IF(J11&lt;'[1]Set Up'!$J$17,(J11-'[1]Set Up'!$J$16)*'[1]Set Up'!$N$17+'[1]Set Up'!$O$15+'[1]Set Up'!$O$16,(J11-'[1]Set Up'!$J$17)*'[1]Set Up'!$N$18 + SUM('[1]Set Up'!$O$15:'[1]Set Up'!$O$17)))))</f>
        <v>405.2306300396915</v>
      </c>
      <c r="K15" s="30">
        <f>IF(K11="","",IF(K11&lt;'[1]Set Up'!$J$15,K11*'[1]Set Up'!$N$15,IF(K11&lt;'[1]Set Up'!$J$16,(K11-'[1]Set Up'!$J$15)*'[1]Set Up'!$N$16+'[1]Set Up'!$O$15,IF(K11&lt;'[1]Set Up'!$J$17,(K11-'[1]Set Up'!$J$16)*'[1]Set Up'!$N$17+'[1]Set Up'!$O$15+'[1]Set Up'!$O$16,(K11-'[1]Set Up'!$J$17)*'[1]Set Up'!$N$18 + SUM('[1]Set Up'!$O$15:'[1]Set Up'!$O$17)))))</f>
        <v>402.2294089875486</v>
      </c>
      <c r="L15" s="30">
        <f>IF(L11="","",IF(L11&lt;'[1]Set Up'!$J$15,L11*'[1]Set Up'!$N$15,IF(L11&lt;'[1]Set Up'!$J$16,(L11-'[1]Set Up'!$J$15)*'[1]Set Up'!$N$16+'[1]Set Up'!$O$15,IF(L11&lt;'[1]Set Up'!$J$17,(L11-'[1]Set Up'!$J$16)*'[1]Set Up'!$N$17+'[1]Set Up'!$O$15+'[1]Set Up'!$O$16,(L11-'[1]Set Up'!$J$17)*'[1]Set Up'!$N$18 + SUM('[1]Set Up'!$O$15:'[1]Set Up'!$O$17)))))</f>
        <v>399.24311938342635</v>
      </c>
      <c r="M15" s="30">
        <f>IF(M11="","",IF(M11&lt;'[1]Set Up'!$J$15,M11*'[1]Set Up'!$N$15,IF(M11&lt;'[1]Set Up'!$J$16,(M11-'[1]Set Up'!$J$15)*'[1]Set Up'!$N$16+'[1]Set Up'!$O$15,IF(M11&lt;'[1]Set Up'!$J$17,(M11-'[1]Set Up'!$J$16)*'[1]Set Up'!$N$17+'[1]Set Up'!$O$15+'[1]Set Up'!$O$16,(M11-'[1]Set Up'!$J$17)*'[1]Set Up'!$N$18 + SUM('[1]Set Up'!$O$15:'[1]Set Up'!$O$17)))))</f>
        <v>396.24189833128344</v>
      </c>
      <c r="N15" s="30">
        <f>IF(N11="","",IF(N11&lt;'[1]Set Up'!$J$15,N11*'[1]Set Up'!$N$15,IF(N11&lt;'[1]Set Up'!$J$16,(N11-'[1]Set Up'!$J$15)*'[1]Set Up'!$N$16+'[1]Set Up'!$O$15,IF(N11&lt;'[1]Set Up'!$J$17,(N11-'[1]Set Up'!$J$16)*'[1]Set Up'!$N$17+'[1]Set Up'!$O$15+'[1]Set Up'!$O$16,(N11-'[1]Set Up'!$J$17)*'[1]Set Up'!$N$18 + SUM('[1]Set Up'!$O$15:'[1]Set Up'!$O$17)))))</f>
        <v>393.24067727914053</v>
      </c>
      <c r="O15" s="30">
        <f>IF(O11="","",IF(O11&lt;'[1]Set Up'!$J$15,O11*'[1]Set Up'!$N$15,IF(O11&lt;'[1]Set Up'!$J$16,(O11-'[1]Set Up'!$J$15)*'[1]Set Up'!$N$16+'[1]Set Up'!$O$15,IF(O11&lt;'[1]Set Up'!$J$17,(O11-'[1]Set Up'!$J$16)*'[1]Set Up'!$N$17+'[1]Set Up'!$O$15+'[1]Set Up'!$O$16,(O11-'[1]Set Up'!$J$17)*'[1]Set Up'!$N$18 + SUM('[1]Set Up'!$O$15:'[1]Set Up'!$O$17)))))</f>
        <v>390.25438767501828</v>
      </c>
      <c r="P15" s="30">
        <f>IF(P11="","",IF(P11&lt;'[1]Set Up'!$J$15,P11*'[1]Set Up'!$N$15,IF(P11&lt;'[1]Set Up'!$J$16,(P11-'[1]Set Up'!$J$15)*'[1]Set Up'!$N$16+'[1]Set Up'!$O$15,IF(P11&lt;'[1]Set Up'!$J$17,(P11-'[1]Set Up'!$J$16)*'[1]Set Up'!$N$17+'[1]Set Up'!$O$15+'[1]Set Up'!$O$16,(P11-'[1]Set Up'!$J$17)*'[1]Set Up'!$N$18 + SUM('[1]Set Up'!$O$15:'[1]Set Up'!$O$17)))))</f>
        <v>387.25316662287537</v>
      </c>
      <c r="Q15" s="30">
        <f>IF(Q11="","",IF(Q11&lt;'[1]Set Up'!$J$15,Q11*'[1]Set Up'!$N$15,IF(Q11&lt;'[1]Set Up'!$J$16,(Q11-'[1]Set Up'!$J$15)*'[1]Set Up'!$N$16+'[1]Set Up'!$O$15,IF(Q11&lt;'[1]Set Up'!$J$17,(Q11-'[1]Set Up'!$J$16)*'[1]Set Up'!$N$17+'[1]Set Up'!$O$15+'[1]Set Up'!$O$16,(Q11-'[1]Set Up'!$J$17)*'[1]Set Up'!$N$18 + SUM('[1]Set Up'!$O$15:'[1]Set Up'!$O$17)))))</f>
        <v>384.25194557073246</v>
      </c>
      <c r="R15" s="30">
        <f>IF(R11="","",IF(R11&lt;'[1]Set Up'!$J$15,R11*'[1]Set Up'!$N$15,IF(R11&lt;'[1]Set Up'!$J$16,(R11-'[1]Set Up'!$J$15)*'[1]Set Up'!$N$16+'[1]Set Up'!$O$15,IF(R11&lt;'[1]Set Up'!$J$17,(R11-'[1]Set Up'!$J$16)*'[1]Set Up'!$N$17+'[1]Set Up'!$O$15+'[1]Set Up'!$O$16,(R11-'[1]Set Up'!$J$17)*'[1]Set Up'!$N$18 + SUM('[1]Set Up'!$O$15:'[1]Set Up'!$O$17)))))</f>
        <v>381.26565596661021</v>
      </c>
      <c r="S15" s="30">
        <f>IF(S11="","",IF(S11&lt;'[1]Set Up'!$J$15,S11*'[1]Set Up'!$N$15,IF(S11&lt;'[1]Set Up'!$J$16,(S11-'[1]Set Up'!$J$15)*'[1]Set Up'!$N$16+'[1]Set Up'!$O$15,IF(S11&lt;'[1]Set Up'!$J$17,(S11-'[1]Set Up'!$J$16)*'[1]Set Up'!$N$17+'[1]Set Up'!$O$15+'[1]Set Up'!$O$16,(S11-'[1]Set Up'!$J$17)*'[1]Set Up'!$N$18 + SUM('[1]Set Up'!$O$15:'[1]Set Up'!$O$17)))))</f>
        <v>378.2644349144673</v>
      </c>
      <c r="T15" s="30">
        <f>IF(T11="","",IF(T11&lt;'[1]Set Up'!$J$15,T11*'[1]Set Up'!$N$15,IF(T11&lt;'[1]Set Up'!$J$16,(T11-'[1]Set Up'!$J$15)*'[1]Set Up'!$N$16+'[1]Set Up'!$O$15,IF(T11&lt;'[1]Set Up'!$J$17,(T11-'[1]Set Up'!$J$16)*'[1]Set Up'!$N$17+'[1]Set Up'!$O$15+'[1]Set Up'!$O$16,(T11-'[1]Set Up'!$J$17)*'[1]Set Up'!$N$18 + SUM('[1]Set Up'!$O$15:'[1]Set Up'!$O$17)))))</f>
        <v>375.26321386232439</v>
      </c>
      <c r="U15" s="30">
        <f>IF(U11="","",IF(U11&lt;'[1]Set Up'!$J$15,U11*'[1]Set Up'!$N$15,IF(U11&lt;'[1]Set Up'!$J$16,(U11-'[1]Set Up'!$J$15)*'[1]Set Up'!$N$16+'[1]Set Up'!$O$15,IF(U11&lt;'[1]Set Up'!$J$17,(U11-'[1]Set Up'!$J$16)*'[1]Set Up'!$N$17+'[1]Set Up'!$O$15+'[1]Set Up'!$O$16,(U11-'[1]Set Up'!$J$17)*'[1]Set Up'!$N$18 + SUM('[1]Set Up'!$O$15:'[1]Set Up'!$O$17)))))</f>
        <v>372.27692425820214</v>
      </c>
      <c r="V15" s="30">
        <f>IF(V11="","",IF(V11&lt;'[1]Set Up'!$J$15,V11*'[1]Set Up'!$N$15,IF(V11&lt;'[1]Set Up'!$J$16,(V11-'[1]Set Up'!$J$15)*'[1]Set Up'!$N$16+'[1]Set Up'!$O$15,IF(V11&lt;'[1]Set Up'!$J$17,(V11-'[1]Set Up'!$J$16)*'[1]Set Up'!$N$17+'[1]Set Up'!$O$15+'[1]Set Up'!$O$16,(V11-'[1]Set Up'!$J$17)*'[1]Set Up'!$N$18 + SUM('[1]Set Up'!$O$15:'[1]Set Up'!$O$17)))))</f>
        <v>369.27570320605923</v>
      </c>
      <c r="W15" s="30">
        <f>IF(W11="","",IF(W11&lt;'[1]Set Up'!$J$15,W11*'[1]Set Up'!$N$15,IF(W11&lt;'[1]Set Up'!$J$16,(W11-'[1]Set Up'!$J$15)*'[1]Set Up'!$N$16+'[1]Set Up'!$O$15,IF(W11&lt;'[1]Set Up'!$J$17,(W11-'[1]Set Up'!$J$16)*'[1]Set Up'!$N$17+'[1]Set Up'!$O$15+'[1]Set Up'!$O$16,(W11-'[1]Set Up'!$J$17)*'[1]Set Up'!$N$18 + SUM('[1]Set Up'!$O$15:'[1]Set Up'!$O$17)))))</f>
        <v>366.28941360193699</v>
      </c>
      <c r="X15" s="30">
        <f>IF(X11="","",IF(X11&lt;'[1]Set Up'!$J$15,X11*'[1]Set Up'!$N$15,IF(X11&lt;'[1]Set Up'!$J$16,(X11-'[1]Set Up'!$J$15)*'[1]Set Up'!$N$16+'[1]Set Up'!$O$15,IF(X11&lt;'[1]Set Up'!$J$17,(X11-'[1]Set Up'!$J$16)*'[1]Set Up'!$N$17+'[1]Set Up'!$O$15+'[1]Set Up'!$O$16,(X11-'[1]Set Up'!$J$17)*'[1]Set Up'!$N$18 + SUM('[1]Set Up'!$O$15:'[1]Set Up'!$O$17)))))</f>
        <v>363.28819254979408</v>
      </c>
      <c r="Y15" s="30">
        <f>IF(Y11="","",IF(Y11&lt;'[1]Set Up'!$J$15,Y11*'[1]Set Up'!$N$15,IF(Y11&lt;'[1]Set Up'!$J$16,(Y11-'[1]Set Up'!$J$15)*'[1]Set Up'!$N$16+'[1]Set Up'!$O$15,IF(Y11&lt;'[1]Set Up'!$J$17,(Y11-'[1]Set Up'!$J$16)*'[1]Set Up'!$N$17+'[1]Set Up'!$O$15+'[1]Set Up'!$O$16,(Y11-'[1]Set Up'!$J$17)*'[1]Set Up'!$N$18 + SUM('[1]Set Up'!$O$15:'[1]Set Up'!$O$17)))))</f>
        <v>360.28697149765117</v>
      </c>
      <c r="Z15" s="30">
        <f>IF(Z11="","",IF(Z11&lt;'[1]Set Up'!$J$15,Z11*'[1]Set Up'!$N$15,IF(Z11&lt;'[1]Set Up'!$J$16,(Z11-'[1]Set Up'!$J$15)*'[1]Set Up'!$N$16+'[1]Set Up'!$O$15,IF(Z11&lt;'[1]Set Up'!$J$17,(Z11-'[1]Set Up'!$J$16)*'[1]Set Up'!$N$17+'[1]Set Up'!$O$15+'[1]Set Up'!$O$16,(Z11-'[1]Set Up'!$J$17)*'[1]Set Up'!$N$18 + SUM('[1]Set Up'!$O$15:'[1]Set Up'!$O$17)))))</f>
        <v>357.30068189352892</v>
      </c>
      <c r="AA15" s="30">
        <f>IF(AA11="","",IF(AA11&lt;'[1]Set Up'!$J$15,AA11*'[1]Set Up'!$N$15,IF(AA11&lt;'[1]Set Up'!$J$16,(AA11-'[1]Set Up'!$J$15)*'[1]Set Up'!$N$16+'[1]Set Up'!$O$15,IF(AA11&lt;'[1]Set Up'!$J$17,(AA11-'[1]Set Up'!$J$16)*'[1]Set Up'!$N$17+'[1]Set Up'!$O$15+'[1]Set Up'!$O$16,(AA11-'[1]Set Up'!$J$17)*'[1]Set Up'!$N$18 + SUM('[1]Set Up'!$O$15:'[1]Set Up'!$O$17)))))</f>
        <v>354.29946084138601</v>
      </c>
      <c r="AB15" s="30">
        <f>IF(AB11="","",IF(AB11&lt;'[1]Set Up'!$J$15,AB11*'[1]Set Up'!$N$15,IF(AB11&lt;'[1]Set Up'!$J$16,(AB11-'[1]Set Up'!$J$15)*'[1]Set Up'!$N$16+'[1]Set Up'!$O$15,IF(AB11&lt;'[1]Set Up'!$J$17,(AB11-'[1]Set Up'!$J$16)*'[1]Set Up'!$N$17+'[1]Set Up'!$O$15+'[1]Set Up'!$O$16,(AB11-'[1]Set Up'!$J$17)*'[1]Set Up'!$N$18 + SUM('[1]Set Up'!$O$15:'[1]Set Up'!$O$17)))))</f>
        <v>351.2982397892431</v>
      </c>
      <c r="AC15" s="30">
        <f>IF(AC11="","",IF(AC11&lt;'[1]Set Up'!$J$15,AC11*'[1]Set Up'!$N$15,IF(AC11&lt;'[1]Set Up'!$J$16,(AC11-'[1]Set Up'!$J$15)*'[1]Set Up'!$N$16+'[1]Set Up'!$O$15,IF(AC11&lt;'[1]Set Up'!$J$17,(AC11-'[1]Set Up'!$J$16)*'[1]Set Up'!$N$17+'[1]Set Up'!$O$15+'[1]Set Up'!$O$16,(AC11-'[1]Set Up'!$J$17)*'[1]Set Up'!$N$18 + SUM('[1]Set Up'!$O$15:'[1]Set Up'!$O$17)))))</f>
        <v>348.31195018512085</v>
      </c>
      <c r="AD15" s="30">
        <f>IF(AD11="","",IF(AD11&lt;'[1]Set Up'!$J$15,AD11*'[1]Set Up'!$N$15,IF(AD11&lt;'[1]Set Up'!$J$16,(AD11-'[1]Set Up'!$J$15)*'[1]Set Up'!$N$16+'[1]Set Up'!$O$15,IF(AD11&lt;'[1]Set Up'!$J$17,(AD11-'[1]Set Up'!$J$16)*'[1]Set Up'!$N$17+'[1]Set Up'!$O$15+'[1]Set Up'!$O$16,(AD11-'[1]Set Up'!$J$17)*'[1]Set Up'!$N$18 + SUM('[1]Set Up'!$O$15:'[1]Set Up'!$O$17)))))</f>
        <v>345.31072913297794</v>
      </c>
      <c r="AE15" s="30">
        <f>IF(AE11="","",IF(AE11&lt;'[1]Set Up'!$J$15,AE11*'[1]Set Up'!$N$15,IF(AE11&lt;'[1]Set Up'!$J$16,(AE11-'[1]Set Up'!$J$15)*'[1]Set Up'!$N$16+'[1]Set Up'!$O$15,IF(AE11&lt;'[1]Set Up'!$J$17,(AE11-'[1]Set Up'!$J$16)*'[1]Set Up'!$N$17+'[1]Set Up'!$O$15+'[1]Set Up'!$O$16,(AE11-'[1]Set Up'!$J$17)*'[1]Set Up'!$N$18 + SUM('[1]Set Up'!$O$15:'[1]Set Up'!$O$17)))))</f>
        <v>342.30950808083509</v>
      </c>
      <c r="AF15" s="30">
        <f>IF(AF11="","",IF(AF11&lt;'[1]Set Up'!$J$15,AF11*'[1]Set Up'!$N$15,IF(AF11&lt;'[1]Set Up'!$J$16,(AF11-'[1]Set Up'!$J$15)*'[1]Set Up'!$N$16+'[1]Set Up'!$O$15,IF(AF11&lt;'[1]Set Up'!$J$17,(AF11-'[1]Set Up'!$J$16)*'[1]Set Up'!$N$17+'[1]Set Up'!$O$15+'[1]Set Up'!$O$16,(AF11-'[1]Set Up'!$J$17)*'[1]Set Up'!$N$18 + SUM('[1]Set Up'!$O$15:'[1]Set Up'!$O$17)))))</f>
        <v>339.32321847671278</v>
      </c>
      <c r="AG15" s="30">
        <f>IF(AG11="","",IF(AG11&lt;'[1]Set Up'!$J$15,AG11*'[1]Set Up'!$N$15,IF(AG11&lt;'[1]Set Up'!$J$16,(AG11-'[1]Set Up'!$J$15)*'[1]Set Up'!$N$16+'[1]Set Up'!$O$15,IF(AG11&lt;'[1]Set Up'!$J$17,(AG11-'[1]Set Up'!$J$16)*'[1]Set Up'!$N$17+'[1]Set Up'!$O$15+'[1]Set Up'!$O$16,(AG11-'[1]Set Up'!$J$17)*'[1]Set Up'!$N$18 + SUM('[1]Set Up'!$O$15:'[1]Set Up'!$O$17)))))</f>
        <v>336.32199742456987</v>
      </c>
      <c r="AH15" s="30">
        <f>IF(AH11="","",IF(AH11&lt;'[1]Set Up'!$J$15,AH11*'[1]Set Up'!$N$15,IF(AH11&lt;'[1]Set Up'!$J$16,(AH11-'[1]Set Up'!$J$15)*'[1]Set Up'!$N$16+'[1]Set Up'!$O$15,IF(AH11&lt;'[1]Set Up'!$J$17,(AH11-'[1]Set Up'!$J$16)*'[1]Set Up'!$N$17+'[1]Set Up'!$O$15+'[1]Set Up'!$O$16,(AH11-'[1]Set Up'!$J$17)*'[1]Set Up'!$N$18 + SUM('[1]Set Up'!$O$15:'[1]Set Up'!$O$17)))))</f>
        <v>333.32077637242702</v>
      </c>
      <c r="AI15" s="30">
        <f>IF(AI11="","",IF(AI11&lt;'[1]Set Up'!$J$15,AI11*'[1]Set Up'!$N$15,IF(AI11&lt;'[1]Set Up'!$J$16,(AI11-'[1]Set Up'!$J$15)*'[1]Set Up'!$N$16+'[1]Set Up'!$O$15,IF(AI11&lt;'[1]Set Up'!$J$17,(AI11-'[1]Set Up'!$J$16)*'[1]Set Up'!$N$17+'[1]Set Up'!$O$15+'[1]Set Up'!$O$16,(AI11-'[1]Set Up'!$J$17)*'[1]Set Up'!$N$18 + SUM('[1]Set Up'!$O$15:'[1]Set Up'!$O$17)))))</f>
        <v>330.33448676830471</v>
      </c>
      <c r="AJ15" s="30">
        <f>IF(AJ11="","",IF(AJ11&lt;'[1]Set Up'!$J$15,AJ11*'[1]Set Up'!$N$15,IF(AJ11&lt;'[1]Set Up'!$J$16,(AJ11-'[1]Set Up'!$J$15)*'[1]Set Up'!$N$16+'[1]Set Up'!$O$15,IF(AJ11&lt;'[1]Set Up'!$J$17,(AJ11-'[1]Set Up'!$J$16)*'[1]Set Up'!$N$17+'[1]Set Up'!$O$15+'[1]Set Up'!$O$16,(AJ11-'[1]Set Up'!$J$17)*'[1]Set Up'!$N$18 + SUM('[1]Set Up'!$O$15:'[1]Set Up'!$O$17)))))</f>
        <v>327.3332657161618</v>
      </c>
      <c r="AK15" s="30">
        <f>IF(AK11="","",IF(AK11&lt;'[1]Set Up'!$J$15,AK11*'[1]Set Up'!$N$15,IF(AK11&lt;'[1]Set Up'!$J$16,(AK11-'[1]Set Up'!$J$15)*'[1]Set Up'!$N$16+'[1]Set Up'!$O$15,IF(AK11&lt;'[1]Set Up'!$J$17,(AK11-'[1]Set Up'!$J$16)*'[1]Set Up'!$N$17+'[1]Set Up'!$O$15+'[1]Set Up'!$O$16,(AK11-'[1]Set Up'!$J$17)*'[1]Set Up'!$N$18 + SUM('[1]Set Up'!$O$15:'[1]Set Up'!$O$17)))))</f>
        <v>324.33204466401895</v>
      </c>
      <c r="AL15" s="30">
        <f>IF(AL11="","",IF(AL11&lt;'[1]Set Up'!$J$15,AL11*'[1]Set Up'!$N$15,IF(AL11&lt;'[1]Set Up'!$J$16,(AL11-'[1]Set Up'!$J$15)*'[1]Set Up'!$N$16+'[1]Set Up'!$O$15,IF(AL11&lt;'[1]Set Up'!$J$17,(AL11-'[1]Set Up'!$J$16)*'[1]Set Up'!$N$17+'[1]Set Up'!$O$15+'[1]Set Up'!$O$16,(AL11-'[1]Set Up'!$J$17)*'[1]Set Up'!$N$18 + SUM('[1]Set Up'!$O$15:'[1]Set Up'!$O$17)))))</f>
        <v>321.34575505989665</v>
      </c>
      <c r="AM15" s="30">
        <f>IF(AM11="","",IF(AM11&lt;'[1]Set Up'!$J$15,AM11*'[1]Set Up'!$N$15,IF(AM11&lt;'[1]Set Up'!$J$16,(AM11-'[1]Set Up'!$J$15)*'[1]Set Up'!$N$16+'[1]Set Up'!$O$15,IF(AM11&lt;'[1]Set Up'!$J$17,(AM11-'[1]Set Up'!$J$16)*'[1]Set Up'!$N$17+'[1]Set Up'!$O$15+'[1]Set Up'!$O$16,(AM11-'[1]Set Up'!$J$17)*'[1]Set Up'!$N$18 + SUM('[1]Set Up'!$O$15:'[1]Set Up'!$O$17)))))</f>
        <v>318.34453400775379</v>
      </c>
      <c r="AN15" s="30">
        <f>IF(AN11="","",IF(AN11&lt;'[1]Set Up'!$J$15,AN11*'[1]Set Up'!$N$15,IF(AN11&lt;'[1]Set Up'!$J$16,(AN11-'[1]Set Up'!$J$15)*'[1]Set Up'!$N$16+'[1]Set Up'!$O$15,IF(AN11&lt;'[1]Set Up'!$J$17,(AN11-'[1]Set Up'!$J$16)*'[1]Set Up'!$N$17+'[1]Set Up'!$O$15+'[1]Set Up'!$O$16,(AN11-'[1]Set Up'!$J$17)*'[1]Set Up'!$N$18 + SUM('[1]Set Up'!$O$15:'[1]Set Up'!$O$17)))))</f>
        <v>315.34331295561088</v>
      </c>
      <c r="AO15" s="30">
        <v>309.35580229934573</v>
      </c>
      <c r="AP15" s="30">
        <f>IF(AP11="","",IF(AP11&lt;'[1]Set Up'!$J$15,AP11*'[1]Set Up'!$N$15,IF(AP11&lt;'[1]Set Up'!$J$16,(AP11-'[1]Set Up'!$J$15)*'[1]Set Up'!$N$16+'[1]Set Up'!$O$15,IF(AP11&lt;'[1]Set Up'!$J$17,(AP11-'[1]Set Up'!$J$16)*'[1]Set Up'!$N$17+'[1]Set Up'!$O$15+'[1]Set Up'!$O$16,(AP11-'[1]Set Up'!$J$17)*'[1]Set Up'!$N$18 + SUM('[1]Set Up'!$O$15:'[1]Set Up'!$O$17)))))</f>
        <v>309.35580229934573</v>
      </c>
      <c r="AQ15" s="30">
        <f>IF(AQ11="","",IF(AQ11&lt;'[1]Set Up'!$J$15,AQ11*'[1]Set Up'!$N$15,IF(AQ11&lt;'[1]Set Up'!$J$16,(AQ11-'[1]Set Up'!$J$15)*'[1]Set Up'!$N$16+'[1]Set Up'!$O$15,IF(AQ11&lt;'[1]Set Up'!$J$17,(AQ11-'[1]Set Up'!$J$16)*'[1]Set Up'!$N$17+'[1]Set Up'!$O$15+'[1]Set Up'!$O$16,(AQ11-'[1]Set Up'!$J$17)*'[1]Set Up'!$N$18 + SUM('[1]Set Up'!$O$15:'[1]Set Up'!$O$17)))))</f>
        <v>306.36951269522342</v>
      </c>
      <c r="AR15" s="30">
        <f>IF(AR11="","",IF(AR11&lt;'[1]Set Up'!$J$15,AR11*'[1]Set Up'!$N$15,IF(AR11&lt;'[1]Set Up'!$J$16,(AR11-'[1]Set Up'!$J$15)*'[1]Set Up'!$N$16+'[1]Set Up'!$O$15,IF(AR11&lt;'[1]Set Up'!$J$17,(AR11-'[1]Set Up'!$J$16)*'[1]Set Up'!$N$17+'[1]Set Up'!$O$15+'[1]Set Up'!$O$16,(AR11-'[1]Set Up'!$J$17)*'[1]Set Up'!$N$18 + SUM('[1]Set Up'!$O$15:'[1]Set Up'!$O$17)))))</f>
        <v>303.36829164308057</v>
      </c>
      <c r="AS15" s="30">
        <f>IF(AS11="","",IF(AS11&lt;'[1]Set Up'!$J$15,AS11*'[1]Set Up'!$N$15,IF(AS11&lt;'[1]Set Up'!$J$16,(AS11-'[1]Set Up'!$J$15)*'[1]Set Up'!$N$16+'[1]Set Up'!$O$15,IF(AS11&lt;'[1]Set Up'!$J$17,(AS11-'[1]Set Up'!$J$16)*'[1]Set Up'!$N$17+'[1]Set Up'!$O$15+'[1]Set Up'!$O$16,(AS11-'[1]Set Up'!$J$17)*'[1]Set Up'!$N$18 + SUM('[1]Set Up'!$O$15:'[1]Set Up'!$O$17)))))</f>
        <v>300.36707059093766</v>
      </c>
      <c r="AT15" s="30">
        <f>IF(AT11="","",IF(AT11&lt;'[1]Set Up'!$J$15,AT11*'[1]Set Up'!$N$15,IF(AT11&lt;'[1]Set Up'!$J$16,(AT11-'[1]Set Up'!$J$15)*'[1]Set Up'!$N$16+'[1]Set Up'!$O$15,IF(AT11&lt;'[1]Set Up'!$J$17,(AT11-'[1]Set Up'!$J$16)*'[1]Set Up'!$N$17+'[1]Set Up'!$O$15+'[1]Set Up'!$O$16,(AT11-'[1]Set Up'!$J$17)*'[1]Set Up'!$N$18 + SUM('[1]Set Up'!$O$15:'[1]Set Up'!$O$17)))))</f>
        <v>297.38078098681535</v>
      </c>
      <c r="AU15" s="30">
        <f>IF(AU11="","",IF(AU11&lt;'[1]Set Up'!$J$15,AU11*'[1]Set Up'!$N$15,IF(AU11&lt;'[1]Set Up'!$J$16,(AU11-'[1]Set Up'!$J$15)*'[1]Set Up'!$N$16+'[1]Set Up'!$O$15,IF(AU11&lt;'[1]Set Up'!$J$17,(AU11-'[1]Set Up'!$J$16)*'[1]Set Up'!$N$17+'[1]Set Up'!$O$15+'[1]Set Up'!$O$16,(AU11-'[1]Set Up'!$J$17)*'[1]Set Up'!$N$18 + SUM('[1]Set Up'!$O$15:'[1]Set Up'!$O$17)))))</f>
        <v>294.3795599346725</v>
      </c>
      <c r="AV15" s="30">
        <f>IF(AV11="","",IF(AV11&lt;'[1]Set Up'!$J$15,AV11*'[1]Set Up'!$N$15,IF(AV11&lt;'[1]Set Up'!$J$16,(AV11-'[1]Set Up'!$J$15)*'[1]Set Up'!$N$16+'[1]Set Up'!$O$15,IF(AV11&lt;'[1]Set Up'!$J$17,(AV11-'[1]Set Up'!$J$16)*'[1]Set Up'!$N$17+'[1]Set Up'!$O$15+'[1]Set Up'!$O$16,(AV11-'[1]Set Up'!$J$17)*'[1]Set Up'!$N$18 + SUM('[1]Set Up'!$O$15:'[1]Set Up'!$O$17)))))</f>
        <v>291.37833888252959</v>
      </c>
      <c r="AW15" s="30">
        <f>IF(AW11="","",IF(AW11&lt;'[1]Set Up'!$J$15,AW11*'[1]Set Up'!$N$15,IF(AW11&lt;'[1]Set Up'!$J$16,(AW11-'[1]Set Up'!$J$15)*'[1]Set Up'!$N$16+'[1]Set Up'!$O$15,IF(AW11&lt;'[1]Set Up'!$J$17,(AW11-'[1]Set Up'!$J$16)*'[1]Set Up'!$N$17+'[1]Set Up'!$O$15+'[1]Set Up'!$O$16,(AW11-'[1]Set Up'!$J$17)*'[1]Set Up'!$N$18 + SUM('[1]Set Up'!$O$15:'[1]Set Up'!$O$17)))))</f>
        <v>288.39204927840734</v>
      </c>
      <c r="AX15" s="30">
        <f>IF(AX11="","",IF(AX11&lt;'[1]Set Up'!$J$15,AX11*'[1]Set Up'!$N$15,IF(AX11&lt;'[1]Set Up'!$J$16,(AX11-'[1]Set Up'!$J$15)*'[1]Set Up'!$N$16+'[1]Set Up'!$O$15,IF(AX11&lt;'[1]Set Up'!$J$17,(AX11-'[1]Set Up'!$J$16)*'[1]Set Up'!$N$17+'[1]Set Up'!$O$15+'[1]Set Up'!$O$16,(AX11-'[1]Set Up'!$J$17)*'[1]Set Up'!$N$18 + SUM('[1]Set Up'!$O$15:'[1]Set Up'!$O$17)))))</f>
        <v>285.39082822626443</v>
      </c>
      <c r="AY15" s="30">
        <f>IF(AY11="","",IF(AY11&lt;'[1]Set Up'!$J$15,AY11*'[1]Set Up'!$N$15,IF(AY11&lt;'[1]Set Up'!$J$16,(AY11-'[1]Set Up'!$J$15)*'[1]Set Up'!$N$16+'[1]Set Up'!$O$15,IF(AY11&lt;'[1]Set Up'!$J$17,(AY11-'[1]Set Up'!$J$16)*'[1]Set Up'!$N$17+'[1]Set Up'!$O$15+'[1]Set Up'!$O$16,(AY11-'[1]Set Up'!$J$17)*'[1]Set Up'!$N$18 + SUM('[1]Set Up'!$O$15:'[1]Set Up'!$O$17)))))</f>
        <v>282.38960717412152</v>
      </c>
      <c r="AZ15" s="30">
        <f>IF(AZ11="","",IF(AZ11&lt;'[1]Set Up'!$J$15,AZ11*'[1]Set Up'!$N$15,IF(AZ11&lt;'[1]Set Up'!$J$16,(AZ11-'[1]Set Up'!$J$15)*'[1]Set Up'!$N$16+'[1]Set Up'!$O$15,IF(AZ11&lt;'[1]Set Up'!$J$17,(AZ11-'[1]Set Up'!$J$16)*'[1]Set Up'!$N$17+'[1]Set Up'!$O$15+'[1]Set Up'!$O$16,(AZ11-'[1]Set Up'!$J$17)*'[1]Set Up'!$N$18 + SUM('[1]Set Up'!$O$15:'[1]Set Up'!$O$17)))))</f>
        <v>279.40331756999927</v>
      </c>
      <c r="BA15" s="30">
        <f>IF(BA11="","",IF(BA11&lt;'[1]Set Up'!$J$15,BA11*'[1]Set Up'!$N$15,IF(BA11&lt;'[1]Set Up'!$J$16,(BA11-'[1]Set Up'!$J$15)*'[1]Set Up'!$N$16+'[1]Set Up'!$O$15,IF(BA11&lt;'[1]Set Up'!$J$17,(BA11-'[1]Set Up'!$J$16)*'[1]Set Up'!$N$17+'[1]Set Up'!$O$15+'[1]Set Up'!$O$16,(BA11-'[1]Set Up'!$J$17)*'[1]Set Up'!$N$18 + SUM('[1]Set Up'!$O$15:'[1]Set Up'!$O$17)))))</f>
        <v>276.40209651785636</v>
      </c>
      <c r="BB15" s="30">
        <f>IF(BB11="","",IF(BB11&lt;'[1]Set Up'!$J$15,BB11*'[1]Set Up'!$N$15,IF(BB11&lt;'[1]Set Up'!$J$16,(BB11-'[1]Set Up'!$J$15)*'[1]Set Up'!$N$16+'[1]Set Up'!$O$15,IF(BB11&lt;'[1]Set Up'!$J$17,(BB11-'[1]Set Up'!$J$16)*'[1]Set Up'!$N$17+'[1]Set Up'!$O$15+'[1]Set Up'!$O$16,(BB11-'[1]Set Up'!$J$17)*'[1]Set Up'!$N$18 + SUM('[1]Set Up'!$O$15:'[1]Set Up'!$O$17)))))</f>
        <v>273.40087546571345</v>
      </c>
      <c r="BC15" s="30">
        <f>IF(BC11="","",IF(BC11&lt;'[1]Set Up'!$J$15,BC11*'[1]Set Up'!$N$15,IF(BC11&lt;'[1]Set Up'!$J$16,(BC11-'[1]Set Up'!$J$15)*'[1]Set Up'!$N$16+'[1]Set Up'!$O$15,IF(BC11&lt;'[1]Set Up'!$J$17,(BC11-'[1]Set Up'!$J$16)*'[1]Set Up'!$N$17+'[1]Set Up'!$O$15+'[1]Set Up'!$O$16,(BC11-'[1]Set Up'!$J$17)*'[1]Set Up'!$N$18 + SUM('[1]Set Up'!$O$15:'[1]Set Up'!$O$17)))))</f>
        <v>270.41458586159121</v>
      </c>
      <c r="BD15" s="30">
        <f>IF(BD11="","",IF(BD11&lt;'[1]Set Up'!$J$15,BD11*'[1]Set Up'!$N$15,IF(BD11&lt;'[1]Set Up'!$J$16,(BD11-'[1]Set Up'!$J$15)*'[1]Set Up'!$N$16+'[1]Set Up'!$O$15,IF(BD11&lt;'[1]Set Up'!$J$17,(BD11-'[1]Set Up'!$J$16)*'[1]Set Up'!$N$17+'[1]Set Up'!$O$15+'[1]Set Up'!$O$16,(BD11-'[1]Set Up'!$J$17)*'[1]Set Up'!$N$18 + SUM('[1]Set Up'!$O$15:'[1]Set Up'!$O$17)))))</f>
        <v>0</v>
      </c>
      <c r="BE15" s="30">
        <f>IF(BE11="","",IF(BE11&lt;'[1]Set Up'!$J$15,BE11*'[1]Set Up'!$N$15,IF(BE11&lt;'[1]Set Up'!$J$16,(BE11-'[1]Set Up'!$J$15)*'[1]Set Up'!$N$16+'[1]Set Up'!$O$15,IF(BE11&lt;'[1]Set Up'!$J$17,(BE11-'[1]Set Up'!$J$16)*'[1]Set Up'!$N$17+'[1]Set Up'!$O$15+'[1]Set Up'!$O$16,(BE11-'[1]Set Up'!$J$17)*'[1]Set Up'!$N$18 + SUM('[1]Set Up'!$O$15:'[1]Set Up'!$O$17)))))</f>
        <v>0</v>
      </c>
      <c r="BF15" s="30">
        <f>IF(BF11="","",IF(BF11&lt;'[1]Set Up'!$J$15,BF11*'[1]Set Up'!$N$15,IF(BF11&lt;'[1]Set Up'!$J$16,(BF11-'[1]Set Up'!$J$15)*'[1]Set Up'!$N$16+'[1]Set Up'!$O$15,IF(BF11&lt;'[1]Set Up'!$J$17,(BF11-'[1]Set Up'!$J$16)*'[1]Set Up'!$N$17+'[1]Set Up'!$O$15+'[1]Set Up'!$O$16,(BF11-'[1]Set Up'!$J$17)*'[1]Set Up'!$N$18 + SUM('[1]Set Up'!$O$15:'[1]Set Up'!$O$17)))))</f>
        <v>0</v>
      </c>
      <c r="BG15" s="30">
        <f>IF(BG11="","",IF(BG11&lt;'[1]Set Up'!$J$15,BG11*'[1]Set Up'!$N$15,IF(BG11&lt;'[1]Set Up'!$J$16,(BG11-'[1]Set Up'!$J$15)*'[1]Set Up'!$N$16+'[1]Set Up'!$O$15,IF(BG11&lt;'[1]Set Up'!$J$17,(BG11-'[1]Set Up'!$J$16)*'[1]Set Up'!$N$17+'[1]Set Up'!$O$15+'[1]Set Up'!$O$16,(BG11-'[1]Set Up'!$J$17)*'[1]Set Up'!$N$18 + SUM('[1]Set Up'!$O$15:'[1]Set Up'!$O$17)))))</f>
        <v>0</v>
      </c>
      <c r="BH15" s="30">
        <f>IF(BH11="","",IF(BH11&lt;'[1]Set Up'!$J$15,BH11*'[1]Set Up'!$N$15,IF(BH11&lt;'[1]Set Up'!$J$16,(BH11-'[1]Set Up'!$J$15)*'[1]Set Up'!$N$16+'[1]Set Up'!$O$15,IF(BH11&lt;'[1]Set Up'!$J$17,(BH11-'[1]Set Up'!$J$16)*'[1]Set Up'!$N$17+'[1]Set Up'!$O$15+'[1]Set Up'!$O$16,(BH11-'[1]Set Up'!$J$17)*'[1]Set Up'!$N$18 + SUM('[1]Set Up'!$O$15:'[1]Set Up'!$O$17)))))</f>
        <v>0</v>
      </c>
      <c r="BI15" s="30">
        <f>IF(BI11="","",IF(BI11&lt;'[1]Set Up'!$J$15,BI11*'[1]Set Up'!$N$15,IF(BI11&lt;'[1]Set Up'!$J$16,(BI11-'[1]Set Up'!$J$15)*'[1]Set Up'!$N$16+'[1]Set Up'!$O$15,IF(BI11&lt;'[1]Set Up'!$J$17,(BI11-'[1]Set Up'!$J$16)*'[1]Set Up'!$N$17+'[1]Set Up'!$O$15+'[1]Set Up'!$O$16,(BI11-'[1]Set Up'!$J$17)*'[1]Set Up'!$N$18 + SUM('[1]Set Up'!$O$15:'[1]Set Up'!$O$17)))))</f>
        <v>0</v>
      </c>
      <c r="BJ15" s="30">
        <f>IF(BJ11="","",IF(BJ11&lt;'[1]Set Up'!$J$15,BJ11*'[1]Set Up'!$N$15,IF(BJ11&lt;'[1]Set Up'!$J$16,(BJ11-'[1]Set Up'!$J$15)*'[1]Set Up'!$N$16+'[1]Set Up'!$O$15,IF(BJ11&lt;'[1]Set Up'!$J$17,(BJ11-'[1]Set Up'!$J$16)*'[1]Set Up'!$N$17+'[1]Set Up'!$O$15+'[1]Set Up'!$O$16,(BJ11-'[1]Set Up'!$J$17)*'[1]Set Up'!$N$18 + SUM('[1]Set Up'!$O$15:'[1]Set Up'!$O$17)))))</f>
        <v>0</v>
      </c>
      <c r="BK15" s="30">
        <f>IF(BK11="","",IF(BK11&lt;'[1]Set Up'!$J$15,BK11*'[1]Set Up'!$N$15,IF(BK11&lt;'[1]Set Up'!$J$16,(BK11-'[1]Set Up'!$J$15)*'[1]Set Up'!$N$16+'[1]Set Up'!$O$15,IF(BK11&lt;'[1]Set Up'!$J$17,(BK11-'[1]Set Up'!$J$16)*'[1]Set Up'!$N$17+'[1]Set Up'!$O$15+'[1]Set Up'!$O$16,(BK11-'[1]Set Up'!$J$17)*'[1]Set Up'!$N$18 + SUM('[1]Set Up'!$O$15:'[1]Set Up'!$O$17)))))</f>
        <v>0</v>
      </c>
      <c r="BL15" s="30">
        <f>IF(BL11="","",IF(BL11&lt;'[1]Set Up'!$J$15,BL11*'[1]Set Up'!$N$15,IF(BL11&lt;'[1]Set Up'!$J$16,(BL11-'[1]Set Up'!$J$15)*'[1]Set Up'!$N$16+'[1]Set Up'!$O$15,IF(BL11&lt;'[1]Set Up'!$J$17,(BL11-'[1]Set Up'!$J$16)*'[1]Set Up'!$N$17+'[1]Set Up'!$O$15+'[1]Set Up'!$O$16,(BL11-'[1]Set Up'!$J$17)*'[1]Set Up'!$N$18 + SUM('[1]Set Up'!$O$15:'[1]Set Up'!$O$17)))))</f>
        <v>0</v>
      </c>
      <c r="BM15" s="30">
        <f>IF(BM11="","",IF(BM11&lt;'[1]Set Up'!$J$15,BM11*'[1]Set Up'!$N$15,IF(BM11&lt;'[1]Set Up'!$J$16,(BM11-'[1]Set Up'!$J$15)*'[1]Set Up'!$N$16+'[1]Set Up'!$O$15,IF(BM11&lt;'[1]Set Up'!$J$17,(BM11-'[1]Set Up'!$J$16)*'[1]Set Up'!$N$17+'[1]Set Up'!$O$15+'[1]Set Up'!$O$16,(BM11-'[1]Set Up'!$J$17)*'[1]Set Up'!$N$18 + SUM('[1]Set Up'!$O$15:'[1]Set Up'!$O$17)))))</f>
        <v>0</v>
      </c>
      <c r="BN15" s="30">
        <f>IF(BN11="","",IF(BN11&lt;'[1]Set Up'!$J$15,BN11*'[1]Set Up'!$N$15,IF(BN11&lt;'[1]Set Up'!$J$16,(BN11-'[1]Set Up'!$J$15)*'[1]Set Up'!$N$16+'[1]Set Up'!$O$15,IF(BN11&lt;'[1]Set Up'!$J$17,(BN11-'[1]Set Up'!$J$16)*'[1]Set Up'!$N$17+'[1]Set Up'!$O$15+'[1]Set Up'!$O$16,(BN11-'[1]Set Up'!$J$17)*'[1]Set Up'!$N$18 + SUM('[1]Set Up'!$O$15:'[1]Set Up'!$O$17)))))</f>
        <v>0</v>
      </c>
      <c r="BO15" s="30">
        <f>IF(BO11="","",IF(BO11&lt;'[1]Set Up'!$J$15,BO11*'[1]Set Up'!$N$15,IF(BO11&lt;'[1]Set Up'!$J$16,(BO11-'[1]Set Up'!$J$15)*'[1]Set Up'!$N$16+'[1]Set Up'!$O$15,IF(BO11&lt;'[1]Set Up'!$J$17,(BO11-'[1]Set Up'!$J$16)*'[1]Set Up'!$N$17+'[1]Set Up'!$O$15+'[1]Set Up'!$O$16,(BO11-'[1]Set Up'!$J$17)*'[1]Set Up'!$N$18 + SUM('[1]Set Up'!$O$15:'[1]Set Up'!$O$17)))))</f>
        <v>0</v>
      </c>
      <c r="BP15" s="30">
        <f>IF(BP11="","",IF(BP11&lt;'[1]Set Up'!$J$15,BP11*'[1]Set Up'!$N$15,IF(BP11&lt;'[1]Set Up'!$J$16,(BP11-'[1]Set Up'!$J$15)*'[1]Set Up'!$N$16+'[1]Set Up'!$O$15,IF(BP11&lt;'[1]Set Up'!$J$17,(BP11-'[1]Set Up'!$J$16)*'[1]Set Up'!$N$17+'[1]Set Up'!$O$15+'[1]Set Up'!$O$16,(BP11-'[1]Set Up'!$J$17)*'[1]Set Up'!$N$18 + SUM('[1]Set Up'!$O$15:'[1]Set Up'!$O$17)))))</f>
        <v>0</v>
      </c>
      <c r="BQ15" s="30">
        <f>IF(BQ11="","",IF(BQ11&lt;'[1]Set Up'!$J$15,BQ11*'[1]Set Up'!$N$15,IF(BQ11&lt;'[1]Set Up'!$J$16,(BQ11-'[1]Set Up'!$J$15)*'[1]Set Up'!$N$16+'[1]Set Up'!$O$15,IF(BQ11&lt;'[1]Set Up'!$J$17,(BQ11-'[1]Set Up'!$J$16)*'[1]Set Up'!$N$17+'[1]Set Up'!$O$15+'[1]Set Up'!$O$16,(BQ11-'[1]Set Up'!$J$17)*'[1]Set Up'!$N$18 + SUM('[1]Set Up'!$O$15:'[1]Set Up'!$O$17)))))</f>
        <v>0</v>
      </c>
      <c r="BR15" s="30">
        <f>IF(BR11="","",IF(BR11&lt;'[1]Set Up'!$J$15,BR11*'[1]Set Up'!$N$15,IF(BR11&lt;'[1]Set Up'!$J$16,(BR11-'[1]Set Up'!$J$15)*'[1]Set Up'!$N$16+'[1]Set Up'!$O$15,IF(BR11&lt;'[1]Set Up'!$J$17,(BR11-'[1]Set Up'!$J$16)*'[1]Set Up'!$N$17+'[1]Set Up'!$O$15+'[1]Set Up'!$O$16,(BR11-'[1]Set Up'!$J$17)*'[1]Set Up'!$N$18 + SUM('[1]Set Up'!$O$15:'[1]Set Up'!$O$17)))))</f>
        <v>0</v>
      </c>
      <c r="BS15" s="30">
        <f>IF(BS11="","",IF(BS11&lt;'[1]Set Up'!$J$15,BS11*'[1]Set Up'!$N$15,IF(BS11&lt;'[1]Set Up'!$J$16,(BS11-'[1]Set Up'!$J$15)*'[1]Set Up'!$N$16+'[1]Set Up'!$O$15,IF(BS11&lt;'[1]Set Up'!$J$17,(BS11-'[1]Set Up'!$J$16)*'[1]Set Up'!$N$17+'[1]Set Up'!$O$15+'[1]Set Up'!$O$16,(BS11-'[1]Set Up'!$J$17)*'[1]Set Up'!$N$18 + SUM('[1]Set Up'!$O$15:'[1]Set Up'!$O$17)))))</f>
        <v>0</v>
      </c>
      <c r="BT15" s="30">
        <f>IF(BT11="","",IF(BT11&lt;'[1]Set Up'!$J$15,BT11*'[1]Set Up'!$N$15,IF(BT11&lt;'[1]Set Up'!$J$16,(BT11-'[1]Set Up'!$J$15)*'[1]Set Up'!$N$16+'[1]Set Up'!$O$15,IF(BT11&lt;'[1]Set Up'!$J$17,(BT11-'[1]Set Up'!$J$16)*'[1]Set Up'!$N$17+'[1]Set Up'!$O$15+'[1]Set Up'!$O$16,(BT11-'[1]Set Up'!$J$17)*'[1]Set Up'!$N$18 + SUM('[1]Set Up'!$O$15:'[1]Set Up'!$O$17)))))</f>
        <v>0</v>
      </c>
      <c r="BU15" s="30">
        <f>IF(BU11="","",IF(BU11&lt;'[1]Set Up'!$J$15,BU11*'[1]Set Up'!$N$15,IF(BU11&lt;'[1]Set Up'!$J$16,(BU11-'[1]Set Up'!$J$15)*'[1]Set Up'!$N$16+'[1]Set Up'!$O$15,IF(BU11&lt;'[1]Set Up'!$J$17,(BU11-'[1]Set Up'!$J$16)*'[1]Set Up'!$N$17+'[1]Set Up'!$O$15+'[1]Set Up'!$O$16,(BU11-'[1]Set Up'!$J$17)*'[1]Set Up'!$N$18 + SUM('[1]Set Up'!$O$15:'[1]Set Up'!$O$17)))))</f>
        <v>0</v>
      </c>
      <c r="BV15" s="30">
        <f>IF(BV11="","",IF(BV11&lt;'[1]Set Up'!$J$15,BV11*'[1]Set Up'!$N$15,IF(BV11&lt;'[1]Set Up'!$J$16,(BV11-'[1]Set Up'!$J$15)*'[1]Set Up'!$N$16+'[1]Set Up'!$O$15,IF(BV11&lt;'[1]Set Up'!$J$17,(BV11-'[1]Set Up'!$J$16)*'[1]Set Up'!$N$17+'[1]Set Up'!$O$15+'[1]Set Up'!$O$16,(BV11-'[1]Set Up'!$J$17)*'[1]Set Up'!$N$18 + SUM('[1]Set Up'!$O$15:'[1]Set Up'!$O$17)))))</f>
        <v>0</v>
      </c>
      <c r="BW15" s="30">
        <f>IF(BW11="","",IF(BW11&lt;'[1]Set Up'!$J$15,BW11*'[1]Set Up'!$N$15,IF(BW11&lt;'[1]Set Up'!$J$16,(BW11-'[1]Set Up'!$J$15)*'[1]Set Up'!$N$16+'[1]Set Up'!$O$15,IF(BW11&lt;'[1]Set Up'!$J$17,(BW11-'[1]Set Up'!$J$16)*'[1]Set Up'!$N$17+'[1]Set Up'!$O$15+'[1]Set Up'!$O$16,(BW11-'[1]Set Up'!$J$17)*'[1]Set Up'!$N$18 + SUM('[1]Set Up'!$O$15:'[1]Set Up'!$O$17)))))</f>
        <v>0</v>
      </c>
      <c r="BX15" s="30">
        <f>IF(BX11="","",IF(BX11&lt;'[1]Set Up'!$J$15,BX11*'[1]Set Up'!$N$15,IF(BX11&lt;'[1]Set Up'!$J$16,(BX11-'[1]Set Up'!$J$15)*'[1]Set Up'!$N$16+'[1]Set Up'!$O$15,IF(BX11&lt;'[1]Set Up'!$J$17,(BX11-'[1]Set Up'!$J$16)*'[1]Set Up'!$N$17+'[1]Set Up'!$O$15+'[1]Set Up'!$O$16,(BX11-'[1]Set Up'!$J$17)*'[1]Set Up'!$N$18 + SUM('[1]Set Up'!$O$15:'[1]Set Up'!$O$17)))))</f>
        <v>0</v>
      </c>
      <c r="BY15" s="30">
        <f>IF(BY11="","",IF(BY11&lt;'[1]Set Up'!$J$15,BY11*'[1]Set Up'!$N$15,IF(BY11&lt;'[1]Set Up'!$J$16,(BY11-'[1]Set Up'!$J$15)*'[1]Set Up'!$N$16+'[1]Set Up'!$O$15,IF(BY11&lt;'[1]Set Up'!$J$17,(BY11-'[1]Set Up'!$J$16)*'[1]Set Up'!$N$17+'[1]Set Up'!$O$15+'[1]Set Up'!$O$16,(BY11-'[1]Set Up'!$J$17)*'[1]Set Up'!$N$18 + SUM('[1]Set Up'!$O$15:'[1]Set Up'!$O$17)))))</f>
        <v>0</v>
      </c>
      <c r="BZ15" s="8"/>
    </row>
    <row r="16" spans="1:78" ht="15" thickBot="1" x14ac:dyDescent="0.4">
      <c r="A16" s="31"/>
      <c r="B16" s="32"/>
      <c r="C16" s="183" t="s">
        <v>23</v>
      </c>
      <c r="D16" s="184"/>
      <c r="E16" s="184"/>
      <c r="F16" s="184"/>
      <c r="G16" s="184"/>
      <c r="H16" s="184"/>
      <c r="I16" s="185"/>
      <c r="J16" s="32"/>
      <c r="K16" s="32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8"/>
    </row>
    <row r="17" spans="1:78" x14ac:dyDescent="0.35">
      <c r="A17" s="34" t="s">
        <v>24</v>
      </c>
      <c r="B17" s="35" t="s">
        <v>11</v>
      </c>
      <c r="C17" s="36">
        <v>43223</v>
      </c>
      <c r="D17" s="36">
        <v>43224</v>
      </c>
      <c r="E17" s="36">
        <v>43224</v>
      </c>
      <c r="F17" s="36">
        <v>43225</v>
      </c>
      <c r="G17" s="36">
        <v>43225</v>
      </c>
      <c r="H17" s="36">
        <v>43226</v>
      </c>
      <c r="I17" s="36">
        <v>43226</v>
      </c>
      <c r="J17" s="36">
        <v>43227</v>
      </c>
      <c r="K17" s="36">
        <v>43227</v>
      </c>
      <c r="L17" s="36">
        <v>43228</v>
      </c>
      <c r="M17" s="36">
        <v>43228</v>
      </c>
      <c r="N17" s="36">
        <v>43228</v>
      </c>
      <c r="O17" s="36">
        <v>43229</v>
      </c>
      <c r="P17" s="36">
        <v>43229</v>
      </c>
      <c r="Q17" s="36">
        <v>43229</v>
      </c>
      <c r="R17" s="36">
        <v>43230</v>
      </c>
      <c r="S17" s="36">
        <v>43230</v>
      </c>
      <c r="T17" s="36">
        <v>43231</v>
      </c>
      <c r="U17" s="36">
        <v>43231</v>
      </c>
      <c r="V17" s="36">
        <v>43232</v>
      </c>
      <c r="W17" s="36">
        <v>43232</v>
      </c>
      <c r="X17" s="36">
        <v>43232</v>
      </c>
      <c r="Y17" s="36">
        <v>43232</v>
      </c>
      <c r="Z17" s="36">
        <v>43233</v>
      </c>
      <c r="AA17" s="36">
        <v>43233</v>
      </c>
      <c r="AB17" s="36">
        <v>43234</v>
      </c>
      <c r="AC17" s="36">
        <v>43234</v>
      </c>
      <c r="AD17" s="36">
        <v>43234</v>
      </c>
      <c r="AE17" s="36">
        <v>43235</v>
      </c>
      <c r="AF17" s="36">
        <v>43235</v>
      </c>
      <c r="AG17" s="36">
        <v>43235</v>
      </c>
      <c r="AH17" s="36">
        <v>43236</v>
      </c>
      <c r="AI17" s="36">
        <v>43236</v>
      </c>
      <c r="AJ17" s="36">
        <v>43237</v>
      </c>
      <c r="AK17" s="36">
        <v>43237</v>
      </c>
      <c r="AL17" s="36">
        <v>43238</v>
      </c>
      <c r="AM17" s="36">
        <v>43238</v>
      </c>
      <c r="AN17" s="36">
        <v>43238</v>
      </c>
      <c r="AO17" s="36">
        <v>43239</v>
      </c>
      <c r="AP17" s="36">
        <v>43239</v>
      </c>
      <c r="AQ17" s="36">
        <v>43240</v>
      </c>
      <c r="AR17" s="36">
        <v>43240</v>
      </c>
      <c r="AS17" s="36">
        <v>43240</v>
      </c>
      <c r="AT17" s="36">
        <v>43240</v>
      </c>
      <c r="AU17" s="36">
        <v>43241</v>
      </c>
      <c r="AV17" s="36">
        <v>43241</v>
      </c>
      <c r="AW17" s="36">
        <v>43241</v>
      </c>
      <c r="AX17" s="36">
        <v>43242</v>
      </c>
      <c r="AY17" s="36">
        <v>43242</v>
      </c>
      <c r="AZ17" s="36">
        <v>43242</v>
      </c>
      <c r="BA17" s="36">
        <v>43243</v>
      </c>
      <c r="BB17" s="36">
        <v>43243</v>
      </c>
      <c r="BC17" s="36">
        <v>43243</v>
      </c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7"/>
    </row>
    <row r="18" spans="1:78" x14ac:dyDescent="0.35">
      <c r="A18" s="38" t="s">
        <v>25</v>
      </c>
      <c r="B18" s="39">
        <f>IF(C18="","",AVERAGE(C18:BY18))</f>
        <v>6034.0566037735853</v>
      </c>
      <c r="C18" s="40">
        <v>4780</v>
      </c>
      <c r="D18" s="40">
        <v>5160</v>
      </c>
      <c r="E18" s="41">
        <v>5240</v>
      </c>
      <c r="F18" s="41">
        <v>5095</v>
      </c>
      <c r="G18" s="41">
        <v>4860</v>
      </c>
      <c r="H18" s="41">
        <v>4790</v>
      </c>
      <c r="I18" s="41">
        <v>48000</v>
      </c>
      <c r="J18" s="41">
        <v>4970</v>
      </c>
      <c r="K18" s="41">
        <v>4910</v>
      </c>
      <c r="L18" s="41">
        <v>5420</v>
      </c>
      <c r="M18" s="41">
        <v>5080</v>
      </c>
      <c r="N18" s="41">
        <v>5330</v>
      </c>
      <c r="O18" s="41">
        <v>5460</v>
      </c>
      <c r="P18" s="41">
        <v>5230</v>
      </c>
      <c r="Q18" s="41">
        <v>4960</v>
      </c>
      <c r="R18" s="41">
        <v>5100</v>
      </c>
      <c r="S18" s="41">
        <v>5030</v>
      </c>
      <c r="T18" s="41">
        <v>5030</v>
      </c>
      <c r="U18" s="41">
        <v>4790</v>
      </c>
      <c r="V18" s="41">
        <v>5380</v>
      </c>
      <c r="W18" s="41">
        <v>5540</v>
      </c>
      <c r="X18" s="41">
        <v>5370</v>
      </c>
      <c r="Y18" s="41">
        <v>5060</v>
      </c>
      <c r="Z18" s="41">
        <v>5280</v>
      </c>
      <c r="AA18" s="41">
        <v>5350</v>
      </c>
      <c r="AB18" s="41">
        <v>5540</v>
      </c>
      <c r="AC18" s="41">
        <v>5360</v>
      </c>
      <c r="AD18" s="41">
        <v>5310</v>
      </c>
      <c r="AE18" s="41">
        <v>5490</v>
      </c>
      <c r="AF18" s="41">
        <v>5460</v>
      </c>
      <c r="AG18" s="41">
        <v>5460</v>
      </c>
      <c r="AH18" s="41">
        <v>5510</v>
      </c>
      <c r="AI18" s="41">
        <v>5480</v>
      </c>
      <c r="AJ18" s="41">
        <v>5300</v>
      </c>
      <c r="AK18" s="41">
        <v>5510</v>
      </c>
      <c r="AL18" s="41">
        <v>5280</v>
      </c>
      <c r="AM18" s="41">
        <v>5140</v>
      </c>
      <c r="AN18" s="41">
        <v>5210</v>
      </c>
      <c r="AO18" s="41">
        <v>5250</v>
      </c>
      <c r="AP18" s="41">
        <v>5250</v>
      </c>
      <c r="AQ18" s="41">
        <v>5320</v>
      </c>
      <c r="AR18" s="41">
        <v>5190</v>
      </c>
      <c r="AS18" s="41">
        <v>5270</v>
      </c>
      <c r="AT18" s="41">
        <v>5350</v>
      </c>
      <c r="AU18" s="41">
        <v>5460</v>
      </c>
      <c r="AV18" s="41">
        <v>5220</v>
      </c>
      <c r="AW18" s="41">
        <v>5230</v>
      </c>
      <c r="AX18" s="41">
        <v>5190</v>
      </c>
      <c r="AY18" s="41">
        <v>5070</v>
      </c>
      <c r="AZ18" s="41">
        <v>5140</v>
      </c>
      <c r="BA18" s="41">
        <v>5180</v>
      </c>
      <c r="BB18" s="41">
        <v>5200</v>
      </c>
      <c r="BC18" s="41">
        <v>5220</v>
      </c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2"/>
    </row>
    <row r="19" spans="1:78" ht="15" thickBot="1" x14ac:dyDescent="0.4">
      <c r="A19" s="43" t="s">
        <v>26</v>
      </c>
      <c r="B19" s="44">
        <f>IF(C19="","",AVERAGE(C19:BY19))</f>
        <v>7996.25</v>
      </c>
      <c r="C19" s="45">
        <v>7570</v>
      </c>
      <c r="D19" s="46">
        <v>9050</v>
      </c>
      <c r="E19" s="46">
        <v>8610</v>
      </c>
      <c r="F19" s="46">
        <v>8300</v>
      </c>
      <c r="G19" s="46">
        <v>9580</v>
      </c>
      <c r="H19" s="46">
        <v>8250</v>
      </c>
      <c r="I19" s="46">
        <v>8050</v>
      </c>
      <c r="J19" s="46">
        <v>7770</v>
      </c>
      <c r="K19" s="46">
        <v>7910</v>
      </c>
      <c r="L19" s="46"/>
      <c r="M19" s="46">
        <v>9150</v>
      </c>
      <c r="N19" s="46">
        <v>8070</v>
      </c>
      <c r="O19" s="46">
        <v>9040</v>
      </c>
      <c r="P19" s="46">
        <v>8380</v>
      </c>
      <c r="Q19" s="46">
        <v>8490</v>
      </c>
      <c r="R19" s="46">
        <v>8370</v>
      </c>
      <c r="S19" s="46">
        <v>8890</v>
      </c>
      <c r="T19" s="46">
        <v>8250</v>
      </c>
      <c r="U19" s="46">
        <v>8630</v>
      </c>
      <c r="V19" s="46">
        <v>8000</v>
      </c>
      <c r="W19" s="46">
        <v>7860</v>
      </c>
      <c r="X19" s="46">
        <v>8320</v>
      </c>
      <c r="Y19" s="46">
        <v>8000</v>
      </c>
      <c r="Z19" s="46">
        <v>7970</v>
      </c>
      <c r="AA19" s="46">
        <v>7030</v>
      </c>
      <c r="AB19" s="46">
        <v>8080</v>
      </c>
      <c r="AC19" s="46">
        <v>8230</v>
      </c>
      <c r="AD19" s="46">
        <v>8530</v>
      </c>
      <c r="AE19" s="46">
        <v>7855</v>
      </c>
      <c r="AF19" s="46">
        <v>8370</v>
      </c>
      <c r="AG19" s="46">
        <v>8130</v>
      </c>
      <c r="AH19" s="46">
        <v>7680</v>
      </c>
      <c r="AI19" s="46">
        <v>7480</v>
      </c>
      <c r="AJ19" s="46">
        <v>7820</v>
      </c>
      <c r="AK19" s="46">
        <v>8180</v>
      </c>
      <c r="AL19" s="46">
        <v>8790</v>
      </c>
      <c r="AM19" s="46">
        <v>7400</v>
      </c>
      <c r="AN19" s="46">
        <v>8050</v>
      </c>
      <c r="AO19" s="46">
        <v>7170</v>
      </c>
      <c r="AP19" s="46">
        <v>7870</v>
      </c>
      <c r="AQ19" s="46">
        <v>7320</v>
      </c>
      <c r="AR19" s="46">
        <v>7530</v>
      </c>
      <c r="AS19" s="46">
        <v>7400</v>
      </c>
      <c r="AT19" s="46">
        <v>7410</v>
      </c>
      <c r="AU19" s="46">
        <v>7880</v>
      </c>
      <c r="AV19" s="46">
        <v>7220</v>
      </c>
      <c r="AW19" s="46">
        <v>7510</v>
      </c>
      <c r="AX19" s="46">
        <v>7330</v>
      </c>
      <c r="AY19" s="46">
        <v>7390</v>
      </c>
      <c r="AZ19" s="46">
        <v>7180</v>
      </c>
      <c r="BA19" s="46">
        <v>7610</v>
      </c>
      <c r="BB19" s="46">
        <v>7420</v>
      </c>
      <c r="BC19" s="46">
        <v>7430</v>
      </c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7"/>
    </row>
    <row r="20" spans="1:78" x14ac:dyDescent="0.35">
      <c r="A20" s="48" t="s">
        <v>27</v>
      </c>
      <c r="B20" s="49"/>
      <c r="C20" s="50">
        <v>0.5395833333333333</v>
      </c>
      <c r="D20" s="51">
        <v>0.62152777777777779</v>
      </c>
      <c r="E20" s="51">
        <v>0.9868055555555556</v>
      </c>
      <c r="F20" s="51">
        <v>0.43402777777777773</v>
      </c>
      <c r="G20" s="51">
        <v>0.83958333333333324</v>
      </c>
      <c r="H20" s="51">
        <v>0.22847222222222222</v>
      </c>
      <c r="I20" s="51">
        <v>0.67083333333333339</v>
      </c>
      <c r="J20" s="51">
        <v>0.15</v>
      </c>
      <c r="K20" s="51">
        <v>0.63194444444444442</v>
      </c>
      <c r="L20" s="51">
        <v>4.6527777777777779E-2</v>
      </c>
      <c r="M20" s="51">
        <v>0.38819444444444445</v>
      </c>
      <c r="N20" s="51">
        <v>0.79652777777777783</v>
      </c>
      <c r="O20" s="51">
        <v>0.1173611111111111</v>
      </c>
      <c r="P20" s="51">
        <v>0.53819444444444442</v>
      </c>
      <c r="Q20" s="51">
        <v>0.84791666666666676</v>
      </c>
      <c r="R20" s="51">
        <v>0.16805555555555554</v>
      </c>
      <c r="S20" s="51">
        <v>0.64374999999999993</v>
      </c>
      <c r="T20" s="51">
        <v>0.1986111111111111</v>
      </c>
      <c r="U20" s="51">
        <v>0.81597222222222221</v>
      </c>
      <c r="V20" s="51">
        <v>0.1277777777777778</v>
      </c>
      <c r="W20" s="51">
        <v>0.49652777777777773</v>
      </c>
      <c r="X20" s="51">
        <v>0.80347222222222225</v>
      </c>
      <c r="Y20" s="51">
        <v>0.11805555555555557</v>
      </c>
      <c r="Z20" s="51">
        <v>0.41736111111111113</v>
      </c>
      <c r="AA20" s="51">
        <v>0.71111111111111114</v>
      </c>
      <c r="AB20" s="51">
        <v>5.6250000000000001E-2</v>
      </c>
      <c r="AC20" s="51">
        <v>0.4381944444444445</v>
      </c>
      <c r="AD20" s="51">
        <v>0.72361111111111109</v>
      </c>
      <c r="AE20" s="51">
        <v>0.22430555555555556</v>
      </c>
      <c r="AF20" s="51">
        <v>0.51597222222222217</v>
      </c>
      <c r="AG20" s="51">
        <v>0.84722222222222221</v>
      </c>
      <c r="AH20" s="51">
        <v>0.33124999999999999</v>
      </c>
      <c r="AI20" s="51">
        <v>0.87708333333333333</v>
      </c>
      <c r="AJ20" s="51">
        <v>0.31736111111111115</v>
      </c>
      <c r="AK20" s="51">
        <v>0.93402777777777779</v>
      </c>
      <c r="AL20" s="51">
        <v>0.2590277777777778</v>
      </c>
      <c r="AM20" s="51">
        <v>0.64444444444444449</v>
      </c>
      <c r="AN20" s="51">
        <v>0.93680555555555556</v>
      </c>
      <c r="AO20" s="51">
        <v>0.24166666666666667</v>
      </c>
      <c r="AP20" s="51">
        <v>0.53333333333333333</v>
      </c>
      <c r="AQ20" s="51">
        <v>0.125</v>
      </c>
      <c r="AR20" s="51">
        <v>0.43611111111111112</v>
      </c>
      <c r="AS20" s="51">
        <v>0.69791666666666663</v>
      </c>
      <c r="AT20" s="51">
        <v>0.98125000000000007</v>
      </c>
      <c r="AU20" s="51">
        <v>0.30416666666666664</v>
      </c>
      <c r="AV20" s="51">
        <v>0.55902777777777779</v>
      </c>
      <c r="AW20" s="51">
        <v>0.94166666666666676</v>
      </c>
      <c r="AX20" s="51">
        <v>0.31875000000000003</v>
      </c>
      <c r="AY20" s="51">
        <v>0.67083333333333339</v>
      </c>
      <c r="AZ20" s="51">
        <v>0.97083333333333333</v>
      </c>
      <c r="BA20" s="51">
        <v>0.21736111111111112</v>
      </c>
      <c r="BB20" s="51">
        <v>0.49305555555555558</v>
      </c>
      <c r="BC20" s="51">
        <v>0.7402777777777777</v>
      </c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52"/>
    </row>
    <row r="21" spans="1:78" x14ac:dyDescent="0.35">
      <c r="A21" s="53" t="s">
        <v>28</v>
      </c>
      <c r="B21" s="54"/>
      <c r="C21" s="55">
        <v>0.90416666666666667</v>
      </c>
      <c r="D21" s="54">
        <v>0.75069444444444444</v>
      </c>
      <c r="E21" s="54">
        <v>0.1763888888888889</v>
      </c>
      <c r="F21" s="54">
        <v>0.62569444444444444</v>
      </c>
      <c r="G21" s="54">
        <v>8.3333333333333332E-3</v>
      </c>
      <c r="H21" s="54">
        <v>0.38541666666666669</v>
      </c>
      <c r="I21" s="54">
        <v>0.92361111111111116</v>
      </c>
      <c r="J21" s="54">
        <v>0.44236111111111115</v>
      </c>
      <c r="K21" s="54">
        <v>0.83194444444444438</v>
      </c>
      <c r="L21" s="54">
        <v>0.20555555555555557</v>
      </c>
      <c r="M21" s="54">
        <v>0.61736111111111114</v>
      </c>
      <c r="N21" s="54">
        <v>0.94930555555555562</v>
      </c>
      <c r="O21" s="54">
        <v>0.35694444444444445</v>
      </c>
      <c r="P21" s="54">
        <v>0.69791666666666663</v>
      </c>
      <c r="Q21" s="54">
        <v>2.361111111111111E-2</v>
      </c>
      <c r="R21" s="54">
        <v>0.31805555555555554</v>
      </c>
      <c r="S21" s="54">
        <v>0.8125</v>
      </c>
      <c r="T21" s="54">
        <v>0.34722222222222227</v>
      </c>
      <c r="U21" s="54">
        <v>0.96458333333333324</v>
      </c>
      <c r="V21" s="54">
        <v>0.33888888888888885</v>
      </c>
      <c r="W21" s="54">
        <v>0.66736111111111107</v>
      </c>
      <c r="X21" s="54">
        <v>0.9590277777777777</v>
      </c>
      <c r="Y21" s="54">
        <v>0.28055555555555556</v>
      </c>
      <c r="Z21" s="54">
        <v>0.57291666666666663</v>
      </c>
      <c r="AA21" s="54">
        <v>0.87013888888888891</v>
      </c>
      <c r="AB21" s="54">
        <v>0.28819444444444448</v>
      </c>
      <c r="AC21" s="54">
        <v>0.59166666666666667</v>
      </c>
      <c r="AD21" s="54">
        <v>6.7361111111111108E-2</v>
      </c>
      <c r="AE21" s="54">
        <v>0.37152777777777773</v>
      </c>
      <c r="AF21" s="54">
        <v>0.6972222222222223</v>
      </c>
      <c r="AG21" s="54">
        <v>9.5833333333333326E-2</v>
      </c>
      <c r="AH21" s="54">
        <v>0.66111111111111109</v>
      </c>
      <c r="AI21" s="54">
        <v>6.458333333333334E-2</v>
      </c>
      <c r="AJ21" s="54">
        <v>0.65972222222222221</v>
      </c>
      <c r="AK21" s="54">
        <v>8.9583333333333334E-2</v>
      </c>
      <c r="AL21" s="54">
        <v>0.49305555555555558</v>
      </c>
      <c r="AM21" s="54">
        <v>0.79791666666666661</v>
      </c>
      <c r="AN21" s="54">
        <v>8.6111111111111124E-2</v>
      </c>
      <c r="AO21" s="54">
        <v>0.39444444444444443</v>
      </c>
      <c r="AP21" s="54">
        <v>0.68888888888888899</v>
      </c>
      <c r="AQ21" s="54">
        <v>0.31805555555555554</v>
      </c>
      <c r="AR21" s="54">
        <v>0.58333333333333337</v>
      </c>
      <c r="AS21" s="54">
        <v>0.8340277777777777</v>
      </c>
      <c r="AT21" s="54">
        <v>0.12708333333333333</v>
      </c>
      <c r="AU21" s="54">
        <v>0.44444444444444442</v>
      </c>
      <c r="AV21" s="54">
        <v>0.69374999999999998</v>
      </c>
      <c r="AW21" s="54">
        <v>0.16041666666666668</v>
      </c>
      <c r="AX21" s="54">
        <v>0.45</v>
      </c>
      <c r="AY21" s="54">
        <v>0.80625000000000002</v>
      </c>
      <c r="AZ21" s="54">
        <v>0.10069444444444443</v>
      </c>
      <c r="BA21" s="54">
        <v>0.35486111111111113</v>
      </c>
      <c r="BB21" s="54">
        <v>0.62777777777777777</v>
      </c>
      <c r="BC21" s="54">
        <v>0.90347222222222223</v>
      </c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2"/>
    </row>
    <row r="22" spans="1:78" ht="15" thickBot="1" x14ac:dyDescent="0.4">
      <c r="A22" s="56" t="s">
        <v>29</v>
      </c>
      <c r="B22" s="57">
        <f t="shared" ref="B22:B31" si="0">IF(C22="","",AVERAGE(C22:BY22))</f>
        <v>0.18503668763102724</v>
      </c>
      <c r="C22" s="58">
        <v>0.36458333333333337</v>
      </c>
      <c r="D22" s="59">
        <v>0.12916666666666665</v>
      </c>
      <c r="E22" s="59">
        <v>0.18958333333333333</v>
      </c>
      <c r="F22" s="59">
        <v>0.19166666666666671</v>
      </c>
      <c r="G22" s="59">
        <v>0.16875000000000007</v>
      </c>
      <c r="H22" s="59">
        <v>0.15694444444444447</v>
      </c>
      <c r="I22" s="59">
        <v>0.25277777777777777</v>
      </c>
      <c r="J22" s="59">
        <v>0.29236111111111118</v>
      </c>
      <c r="K22" s="59">
        <v>0.19999999999999996</v>
      </c>
      <c r="L22" s="59">
        <v>0.1590277777777778</v>
      </c>
      <c r="M22" s="59">
        <v>0.22916666666666669</v>
      </c>
      <c r="N22" s="59">
        <v>0.15277777777777779</v>
      </c>
      <c r="O22" s="59">
        <v>0.23958333333333337</v>
      </c>
      <c r="P22" s="59">
        <v>0.15972222222222221</v>
      </c>
      <c r="Q22" s="59">
        <v>0.17569444444444438</v>
      </c>
      <c r="R22" s="59">
        <v>0.15</v>
      </c>
      <c r="S22" s="59">
        <v>0.16875000000000007</v>
      </c>
      <c r="T22" s="59">
        <v>0.14861111111111117</v>
      </c>
      <c r="U22" s="59">
        <v>0.14861111111111103</v>
      </c>
      <c r="V22" s="59">
        <v>0.21111111111111105</v>
      </c>
      <c r="W22" s="59">
        <v>0.17083333333333334</v>
      </c>
      <c r="X22" s="59">
        <v>0.15555555555555545</v>
      </c>
      <c r="Y22" s="59">
        <v>0.16249999999999998</v>
      </c>
      <c r="Z22" s="59">
        <v>0.1555555555555555</v>
      </c>
      <c r="AA22" s="59">
        <v>0.15902777777777777</v>
      </c>
      <c r="AB22" s="59">
        <v>0.23194444444444448</v>
      </c>
      <c r="AC22" s="59">
        <v>0.15347222222222218</v>
      </c>
      <c r="AD22" s="59">
        <v>0.34375</v>
      </c>
      <c r="AE22" s="59">
        <v>0.14722222222222217</v>
      </c>
      <c r="AF22" s="59">
        <v>0.18125000000000013</v>
      </c>
      <c r="AG22" s="59">
        <v>0.24861111111111112</v>
      </c>
      <c r="AH22" s="59">
        <v>0.3298611111111111</v>
      </c>
      <c r="AI22" s="59">
        <v>0.1875</v>
      </c>
      <c r="AJ22" s="59">
        <v>0.34236111111111106</v>
      </c>
      <c r="AK22" s="59">
        <v>0.15555555555555556</v>
      </c>
      <c r="AL22" s="59">
        <v>0.23402777777777778</v>
      </c>
      <c r="AM22" s="59">
        <v>0.15347222222222212</v>
      </c>
      <c r="AN22" s="59">
        <v>0.14930555555555558</v>
      </c>
      <c r="AO22" s="59">
        <v>0.15277777777777776</v>
      </c>
      <c r="AP22" s="59">
        <v>0.15555555555555567</v>
      </c>
      <c r="AQ22" s="59">
        <v>0.19305555555555554</v>
      </c>
      <c r="AR22" s="59">
        <v>0.14722222222222225</v>
      </c>
      <c r="AS22" s="59">
        <v>0.13611111111111107</v>
      </c>
      <c r="AT22" s="59">
        <v>0.14583333333333326</v>
      </c>
      <c r="AU22" s="59">
        <v>0.14027777777777778</v>
      </c>
      <c r="AV22" s="59">
        <v>0.13472222222222219</v>
      </c>
      <c r="AW22" s="59">
        <v>0.21874999999999989</v>
      </c>
      <c r="AX22" s="59">
        <v>0.13124999999999998</v>
      </c>
      <c r="AY22" s="59">
        <v>0.13541666666666663</v>
      </c>
      <c r="AZ22" s="59">
        <v>0.12986111111111109</v>
      </c>
      <c r="BA22" s="59">
        <v>0.13750000000000001</v>
      </c>
      <c r="BB22" s="59">
        <v>0.13472222222222219</v>
      </c>
      <c r="BC22" s="59">
        <v>0.16319444444444453</v>
      </c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2"/>
    </row>
    <row r="23" spans="1:78" x14ac:dyDescent="0.35">
      <c r="A23" s="60" t="s">
        <v>30</v>
      </c>
      <c r="B23" s="61">
        <f t="shared" si="0"/>
        <v>60.952830188679236</v>
      </c>
      <c r="C23" s="62">
        <v>56</v>
      </c>
      <c r="D23" s="63">
        <v>58</v>
      </c>
      <c r="E23" s="63">
        <v>53.7</v>
      </c>
      <c r="F23" s="63">
        <v>57.5</v>
      </c>
      <c r="G23" s="63">
        <v>58.6</v>
      </c>
      <c r="H23" s="63">
        <v>59.2</v>
      </c>
      <c r="I23" s="63">
        <v>61</v>
      </c>
      <c r="J23" s="63">
        <v>56</v>
      </c>
      <c r="K23" s="63">
        <v>54.6</v>
      </c>
      <c r="L23" s="63">
        <v>58.3</v>
      </c>
      <c r="M23" s="63">
        <v>54</v>
      </c>
      <c r="N23" s="63">
        <v>61.1</v>
      </c>
      <c r="O23" s="63">
        <v>51</v>
      </c>
      <c r="P23" s="63">
        <v>58</v>
      </c>
      <c r="Q23" s="63">
        <v>62.5</v>
      </c>
      <c r="R23" s="63">
        <v>61</v>
      </c>
      <c r="S23" s="63">
        <v>53.3</v>
      </c>
      <c r="T23" s="63">
        <v>58</v>
      </c>
      <c r="U23" s="63">
        <v>59.5</v>
      </c>
      <c r="V23" s="63">
        <v>63.8</v>
      </c>
      <c r="W23" s="63">
        <v>61.8</v>
      </c>
      <c r="X23" s="63">
        <v>60.5</v>
      </c>
      <c r="Y23" s="63">
        <v>61</v>
      </c>
      <c r="Z23" s="63">
        <v>60.5</v>
      </c>
      <c r="AA23" s="63">
        <v>59.6</v>
      </c>
      <c r="AB23" s="63">
        <v>59</v>
      </c>
      <c r="AC23" s="63">
        <v>58</v>
      </c>
      <c r="AD23" s="63">
        <v>64.400000000000006</v>
      </c>
      <c r="AE23" s="63">
        <v>62</v>
      </c>
      <c r="AF23" s="63">
        <v>56</v>
      </c>
      <c r="AG23" s="63">
        <v>59.6</v>
      </c>
      <c r="AH23" s="63">
        <v>62</v>
      </c>
      <c r="AI23" s="63">
        <v>63.8</v>
      </c>
      <c r="AJ23" s="63">
        <v>58</v>
      </c>
      <c r="AK23" s="63">
        <v>60.1</v>
      </c>
      <c r="AL23" s="63">
        <v>59</v>
      </c>
      <c r="AM23" s="63">
        <v>58.7</v>
      </c>
      <c r="AN23" s="63">
        <v>62.2</v>
      </c>
      <c r="AO23" s="63">
        <v>60.1</v>
      </c>
      <c r="AP23" s="63">
        <v>59.9</v>
      </c>
      <c r="AQ23" s="63">
        <v>61.4</v>
      </c>
      <c r="AR23" s="63">
        <v>62.1</v>
      </c>
      <c r="AS23" s="63">
        <v>66.099999999999994</v>
      </c>
      <c r="AT23" s="63">
        <v>66.7</v>
      </c>
      <c r="AU23" s="63">
        <v>64.400000000000006</v>
      </c>
      <c r="AV23" s="63">
        <v>68.8</v>
      </c>
      <c r="AW23" s="63">
        <v>65.400000000000006</v>
      </c>
      <c r="AX23" s="63">
        <v>70.2</v>
      </c>
      <c r="AY23" s="63">
        <v>68.5</v>
      </c>
      <c r="AZ23" s="63">
        <v>70</v>
      </c>
      <c r="BA23" s="63">
        <v>66.3</v>
      </c>
      <c r="BB23" s="63">
        <v>69.3</v>
      </c>
      <c r="BC23" s="63">
        <v>70</v>
      </c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4"/>
    </row>
    <row r="24" spans="1:78" x14ac:dyDescent="0.35">
      <c r="A24" s="65" t="s">
        <v>31</v>
      </c>
      <c r="B24" s="66">
        <f t="shared" si="0"/>
        <v>11442.603773584906</v>
      </c>
      <c r="C24" s="67">
        <v>11291</v>
      </c>
      <c r="D24" s="68">
        <v>11606</v>
      </c>
      <c r="E24" s="68">
        <v>12067</v>
      </c>
      <c r="F24" s="68">
        <v>11747</v>
      </c>
      <c r="G24" s="68">
        <v>11951</v>
      </c>
      <c r="H24" s="68">
        <v>11574</v>
      </c>
      <c r="I24" s="68">
        <v>12088</v>
      </c>
      <c r="J24" s="68">
        <v>11627</v>
      </c>
      <c r="K24" s="68">
        <v>11480</v>
      </c>
      <c r="L24" s="68">
        <v>11965</v>
      </c>
      <c r="M24" s="68">
        <v>11980</v>
      </c>
      <c r="N24" s="68">
        <v>11992</v>
      </c>
      <c r="O24" s="68">
        <v>12030</v>
      </c>
      <c r="P24" s="68">
        <v>11840</v>
      </c>
      <c r="Q24" s="68">
        <v>12009</v>
      </c>
      <c r="R24" s="68">
        <v>12039</v>
      </c>
      <c r="S24" s="68">
        <v>11919</v>
      </c>
      <c r="T24" s="68">
        <v>12080</v>
      </c>
      <c r="U24" s="68">
        <v>12002</v>
      </c>
      <c r="V24" s="68">
        <v>11930</v>
      </c>
      <c r="W24" s="68">
        <v>11730</v>
      </c>
      <c r="X24" s="68">
        <v>12077</v>
      </c>
      <c r="Y24" s="68">
        <v>11772</v>
      </c>
      <c r="Z24" s="68">
        <v>11611</v>
      </c>
      <c r="AA24" s="68">
        <v>11577</v>
      </c>
      <c r="AB24" s="68">
        <v>11730</v>
      </c>
      <c r="AC24" s="68">
        <v>10971</v>
      </c>
      <c r="AD24" s="68">
        <v>11915</v>
      </c>
      <c r="AE24" s="68">
        <v>11610</v>
      </c>
      <c r="AF24" s="68">
        <v>11725</v>
      </c>
      <c r="AG24" s="68">
        <v>11838</v>
      </c>
      <c r="AH24" s="68">
        <v>11750</v>
      </c>
      <c r="AI24" s="68">
        <v>11887</v>
      </c>
      <c r="AJ24" s="68">
        <v>11250</v>
      </c>
      <c r="AK24" s="68">
        <v>10839</v>
      </c>
      <c r="AL24" s="68">
        <v>11024</v>
      </c>
      <c r="AM24" s="68">
        <v>10103</v>
      </c>
      <c r="AN24" s="68">
        <v>11464</v>
      </c>
      <c r="AO24" s="68">
        <v>10619</v>
      </c>
      <c r="AP24" s="68">
        <v>10861</v>
      </c>
      <c r="AQ24" s="68">
        <v>10428</v>
      </c>
      <c r="AR24" s="68">
        <v>10815</v>
      </c>
      <c r="AS24" s="68">
        <v>11130</v>
      </c>
      <c r="AT24" s="68">
        <v>11077</v>
      </c>
      <c r="AU24" s="68">
        <v>10712</v>
      </c>
      <c r="AV24" s="68">
        <v>10840</v>
      </c>
      <c r="AW24" s="68">
        <v>10995</v>
      </c>
      <c r="AX24" s="68">
        <v>10806</v>
      </c>
      <c r="AY24" s="68">
        <v>10845</v>
      </c>
      <c r="AZ24" s="68">
        <v>10893</v>
      </c>
      <c r="BA24" s="68">
        <v>10857</v>
      </c>
      <c r="BB24" s="68">
        <v>10449</v>
      </c>
      <c r="BC24" s="68">
        <v>11041</v>
      </c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8"/>
      <c r="BY24" s="68"/>
      <c r="BZ24" s="69"/>
    </row>
    <row r="25" spans="1:78" x14ac:dyDescent="0.35">
      <c r="A25" s="70" t="s">
        <v>32</v>
      </c>
      <c r="B25" s="71">
        <f t="shared" si="0"/>
        <v>65.175471698113199</v>
      </c>
      <c r="C25" s="72">
        <v>67</v>
      </c>
      <c r="D25" s="73">
        <v>57</v>
      </c>
      <c r="E25" s="73">
        <v>58.5</v>
      </c>
      <c r="F25" s="73">
        <v>59.5</v>
      </c>
      <c r="G25" s="73">
        <v>63.5</v>
      </c>
      <c r="H25" s="73">
        <v>62.8</v>
      </c>
      <c r="I25" s="73">
        <v>66</v>
      </c>
      <c r="J25" s="73">
        <v>62</v>
      </c>
      <c r="K25" s="73">
        <v>63.7</v>
      </c>
      <c r="L25" s="73">
        <v>61.3</v>
      </c>
      <c r="M25" s="73">
        <v>59.5</v>
      </c>
      <c r="N25" s="73">
        <v>63.9</v>
      </c>
      <c r="O25" s="73">
        <v>62</v>
      </c>
      <c r="P25" s="73">
        <v>63.7</v>
      </c>
      <c r="Q25" s="73">
        <v>63.8</v>
      </c>
      <c r="R25" s="73">
        <v>65</v>
      </c>
      <c r="S25" s="73">
        <v>66</v>
      </c>
      <c r="T25" s="73">
        <v>65</v>
      </c>
      <c r="U25" s="73">
        <v>63.7</v>
      </c>
      <c r="V25" s="73">
        <v>66</v>
      </c>
      <c r="W25" s="73">
        <v>64.5</v>
      </c>
      <c r="X25" s="73">
        <v>65.900000000000006</v>
      </c>
      <c r="Y25" s="73">
        <v>63</v>
      </c>
      <c r="Z25" s="73">
        <v>64.900000000000006</v>
      </c>
      <c r="AA25" s="73">
        <v>66.3</v>
      </c>
      <c r="AB25" s="73">
        <v>66</v>
      </c>
      <c r="AC25" s="73">
        <v>62.3</v>
      </c>
      <c r="AD25" s="73">
        <v>67.400000000000006</v>
      </c>
      <c r="AE25" s="73">
        <v>65</v>
      </c>
      <c r="AF25" s="73">
        <v>64</v>
      </c>
      <c r="AG25" s="73">
        <v>65.400000000000006</v>
      </c>
      <c r="AH25" s="73">
        <v>65</v>
      </c>
      <c r="AI25" s="73">
        <v>66.2</v>
      </c>
      <c r="AJ25" s="73">
        <v>62</v>
      </c>
      <c r="AK25" s="73">
        <v>64.2</v>
      </c>
      <c r="AL25" s="73">
        <v>62.5</v>
      </c>
      <c r="AM25" s="73">
        <v>62.1</v>
      </c>
      <c r="AN25" s="73">
        <v>67.7</v>
      </c>
      <c r="AO25" s="73">
        <v>67.099999999999994</v>
      </c>
      <c r="AP25" s="73">
        <v>61.7</v>
      </c>
      <c r="AQ25" s="73">
        <v>69.2</v>
      </c>
      <c r="AR25" s="73">
        <v>63.5</v>
      </c>
      <c r="AS25" s="73">
        <v>68.2</v>
      </c>
      <c r="AT25" s="73">
        <v>68.5</v>
      </c>
      <c r="AU25" s="73">
        <v>65.599999999999994</v>
      </c>
      <c r="AV25" s="73">
        <v>70.5</v>
      </c>
      <c r="AW25" s="73">
        <v>69.7</v>
      </c>
      <c r="AX25" s="73">
        <v>71.3</v>
      </c>
      <c r="AY25" s="73">
        <v>70.8</v>
      </c>
      <c r="AZ25" s="73">
        <v>71.3</v>
      </c>
      <c r="BA25" s="73">
        <v>69.8</v>
      </c>
      <c r="BB25" s="73">
        <v>71.2</v>
      </c>
      <c r="BC25" s="73">
        <v>71.599999999999994</v>
      </c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64"/>
    </row>
    <row r="26" spans="1:78" ht="15" thickBot="1" x14ac:dyDescent="0.4">
      <c r="A26" s="74" t="s">
        <v>33</v>
      </c>
      <c r="B26" s="75">
        <f t="shared" si="0"/>
        <v>12189.33962264151</v>
      </c>
      <c r="C26" s="76">
        <v>13500</v>
      </c>
      <c r="D26" s="77">
        <v>12230</v>
      </c>
      <c r="E26" s="77">
        <v>12350</v>
      </c>
      <c r="F26" s="77">
        <v>12270</v>
      </c>
      <c r="G26" s="77">
        <v>12300</v>
      </c>
      <c r="H26" s="77">
        <v>12150</v>
      </c>
      <c r="I26" s="77">
        <v>12310</v>
      </c>
      <c r="J26" s="77">
        <v>12160</v>
      </c>
      <c r="K26" s="77">
        <v>12250</v>
      </c>
      <c r="L26" s="77">
        <v>12250</v>
      </c>
      <c r="M26" s="77">
        <v>12270</v>
      </c>
      <c r="N26" s="77">
        <v>12280</v>
      </c>
      <c r="O26" s="77">
        <v>12410</v>
      </c>
      <c r="P26" s="77">
        <v>12310</v>
      </c>
      <c r="Q26" s="77">
        <v>12330</v>
      </c>
      <c r="R26" s="77">
        <v>12280</v>
      </c>
      <c r="S26" s="77">
        <v>12390</v>
      </c>
      <c r="T26" s="77">
        <v>12370</v>
      </c>
      <c r="U26" s="77">
        <v>12425</v>
      </c>
      <c r="V26" s="77">
        <v>12450</v>
      </c>
      <c r="W26" s="77">
        <v>12330</v>
      </c>
      <c r="X26" s="77">
        <v>12470</v>
      </c>
      <c r="Y26" s="77">
        <v>12520</v>
      </c>
      <c r="Z26" s="77">
        <v>12330</v>
      </c>
      <c r="AA26" s="77">
        <v>12480</v>
      </c>
      <c r="AB26" s="77">
        <v>12270</v>
      </c>
      <c r="AC26" s="77">
        <v>11940</v>
      </c>
      <c r="AD26" s="77">
        <v>12390</v>
      </c>
      <c r="AE26" s="77">
        <v>12310</v>
      </c>
      <c r="AF26" s="77">
        <v>12450</v>
      </c>
      <c r="AG26" s="77">
        <v>12450</v>
      </c>
      <c r="AH26" s="77">
        <v>12320</v>
      </c>
      <c r="AI26" s="77">
        <v>12405</v>
      </c>
      <c r="AJ26" s="77">
        <v>12350</v>
      </c>
      <c r="AK26" s="77">
        <v>12210</v>
      </c>
      <c r="AL26" s="77">
        <v>12240</v>
      </c>
      <c r="AM26" s="77">
        <v>12020</v>
      </c>
      <c r="AN26" s="77">
        <v>12110</v>
      </c>
      <c r="AO26" s="77">
        <v>11990</v>
      </c>
      <c r="AP26" s="77">
        <v>11980</v>
      </c>
      <c r="AQ26" s="77">
        <v>11840</v>
      </c>
      <c r="AR26" s="77">
        <v>12420</v>
      </c>
      <c r="AS26" s="77">
        <v>11940</v>
      </c>
      <c r="AT26" s="77">
        <v>12395</v>
      </c>
      <c r="AU26" s="77">
        <v>11600</v>
      </c>
      <c r="AV26" s="77">
        <v>11700</v>
      </c>
      <c r="AW26" s="77">
        <v>12120</v>
      </c>
      <c r="AX26" s="77">
        <v>11590</v>
      </c>
      <c r="AY26" s="77">
        <v>11340</v>
      </c>
      <c r="AZ26" s="77">
        <v>11790</v>
      </c>
      <c r="BA26" s="77">
        <v>11590</v>
      </c>
      <c r="BB26" s="77">
        <v>11160</v>
      </c>
      <c r="BC26" s="77">
        <v>11700</v>
      </c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77"/>
      <c r="BX26" s="77"/>
      <c r="BY26" s="77"/>
      <c r="BZ26" s="64"/>
    </row>
    <row r="27" spans="1:78" x14ac:dyDescent="0.35">
      <c r="A27" s="78" t="s">
        <v>34</v>
      </c>
      <c r="B27" s="79">
        <f t="shared" si="0"/>
        <v>6208.6792452830186</v>
      </c>
      <c r="C27" s="80">
        <v>6340</v>
      </c>
      <c r="D27" s="81">
        <v>6555</v>
      </c>
      <c r="E27" s="81">
        <v>5730</v>
      </c>
      <c r="F27" s="81">
        <v>5800</v>
      </c>
      <c r="G27" s="81">
        <v>6020</v>
      </c>
      <c r="H27" s="81">
        <v>6085</v>
      </c>
      <c r="I27" s="81">
        <v>5985</v>
      </c>
      <c r="J27" s="81">
        <v>6210</v>
      </c>
      <c r="K27" s="81">
        <v>6310</v>
      </c>
      <c r="L27" s="81">
        <v>6257</v>
      </c>
      <c r="M27" s="81">
        <v>6260</v>
      </c>
      <c r="N27" s="81">
        <v>7640</v>
      </c>
      <c r="O27" s="81">
        <v>5610</v>
      </c>
      <c r="P27" s="81">
        <v>6240</v>
      </c>
      <c r="Q27" s="81">
        <v>6242</v>
      </c>
      <c r="R27" s="81">
        <v>5980</v>
      </c>
      <c r="S27" s="81">
        <v>6093</v>
      </c>
      <c r="T27" s="81">
        <v>6025</v>
      </c>
      <c r="U27" s="81">
        <v>6308</v>
      </c>
      <c r="V27" s="81">
        <v>6240</v>
      </c>
      <c r="W27" s="81">
        <v>6110</v>
      </c>
      <c r="X27" s="81">
        <v>6092</v>
      </c>
      <c r="Y27" s="81">
        <v>6220</v>
      </c>
      <c r="Z27" s="81">
        <v>6030</v>
      </c>
      <c r="AA27" s="81">
        <v>6475</v>
      </c>
      <c r="AB27" s="81">
        <v>6185</v>
      </c>
      <c r="AC27" s="81">
        <v>5990</v>
      </c>
      <c r="AD27" s="81">
        <v>6227</v>
      </c>
      <c r="AE27" s="81">
        <v>6430</v>
      </c>
      <c r="AF27" s="81">
        <v>6880</v>
      </c>
      <c r="AG27" s="81">
        <v>6715</v>
      </c>
      <c r="AH27" s="81">
        <v>6990</v>
      </c>
      <c r="AI27" s="81">
        <v>6622</v>
      </c>
      <c r="AJ27" s="81">
        <v>6295</v>
      </c>
      <c r="AK27" s="81">
        <v>6279</v>
      </c>
      <c r="AL27" s="81">
        <v>6040</v>
      </c>
      <c r="AM27" s="81">
        <v>6020</v>
      </c>
      <c r="AN27" s="81">
        <v>6042</v>
      </c>
      <c r="AO27" s="81">
        <v>6170</v>
      </c>
      <c r="AP27" s="81">
        <v>6000</v>
      </c>
      <c r="AQ27" s="81">
        <v>6090</v>
      </c>
      <c r="AR27" s="81">
        <v>6040</v>
      </c>
      <c r="AS27" s="81">
        <v>6074</v>
      </c>
      <c r="AT27" s="81">
        <v>6139</v>
      </c>
      <c r="AU27" s="81">
        <v>6060</v>
      </c>
      <c r="AV27" s="81">
        <v>6242</v>
      </c>
      <c r="AW27" s="81">
        <v>6127</v>
      </c>
      <c r="AX27" s="81">
        <v>6150</v>
      </c>
      <c r="AY27" s="81">
        <v>6021</v>
      </c>
      <c r="AZ27" s="81">
        <v>6247</v>
      </c>
      <c r="BA27" s="81">
        <v>6050</v>
      </c>
      <c r="BB27" s="81">
        <v>5970</v>
      </c>
      <c r="BC27" s="81">
        <v>6108</v>
      </c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64"/>
    </row>
    <row r="28" spans="1:78" x14ac:dyDescent="0.35">
      <c r="A28" s="82" t="s">
        <v>35</v>
      </c>
      <c r="B28" s="83">
        <f t="shared" si="0"/>
        <v>0.92982565789431804</v>
      </c>
      <c r="C28" s="84">
        <v>0.9387412371610846</v>
      </c>
      <c r="D28" s="84">
        <v>0.95613660119674482</v>
      </c>
      <c r="E28" s="84">
        <v>0.89042508036868562</v>
      </c>
      <c r="F28" s="84">
        <v>0.89630690803321889</v>
      </c>
      <c r="G28" s="84">
        <v>0.91441259748181325</v>
      </c>
      <c r="H28" s="84">
        <v>0.91976445785685723</v>
      </c>
      <c r="I28" s="84">
        <v>0.91146166533205475</v>
      </c>
      <c r="J28" s="84">
        <v>0.92892790089414012</v>
      </c>
      <c r="K28" s="84">
        <v>0.93650945098915128</v>
      </c>
      <c r="L28" s="84">
        <v>0.932281627121889</v>
      </c>
      <c r="M28" s="84">
        <v>0.93260061906813463</v>
      </c>
      <c r="N28" s="84">
        <v>1.0426525184284006</v>
      </c>
      <c r="O28" s="84">
        <v>0.88084882947091214</v>
      </c>
      <c r="P28" s="84">
        <v>0.93136269281437123</v>
      </c>
      <c r="Q28" s="84">
        <v>0.93200030514664756</v>
      </c>
      <c r="R28" s="84">
        <v>0.91110027647058833</v>
      </c>
      <c r="S28" s="84">
        <v>0.91993708194455537</v>
      </c>
      <c r="T28" s="84">
        <v>0.91442757192267754</v>
      </c>
      <c r="U28" s="84">
        <v>0.9371539865452222</v>
      </c>
      <c r="V28" s="84">
        <v>0.93164128565266002</v>
      </c>
      <c r="W28" s="84">
        <v>0.92113929327529753</v>
      </c>
      <c r="X28" s="84">
        <v>0.91973124238704673</v>
      </c>
      <c r="Y28" s="84">
        <v>0.93032159700263761</v>
      </c>
      <c r="Z28" s="84">
        <v>0.91579076319833508</v>
      </c>
      <c r="AA28" s="84">
        <v>0.95186453939758064</v>
      </c>
      <c r="AB28" s="84">
        <v>0.92847422773284216</v>
      </c>
      <c r="AC28" s="84">
        <v>0.91235910000000009</v>
      </c>
      <c r="AD28" s="84">
        <v>0.93088110463592033</v>
      </c>
      <c r="AE28" s="84">
        <v>0.94677839866602764</v>
      </c>
      <c r="AF28" s="84">
        <v>0.9829433416493526</v>
      </c>
      <c r="AG28" s="84">
        <v>0.96988677964191505</v>
      </c>
      <c r="AH28" s="84">
        <v>0.99222492420219144</v>
      </c>
      <c r="AI28" s="84">
        <v>0.96308867746478877</v>
      </c>
      <c r="AJ28" s="84">
        <v>0.93704127401744974</v>
      </c>
      <c r="AK28" s="84">
        <v>0.93576055681581682</v>
      </c>
      <c r="AL28" s="84">
        <v>0.9166685460454691</v>
      </c>
      <c r="AM28" s="84">
        <v>0.91502894711438398</v>
      </c>
      <c r="AN28" s="84">
        <v>0.91682864851104706</v>
      </c>
      <c r="AO28" s="84">
        <v>0.92774827835671336</v>
      </c>
      <c r="AP28" s="84">
        <v>0.91412102384769534</v>
      </c>
      <c r="AQ28" s="84">
        <v>0.92102259435231915</v>
      </c>
      <c r="AR28" s="84">
        <v>0.91728862869509464</v>
      </c>
      <c r="AS28" s="84">
        <v>0.92005288757515025</v>
      </c>
      <c r="AT28" s="84">
        <v>0.92542114795124686</v>
      </c>
      <c r="AU28" s="84">
        <v>0.91924235980588742</v>
      </c>
      <c r="AV28" s="84">
        <v>0.93388106374137636</v>
      </c>
      <c r="AW28" s="84">
        <v>0.92441952334830024</v>
      </c>
      <c r="AX28" s="84">
        <v>0.92626365420141121</v>
      </c>
      <c r="AY28" s="84">
        <v>0.91615284298090793</v>
      </c>
      <c r="AZ28" s="84">
        <v>0.93468446929993576</v>
      </c>
      <c r="BA28" s="84">
        <v>0.91914190986424615</v>
      </c>
      <c r="BB28" s="84">
        <v>0.91240771523641329</v>
      </c>
      <c r="BC28" s="84">
        <v>0.92340711348422821</v>
      </c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  <c r="BS28" s="84"/>
      <c r="BT28" s="84"/>
      <c r="BU28" s="84"/>
      <c r="BV28" s="84"/>
      <c r="BW28" s="84"/>
      <c r="BX28" s="84"/>
      <c r="BY28" s="84"/>
      <c r="BZ28" s="64"/>
    </row>
    <row r="29" spans="1:78" x14ac:dyDescent="0.35">
      <c r="A29" s="85" t="s">
        <v>36</v>
      </c>
      <c r="B29" s="86">
        <f t="shared" si="0"/>
        <v>55</v>
      </c>
      <c r="C29" s="87">
        <v>55</v>
      </c>
      <c r="D29" s="88">
        <v>55</v>
      </c>
      <c r="E29" s="88">
        <v>55</v>
      </c>
      <c r="F29" s="88">
        <v>55</v>
      </c>
      <c r="G29" s="88">
        <v>55</v>
      </c>
      <c r="H29" s="88">
        <v>55</v>
      </c>
      <c r="I29" s="88">
        <v>55</v>
      </c>
      <c r="J29" s="88">
        <v>55</v>
      </c>
      <c r="K29" s="88">
        <v>55</v>
      </c>
      <c r="L29" s="88">
        <v>55</v>
      </c>
      <c r="M29" s="88">
        <v>55</v>
      </c>
      <c r="N29" s="88">
        <v>55</v>
      </c>
      <c r="O29" s="88">
        <v>55</v>
      </c>
      <c r="P29" s="88">
        <v>55</v>
      </c>
      <c r="Q29" s="88">
        <v>55</v>
      </c>
      <c r="R29" s="88">
        <v>55</v>
      </c>
      <c r="S29" s="88">
        <v>55</v>
      </c>
      <c r="T29" s="88">
        <v>55</v>
      </c>
      <c r="U29" s="88">
        <v>55</v>
      </c>
      <c r="V29" s="88">
        <v>55</v>
      </c>
      <c r="W29" s="88">
        <v>55</v>
      </c>
      <c r="X29" s="88">
        <v>55</v>
      </c>
      <c r="Y29" s="88">
        <v>55</v>
      </c>
      <c r="Z29" s="88">
        <v>55</v>
      </c>
      <c r="AA29" s="88">
        <v>55</v>
      </c>
      <c r="AB29" s="88">
        <v>55</v>
      </c>
      <c r="AC29" s="88">
        <v>55</v>
      </c>
      <c r="AD29" s="88">
        <v>55</v>
      </c>
      <c r="AE29" s="88">
        <v>55</v>
      </c>
      <c r="AF29" s="88">
        <v>55</v>
      </c>
      <c r="AG29" s="88">
        <v>55</v>
      </c>
      <c r="AH29" s="88">
        <v>55</v>
      </c>
      <c r="AI29" s="88">
        <v>55</v>
      </c>
      <c r="AJ29" s="88">
        <v>55</v>
      </c>
      <c r="AK29" s="88">
        <v>55</v>
      </c>
      <c r="AL29" s="88">
        <v>55</v>
      </c>
      <c r="AM29" s="88">
        <v>55</v>
      </c>
      <c r="AN29" s="88">
        <v>55</v>
      </c>
      <c r="AO29" s="88">
        <v>55</v>
      </c>
      <c r="AP29" s="88">
        <v>55</v>
      </c>
      <c r="AQ29" s="88">
        <v>55</v>
      </c>
      <c r="AR29" s="88">
        <v>55</v>
      </c>
      <c r="AS29" s="88">
        <v>55</v>
      </c>
      <c r="AT29" s="88">
        <v>55</v>
      </c>
      <c r="AU29" s="88">
        <v>55</v>
      </c>
      <c r="AV29" s="88">
        <v>55</v>
      </c>
      <c r="AW29" s="88">
        <v>55</v>
      </c>
      <c r="AX29" s="88">
        <v>55</v>
      </c>
      <c r="AY29" s="88">
        <v>55</v>
      </c>
      <c r="AZ29" s="88">
        <v>55</v>
      </c>
      <c r="BA29" s="88">
        <v>55</v>
      </c>
      <c r="BB29" s="88">
        <v>55</v>
      </c>
      <c r="BC29" s="88">
        <v>55</v>
      </c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88"/>
      <c r="BT29" s="88"/>
      <c r="BU29" s="88"/>
      <c r="BV29" s="88"/>
      <c r="BW29" s="88"/>
      <c r="BX29" s="88"/>
      <c r="BY29" s="88"/>
      <c r="BZ29" s="64"/>
    </row>
    <row r="30" spans="1:78" x14ac:dyDescent="0.35">
      <c r="A30" s="89" t="s">
        <v>37</v>
      </c>
      <c r="B30" s="90">
        <f t="shared" si="0"/>
        <v>17066.72068072512</v>
      </c>
      <c r="C30" s="91">
        <v>15497.450980392157</v>
      </c>
      <c r="D30" s="92">
        <v>16498.725490196081</v>
      </c>
      <c r="E30" s="92">
        <v>15882.301470588238</v>
      </c>
      <c r="F30" s="92">
        <v>16555.208333333336</v>
      </c>
      <c r="G30" s="92">
        <v>17164.916666666668</v>
      </c>
      <c r="H30" s="92">
        <v>16793.647058823532</v>
      </c>
      <c r="I30" s="92">
        <v>18072.745098039217</v>
      </c>
      <c r="J30" s="92">
        <v>15958.627450980393</v>
      </c>
      <c r="K30" s="92">
        <v>15362.941176470589</v>
      </c>
      <c r="L30" s="92">
        <v>17097.046568627451</v>
      </c>
      <c r="M30" s="92">
        <v>15855.882352941178</v>
      </c>
      <c r="N30" s="92">
        <v>17958.607843137259</v>
      </c>
      <c r="O30" s="92">
        <v>15037.500000000002</v>
      </c>
      <c r="P30" s="92">
        <v>16831.372549019608</v>
      </c>
      <c r="Q30" s="92">
        <v>18396.139705882353</v>
      </c>
      <c r="R30" s="92">
        <v>17999.485294117647</v>
      </c>
      <c r="S30" s="92">
        <v>15570.654411764706</v>
      </c>
      <c r="T30" s="92">
        <v>17172.549019607843</v>
      </c>
      <c r="U30" s="92">
        <v>17502.916666666668</v>
      </c>
      <c r="V30" s="92">
        <v>18655.245098039217</v>
      </c>
      <c r="W30" s="92">
        <v>17767.5</v>
      </c>
      <c r="X30" s="92">
        <v>17908.296568627451</v>
      </c>
      <c r="Y30" s="92">
        <v>17600.294117647059</v>
      </c>
      <c r="Z30" s="92">
        <v>17217.291666666668</v>
      </c>
      <c r="AA30" s="92">
        <v>16911.500000000004</v>
      </c>
      <c r="AB30" s="92">
        <v>16962.5</v>
      </c>
      <c r="AC30" s="92">
        <v>15596.029411764706</v>
      </c>
      <c r="AD30" s="92">
        <v>18807.009803921574</v>
      </c>
      <c r="AE30" s="92">
        <v>17642.647058823532</v>
      </c>
      <c r="AF30" s="92">
        <v>16093.137254901962</v>
      </c>
      <c r="AG30" s="92">
        <v>17292.764705882357</v>
      </c>
      <c r="AH30" s="92">
        <v>17855.392156862745</v>
      </c>
      <c r="AI30" s="92">
        <v>18588.004901960787</v>
      </c>
      <c r="AJ30" s="92">
        <v>15992.64705882353</v>
      </c>
      <c r="AK30" s="92">
        <v>15966.272058823532</v>
      </c>
      <c r="AL30" s="92">
        <v>15941.568627450981</v>
      </c>
      <c r="AM30" s="92">
        <v>14535.443627450981</v>
      </c>
      <c r="AN30" s="92">
        <v>17476.980392156864</v>
      </c>
      <c r="AO30" s="92">
        <v>15642.203431372551</v>
      </c>
      <c r="AP30" s="92">
        <v>15945.438725490198</v>
      </c>
      <c r="AQ30" s="92">
        <v>15693.117647058823</v>
      </c>
      <c r="AR30" s="92">
        <v>16461.066176470591</v>
      </c>
      <c r="AS30" s="92">
        <v>18031.691176470587</v>
      </c>
      <c r="AT30" s="92">
        <v>18108.723039215689</v>
      </c>
      <c r="AU30" s="92">
        <v>16908.156862745102</v>
      </c>
      <c r="AV30" s="92">
        <v>18279.215686274511</v>
      </c>
      <c r="AW30" s="92">
        <v>17624.338235294123</v>
      </c>
      <c r="AX30" s="92">
        <v>18592.676470588238</v>
      </c>
      <c r="AY30" s="92">
        <v>18207.904411764706</v>
      </c>
      <c r="AZ30" s="92">
        <v>18688.970588235294</v>
      </c>
      <c r="BA30" s="92">
        <v>17642.625</v>
      </c>
      <c r="BB30" s="92">
        <v>17747.933823529413</v>
      </c>
      <c r="BC30" s="92">
        <v>18942.892156862745</v>
      </c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64"/>
    </row>
    <row r="31" spans="1:78" ht="15" thickBot="1" x14ac:dyDescent="0.4">
      <c r="A31" s="93" t="s">
        <v>38</v>
      </c>
      <c r="B31" s="94" t="str">
        <f t="shared" si="0"/>
        <v/>
      </c>
      <c r="C31" s="95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7"/>
      <c r="BB31" s="97"/>
      <c r="BC31" s="97"/>
      <c r="BD31" s="97"/>
      <c r="BE31" s="97"/>
      <c r="BF31" s="97"/>
      <c r="BG31" s="97"/>
      <c r="BH31" s="97"/>
      <c r="BI31" s="97"/>
      <c r="BJ31" s="97"/>
      <c r="BK31" s="97"/>
      <c r="BL31" s="97"/>
      <c r="BM31" s="97"/>
      <c r="BN31" s="97"/>
      <c r="BO31" s="97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8"/>
    </row>
    <row r="32" spans="1:78" x14ac:dyDescent="0.35">
      <c r="A32" s="99" t="str">
        <f>IF('[1]Set Up'!E41=0,"",'[1]Set Up'!E41&amp;", bbl")</f>
        <v>15% HCl Acid, bbl</v>
      </c>
      <c r="B32" s="100">
        <f>IF(BZ32=0,"",AVERAGE(C32:BY32))</f>
        <v>29.33692722371967</v>
      </c>
      <c r="C32" s="101">
        <v>29.452380952380953</v>
      </c>
      <c r="D32" s="102">
        <v>30.095238095238095</v>
      </c>
      <c r="E32" s="102">
        <v>26.452380952380953</v>
      </c>
      <c r="F32" s="102">
        <v>29.785714285714285</v>
      </c>
      <c r="G32" s="102">
        <v>28.714285714285715</v>
      </c>
      <c r="H32" s="102">
        <v>30.023809523809526</v>
      </c>
      <c r="I32" s="102">
        <v>29.214285714285715</v>
      </c>
      <c r="J32" s="102">
        <v>29.785714285714285</v>
      </c>
      <c r="K32" s="102">
        <v>28.833333333333332</v>
      </c>
      <c r="L32" s="102">
        <v>28.333333333333332</v>
      </c>
      <c r="M32" s="102">
        <v>29.523809523809526</v>
      </c>
      <c r="N32" s="102">
        <v>30.214285714285715</v>
      </c>
      <c r="O32" s="102">
        <v>29.523809523809526</v>
      </c>
      <c r="P32" s="102">
        <v>29.785714285714285</v>
      </c>
      <c r="Q32" s="102">
        <v>28.714285714285715</v>
      </c>
      <c r="R32" s="102">
        <v>30.023809523809526</v>
      </c>
      <c r="S32" s="102">
        <v>27.904761904761905</v>
      </c>
      <c r="T32" s="102">
        <v>27.38095238095238</v>
      </c>
      <c r="U32" s="102">
        <v>29.023809523809526</v>
      </c>
      <c r="V32" s="102">
        <v>30.357142857142858</v>
      </c>
      <c r="W32" s="102">
        <v>27.38095238095238</v>
      </c>
      <c r="X32" s="102">
        <v>29.023809523809526</v>
      </c>
      <c r="Y32" s="102">
        <v>29.976190476190474</v>
      </c>
      <c r="Z32" s="102">
        <v>30.214285714285715</v>
      </c>
      <c r="AA32" s="102">
        <v>30.214285714285715</v>
      </c>
      <c r="AB32" s="102">
        <v>29.785714285714285</v>
      </c>
      <c r="AC32" s="102">
        <v>28.714285714285715</v>
      </c>
      <c r="AD32" s="102">
        <v>29.214285714285715</v>
      </c>
      <c r="AE32" s="102">
        <v>28.714285714285715</v>
      </c>
      <c r="AF32" s="102">
        <v>27.904761904761905</v>
      </c>
      <c r="AG32" s="102">
        <v>29.285714285714285</v>
      </c>
      <c r="AH32" s="102">
        <v>30.095238095238095</v>
      </c>
      <c r="AI32" s="102">
        <v>30.214285714285715</v>
      </c>
      <c r="AJ32" s="102">
        <v>29.785714285714285</v>
      </c>
      <c r="AK32" s="102">
        <v>28.714285714285715</v>
      </c>
      <c r="AL32" s="102">
        <v>30.357142857142858</v>
      </c>
      <c r="AM32" s="102">
        <v>30.785714285714285</v>
      </c>
      <c r="AN32" s="102">
        <v>27.38095238095238</v>
      </c>
      <c r="AO32" s="102">
        <v>29.023809523809526</v>
      </c>
      <c r="AP32" s="102">
        <v>29.976190476190474</v>
      </c>
      <c r="AQ32" s="102">
        <v>30.214285714285715</v>
      </c>
      <c r="AR32" s="102">
        <v>29.904761904761905</v>
      </c>
      <c r="AS32" s="102">
        <v>28.833333333333332</v>
      </c>
      <c r="AT32" s="102">
        <v>27.142857142857142</v>
      </c>
      <c r="AU32" s="102">
        <v>30.357142857142858</v>
      </c>
      <c r="AV32" s="102">
        <v>28.833333333333332</v>
      </c>
      <c r="AW32" s="102">
        <v>29.904761904761905</v>
      </c>
      <c r="AX32" s="102">
        <v>30.214285714285715</v>
      </c>
      <c r="AY32" s="102">
        <v>29.976190476190474</v>
      </c>
      <c r="AZ32" s="102">
        <v>29.023809523809526</v>
      </c>
      <c r="BA32" s="101">
        <v>30.357142857142858</v>
      </c>
      <c r="BB32" s="101">
        <v>29.785714285714285</v>
      </c>
      <c r="BC32" s="101">
        <v>30.404761904761905</v>
      </c>
      <c r="BD32" s="101"/>
      <c r="BE32" s="101"/>
      <c r="BF32" s="101"/>
      <c r="BG32" s="101"/>
      <c r="BH32" s="101"/>
      <c r="BI32" s="101"/>
      <c r="BJ32" s="101"/>
      <c r="BK32" s="101"/>
      <c r="BL32" s="101"/>
      <c r="BM32" s="101"/>
      <c r="BN32" s="101"/>
      <c r="BO32" s="101"/>
      <c r="BP32" s="101"/>
      <c r="BQ32" s="101"/>
      <c r="BR32" s="101"/>
      <c r="BS32" s="101"/>
      <c r="BT32" s="101"/>
      <c r="BU32" s="101"/>
      <c r="BV32" s="101"/>
      <c r="BW32" s="101"/>
      <c r="BX32" s="101"/>
      <c r="BY32" s="101"/>
      <c r="BZ32" s="103">
        <f t="shared" ref="BZ32:BZ58" si="1">SUM(C32:BY32)</f>
        <v>1554.8571428571424</v>
      </c>
    </row>
    <row r="33" spans="1:78" x14ac:dyDescent="0.35">
      <c r="A33" s="104" t="str">
        <f>IF('[1]Set Up'!E42=0,"",'[1]Set Up'!E42&amp;", bbl")</f>
        <v>Slickwater, bbl</v>
      </c>
      <c r="B33" s="105">
        <f>IF(BZ33=0,"",AVERAGE(C33:BY33))</f>
        <v>12006.28769092543</v>
      </c>
      <c r="C33" s="106">
        <v>12077.347619047618</v>
      </c>
      <c r="D33" s="107">
        <v>8958.0999999999985</v>
      </c>
      <c r="E33" s="107">
        <v>13194.400000000001</v>
      </c>
      <c r="F33" s="107">
        <v>14222.999999999996</v>
      </c>
      <c r="G33" s="107">
        <v>12108.9</v>
      </c>
      <c r="H33" s="107">
        <v>11793.3</v>
      </c>
      <c r="I33" s="107">
        <v>14573</v>
      </c>
      <c r="J33" s="107">
        <v>13812.900000000001</v>
      </c>
      <c r="K33" s="107">
        <v>12349.6</v>
      </c>
      <c r="L33" s="107">
        <v>11393.3</v>
      </c>
      <c r="M33" s="107">
        <v>11451.8</v>
      </c>
      <c r="N33" s="107">
        <v>11363.3</v>
      </c>
      <c r="O33" s="107">
        <v>16411.599999999999</v>
      </c>
      <c r="P33" s="107">
        <v>11526.4</v>
      </c>
      <c r="Q33" s="107">
        <v>12920.400000000001</v>
      </c>
      <c r="R33" s="107">
        <v>11611.8</v>
      </c>
      <c r="S33" s="107">
        <v>11231.4</v>
      </c>
      <c r="T33" s="107">
        <v>10998.099999999999</v>
      </c>
      <c r="U33" s="107">
        <v>10944.4</v>
      </c>
      <c r="V33" s="107">
        <v>12529.7</v>
      </c>
      <c r="W33" s="107">
        <v>12853</v>
      </c>
      <c r="X33" s="107">
        <v>11512.799999999997</v>
      </c>
      <c r="Y33" s="107">
        <v>12067.5</v>
      </c>
      <c r="Z33" s="107">
        <v>11866</v>
      </c>
      <c r="AA33" s="107">
        <v>11645.699999999999</v>
      </c>
      <c r="AB33" s="107">
        <v>11111.5</v>
      </c>
      <c r="AC33" s="107">
        <v>11335.8</v>
      </c>
      <c r="AD33" s="107">
        <v>11326.999999999998</v>
      </c>
      <c r="AE33" s="107">
        <v>11449.4</v>
      </c>
      <c r="AF33" s="107">
        <v>13291.299999999997</v>
      </c>
      <c r="AG33" s="107">
        <v>12730.400000000001</v>
      </c>
      <c r="AH33" s="107">
        <v>14256.899999999998</v>
      </c>
      <c r="AI33" s="107">
        <v>12691.900000000001</v>
      </c>
      <c r="AJ33" s="107">
        <v>13251.2</v>
      </c>
      <c r="AK33" s="107">
        <v>11473.9</v>
      </c>
      <c r="AL33" s="107">
        <v>11440.9</v>
      </c>
      <c r="AM33" s="107">
        <v>11431.5</v>
      </c>
      <c r="AN33" s="107">
        <v>11724.3</v>
      </c>
      <c r="AO33" s="107">
        <v>11631.599999999999</v>
      </c>
      <c r="AP33" s="107">
        <v>11515.7</v>
      </c>
      <c r="AQ33" s="107">
        <v>11796.4</v>
      </c>
      <c r="AR33" s="107">
        <v>11446.4</v>
      </c>
      <c r="AS33" s="107">
        <v>11260.6</v>
      </c>
      <c r="AT33" s="107">
        <v>12029.900000000001</v>
      </c>
      <c r="AU33" s="107">
        <v>11486.500000000002</v>
      </c>
      <c r="AV33" s="107">
        <v>11304.5</v>
      </c>
      <c r="AW33" s="107">
        <v>11825.3</v>
      </c>
      <c r="AX33" s="107">
        <v>11490.7</v>
      </c>
      <c r="AY33" s="107">
        <v>11517.199999999999</v>
      </c>
      <c r="AZ33" s="107">
        <v>11372.300000000001</v>
      </c>
      <c r="BA33" s="106">
        <v>11451</v>
      </c>
      <c r="BB33" s="106">
        <v>11666.899999999998</v>
      </c>
      <c r="BC33" s="106">
        <v>11604.500000000002</v>
      </c>
      <c r="BD33" s="106"/>
      <c r="BE33" s="106"/>
      <c r="BF33" s="106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8">
        <f t="shared" si="1"/>
        <v>636333.24761904776</v>
      </c>
    </row>
    <row r="34" spans="1:78" x14ac:dyDescent="0.35">
      <c r="A34" s="99" t="str">
        <f>IF('[1]Set Up'!E43=0,"",'[1]Set Up'!E43&amp;", bbl")</f>
        <v>Pump Down, bbl</v>
      </c>
      <c r="B34" s="109">
        <f>IF(BZ34=0,"",AVERAGE(C34:BY34))</f>
        <v>124.52452830188679</v>
      </c>
      <c r="C34" s="110">
        <v>255</v>
      </c>
      <c r="D34" s="111">
        <v>250</v>
      </c>
      <c r="E34" s="111">
        <v>241</v>
      </c>
      <c r="F34" s="111">
        <v>240</v>
      </c>
      <c r="G34" s="111">
        <v>224</v>
      </c>
      <c r="H34" s="111">
        <v>210</v>
      </c>
      <c r="I34" s="111">
        <v>191</v>
      </c>
      <c r="J34" s="111">
        <v>213</v>
      </c>
      <c r="K34" s="111">
        <v>222</v>
      </c>
      <c r="L34" s="111">
        <v>195</v>
      </c>
      <c r="M34" s="111">
        <v>180</v>
      </c>
      <c r="N34" s="111">
        <v>212</v>
      </c>
      <c r="O34" s="111">
        <v>194</v>
      </c>
      <c r="P34" s="111">
        <v>174</v>
      </c>
      <c r="Q34" s="111">
        <v>203</v>
      </c>
      <c r="R34" s="111">
        <v>164</v>
      </c>
      <c r="S34" s="111">
        <v>179</v>
      </c>
      <c r="T34" s="111">
        <v>206</v>
      </c>
      <c r="U34" s="111">
        <v>171</v>
      </c>
      <c r="V34" s="111">
        <v>154</v>
      </c>
      <c r="W34" s="111">
        <v>152</v>
      </c>
      <c r="X34" s="111">
        <v>147</v>
      </c>
      <c r="Y34" s="111">
        <v>137</v>
      </c>
      <c r="Z34" s="111">
        <v>138</v>
      </c>
      <c r="AA34" s="111">
        <v>141</v>
      </c>
      <c r="AB34" s="111">
        <v>136</v>
      </c>
      <c r="AC34" s="111">
        <v>123</v>
      </c>
      <c r="AD34" s="111">
        <v>117</v>
      </c>
      <c r="AE34" s="111">
        <v>99</v>
      </c>
      <c r="AF34" s="111">
        <v>98</v>
      </c>
      <c r="AG34" s="111">
        <v>100</v>
      </c>
      <c r="AH34" s="111">
        <v>98</v>
      </c>
      <c r="AI34" s="111">
        <v>80</v>
      </c>
      <c r="AJ34" s="111">
        <v>88</v>
      </c>
      <c r="AK34" s="111">
        <v>79</v>
      </c>
      <c r="AL34" s="111">
        <v>75</v>
      </c>
      <c r="AM34" s="111">
        <v>68</v>
      </c>
      <c r="AN34" s="111">
        <v>61</v>
      </c>
      <c r="AO34" s="111">
        <v>64</v>
      </c>
      <c r="AP34" s="111">
        <v>56</v>
      </c>
      <c r="AQ34" s="111">
        <v>59</v>
      </c>
      <c r="AR34" s="111">
        <v>55</v>
      </c>
      <c r="AS34" s="111">
        <v>63</v>
      </c>
      <c r="AT34" s="111">
        <v>36</v>
      </c>
      <c r="AU34" s="111">
        <v>45</v>
      </c>
      <c r="AV34" s="111">
        <v>35</v>
      </c>
      <c r="AW34" s="111">
        <v>27.6</v>
      </c>
      <c r="AX34" s="111">
        <v>38</v>
      </c>
      <c r="AY34" s="111">
        <v>25</v>
      </c>
      <c r="AZ34" s="111">
        <v>21</v>
      </c>
      <c r="BA34" s="111">
        <v>50</v>
      </c>
      <c r="BB34" s="111">
        <v>10.199999999999999</v>
      </c>
      <c r="BC34" s="111">
        <v>0</v>
      </c>
      <c r="BD34" s="111"/>
      <c r="BE34" s="111"/>
      <c r="BF34" s="111"/>
      <c r="BG34" s="111"/>
      <c r="BH34" s="111"/>
      <c r="BI34" s="111"/>
      <c r="BJ34" s="111"/>
      <c r="BK34" s="111"/>
      <c r="BL34" s="111"/>
      <c r="BM34" s="111"/>
      <c r="BN34" s="111"/>
      <c r="BO34" s="111"/>
      <c r="BP34" s="111"/>
      <c r="BQ34" s="111"/>
      <c r="BR34" s="111"/>
      <c r="BS34" s="111"/>
      <c r="BT34" s="111"/>
      <c r="BU34" s="111"/>
      <c r="BV34" s="111"/>
      <c r="BW34" s="111"/>
      <c r="BX34" s="111"/>
      <c r="BY34" s="111"/>
      <c r="BZ34" s="109">
        <f t="shared" si="1"/>
        <v>6599.8</v>
      </c>
    </row>
    <row r="35" spans="1:78" x14ac:dyDescent="0.35">
      <c r="A35" s="104" t="str">
        <f>IF('[1]Set Up'!E44=0,"",'[1]Set Up'!E44&amp;", bbl")</f>
        <v/>
      </c>
      <c r="B35" s="105" t="str">
        <f>IF(BZ35=0,"",AVERAGE(C35:BY35))</f>
        <v/>
      </c>
      <c r="C35" s="106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  <c r="AU35" s="107">
        <v>0</v>
      </c>
      <c r="AV35" s="107">
        <v>0</v>
      </c>
      <c r="AW35" s="107">
        <v>0</v>
      </c>
      <c r="AX35" s="107">
        <v>0</v>
      </c>
      <c r="AY35" s="107">
        <v>0</v>
      </c>
      <c r="AZ35" s="107">
        <v>0</v>
      </c>
      <c r="BA35" s="107">
        <v>0</v>
      </c>
      <c r="BB35" s="107">
        <v>0</v>
      </c>
      <c r="BC35" s="107">
        <v>0</v>
      </c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5">
        <f t="shared" si="1"/>
        <v>0</v>
      </c>
    </row>
    <row r="36" spans="1:78" ht="15" thickBot="1" x14ac:dyDescent="0.4">
      <c r="A36" s="112" t="s">
        <v>39</v>
      </c>
      <c r="B36" s="113">
        <f>IF(BZ36=0,"",AVERAGE(C36:BY36))</f>
        <v>12160.149146451033</v>
      </c>
      <c r="C36" s="114">
        <v>12361.8</v>
      </c>
      <c r="D36" s="115">
        <v>9238.1952380952371</v>
      </c>
      <c r="E36" s="115">
        <v>13461.852380952383</v>
      </c>
      <c r="F36" s="115">
        <v>14492.78571428571</v>
      </c>
      <c r="G36" s="115">
        <v>12361.614285714286</v>
      </c>
      <c r="H36" s="115">
        <v>12033.323809523808</v>
      </c>
      <c r="I36" s="115">
        <v>14793.214285714286</v>
      </c>
      <c r="J36" s="115">
        <v>14055.685714285715</v>
      </c>
      <c r="K36" s="115">
        <v>12600.433333333334</v>
      </c>
      <c r="L36" s="115">
        <v>11616.633333333333</v>
      </c>
      <c r="M36" s="115">
        <v>11661.323809523808</v>
      </c>
      <c r="N36" s="115">
        <v>11605.514285714286</v>
      </c>
      <c r="O36" s="115">
        <v>16635.123809523808</v>
      </c>
      <c r="P36" s="115">
        <v>11730.185714285713</v>
      </c>
      <c r="Q36" s="115">
        <v>13152.114285714288</v>
      </c>
      <c r="R36" s="115">
        <v>11805.823809523808</v>
      </c>
      <c r="S36" s="115">
        <v>11438.304761904761</v>
      </c>
      <c r="T36" s="115">
        <v>11231.480952380951</v>
      </c>
      <c r="U36" s="115">
        <v>11144.423809523809</v>
      </c>
      <c r="V36" s="115">
        <v>12714.057142857144</v>
      </c>
      <c r="W36" s="115">
        <v>13032.380952380952</v>
      </c>
      <c r="X36" s="115">
        <v>11688.823809523807</v>
      </c>
      <c r="Y36" s="115">
        <v>12234.476190476191</v>
      </c>
      <c r="Z36" s="115">
        <v>12034.214285714286</v>
      </c>
      <c r="AA36" s="115">
        <v>11816.914285714285</v>
      </c>
      <c r="AB36" s="115">
        <v>11277.285714285714</v>
      </c>
      <c r="AC36" s="115">
        <v>11487.514285714286</v>
      </c>
      <c r="AD36" s="115">
        <v>11473.214285714284</v>
      </c>
      <c r="AE36" s="115">
        <v>11577.114285714286</v>
      </c>
      <c r="AF36" s="115">
        <v>13417.204761904759</v>
      </c>
      <c r="AG36" s="115">
        <v>12859.685714285715</v>
      </c>
      <c r="AH36" s="115">
        <v>14384.995238095236</v>
      </c>
      <c r="AI36" s="115">
        <v>12802.114285714288</v>
      </c>
      <c r="AJ36" s="115">
        <v>13368.985714285714</v>
      </c>
      <c r="AK36" s="115">
        <v>11581.614285714286</v>
      </c>
      <c r="AL36" s="115">
        <v>11546.257142857143</v>
      </c>
      <c r="AM36" s="115">
        <v>11530.285714285714</v>
      </c>
      <c r="AN36" s="115">
        <v>11812.680952380952</v>
      </c>
      <c r="AO36" s="115">
        <v>11724.623809523808</v>
      </c>
      <c r="AP36" s="115">
        <v>11601.676190476192</v>
      </c>
      <c r="AQ36" s="115">
        <v>11885.614285714286</v>
      </c>
      <c r="AR36" s="115">
        <v>11531.304761904761</v>
      </c>
      <c r="AS36" s="115">
        <v>11352.433333333334</v>
      </c>
      <c r="AT36" s="115">
        <v>12093.042857142858</v>
      </c>
      <c r="AU36" s="115">
        <v>11561.857142857145</v>
      </c>
      <c r="AV36" s="115">
        <v>11368.333333333334</v>
      </c>
      <c r="AW36" s="115">
        <v>11882.804761904761</v>
      </c>
      <c r="AX36" s="115">
        <v>11558.914285714287</v>
      </c>
      <c r="AY36" s="115">
        <v>11572.17619047619</v>
      </c>
      <c r="AZ36" s="115">
        <v>11422.32380952381</v>
      </c>
      <c r="BA36" s="114">
        <v>11531.357142857143</v>
      </c>
      <c r="BB36" s="114">
        <v>11706.885714285712</v>
      </c>
      <c r="BC36" s="114">
        <v>11634.904761904763</v>
      </c>
      <c r="BD36" s="114"/>
      <c r="BE36" s="114"/>
      <c r="BF36" s="114"/>
      <c r="BG36" s="114"/>
      <c r="BH36" s="114"/>
      <c r="BI36" s="114"/>
      <c r="BJ36" s="114"/>
      <c r="BK36" s="114"/>
      <c r="BL36" s="114"/>
      <c r="BM36" s="114"/>
      <c r="BN36" s="114"/>
      <c r="BO36" s="114"/>
      <c r="BP36" s="114"/>
      <c r="BQ36" s="114"/>
      <c r="BR36" s="114"/>
      <c r="BS36" s="114"/>
      <c r="BT36" s="114"/>
      <c r="BU36" s="114"/>
      <c r="BV36" s="114"/>
      <c r="BW36" s="114"/>
      <c r="BX36" s="114"/>
      <c r="BY36" s="114"/>
      <c r="BZ36" s="116">
        <f t="shared" si="1"/>
        <v>644487.90476190473</v>
      </c>
    </row>
    <row r="37" spans="1:78" x14ac:dyDescent="0.35">
      <c r="A37" s="117" t="str">
        <f>IF('[1]Set Up'!E35=0,"",'[1]Set Up'!E35&amp;", lb")</f>
        <v>100 Mesh, lb</v>
      </c>
      <c r="B37" s="118">
        <f t="shared" ref="B37:B58" si="2">IF(C37="","",AVERAGE(C37:BY37))</f>
        <v>490444.15094339621</v>
      </c>
      <c r="C37" s="119">
        <v>443960</v>
      </c>
      <c r="D37" s="120">
        <v>248520</v>
      </c>
      <c r="E37" s="120">
        <v>502480</v>
      </c>
      <c r="F37" s="120">
        <v>504680</v>
      </c>
      <c r="G37" s="120">
        <v>496340</v>
      </c>
      <c r="H37" s="120">
        <v>484500</v>
      </c>
      <c r="I37" s="120">
        <v>498860</v>
      </c>
      <c r="J37" s="120">
        <v>494120</v>
      </c>
      <c r="K37" s="120">
        <v>500040</v>
      </c>
      <c r="L37" s="120">
        <v>500640</v>
      </c>
      <c r="M37" s="120">
        <v>252460</v>
      </c>
      <c r="N37" s="120">
        <v>498460</v>
      </c>
      <c r="O37" s="120">
        <v>508040</v>
      </c>
      <c r="P37" s="120">
        <v>499200</v>
      </c>
      <c r="Q37" s="120">
        <v>502060</v>
      </c>
      <c r="R37" s="120">
        <v>511460</v>
      </c>
      <c r="S37" s="120">
        <v>498440</v>
      </c>
      <c r="T37" s="120">
        <v>503580</v>
      </c>
      <c r="U37" s="120">
        <v>497560</v>
      </c>
      <c r="V37" s="120">
        <v>508010</v>
      </c>
      <c r="W37" s="120">
        <v>499900</v>
      </c>
      <c r="X37" s="120">
        <v>497840</v>
      </c>
      <c r="Y37" s="120">
        <v>506460</v>
      </c>
      <c r="Z37" s="120">
        <v>502880</v>
      </c>
      <c r="AA37" s="120">
        <v>491720</v>
      </c>
      <c r="AB37" s="120">
        <v>505200</v>
      </c>
      <c r="AC37" s="120">
        <v>505170</v>
      </c>
      <c r="AD37" s="120">
        <v>495600</v>
      </c>
      <c r="AE37" s="120">
        <v>508600</v>
      </c>
      <c r="AF37" s="120">
        <v>500800</v>
      </c>
      <c r="AG37" s="120">
        <v>501020</v>
      </c>
      <c r="AH37" s="120">
        <v>495640</v>
      </c>
      <c r="AI37" s="120">
        <v>506060</v>
      </c>
      <c r="AJ37" s="120">
        <v>500100</v>
      </c>
      <c r="AK37" s="120">
        <v>499840</v>
      </c>
      <c r="AL37" s="120">
        <v>501440</v>
      </c>
      <c r="AM37" s="120">
        <v>503200</v>
      </c>
      <c r="AN37" s="120">
        <v>499480</v>
      </c>
      <c r="AO37" s="120">
        <v>501340</v>
      </c>
      <c r="AP37" s="120">
        <v>500980</v>
      </c>
      <c r="AQ37" s="120">
        <v>495980</v>
      </c>
      <c r="AR37" s="120">
        <v>504060</v>
      </c>
      <c r="AS37" s="120">
        <v>499300</v>
      </c>
      <c r="AT37" s="120">
        <v>499140</v>
      </c>
      <c r="AU37" s="120">
        <v>503600</v>
      </c>
      <c r="AV37" s="120">
        <v>505960</v>
      </c>
      <c r="AW37" s="120">
        <v>504920</v>
      </c>
      <c r="AX37" s="120">
        <v>501680</v>
      </c>
      <c r="AY37" s="120">
        <v>502440</v>
      </c>
      <c r="AZ37" s="120">
        <v>494880</v>
      </c>
      <c r="BA37" s="119">
        <v>503760</v>
      </c>
      <c r="BB37" s="119">
        <v>503380</v>
      </c>
      <c r="BC37" s="119">
        <v>497760</v>
      </c>
      <c r="BD37" s="119"/>
      <c r="BE37" s="119"/>
      <c r="BF37" s="119"/>
      <c r="BG37" s="119"/>
      <c r="BH37" s="119"/>
      <c r="BI37" s="119"/>
      <c r="BJ37" s="119"/>
      <c r="BK37" s="119"/>
      <c r="BL37" s="119"/>
      <c r="BM37" s="119"/>
      <c r="BN37" s="119"/>
      <c r="BO37" s="119"/>
      <c r="BP37" s="119"/>
      <c r="BQ37" s="119"/>
      <c r="BR37" s="119"/>
      <c r="BS37" s="119"/>
      <c r="BT37" s="119"/>
      <c r="BU37" s="119"/>
      <c r="BV37" s="119"/>
      <c r="BW37" s="119"/>
      <c r="BX37" s="119"/>
      <c r="BY37" s="119"/>
      <c r="BZ37" s="121">
        <f t="shared" si="1"/>
        <v>25993540</v>
      </c>
    </row>
    <row r="38" spans="1:78" x14ac:dyDescent="0.35">
      <c r="A38" s="122" t="str">
        <f>IF('[1]Set Up'!E36=0,"",'[1]Set Up'!E36&amp;", lb")</f>
        <v/>
      </c>
      <c r="B38" s="105" t="str">
        <f t="shared" si="2"/>
        <v/>
      </c>
      <c r="C38" s="123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  <c r="AZ38" s="124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08">
        <f t="shared" si="1"/>
        <v>0</v>
      </c>
    </row>
    <row r="39" spans="1:78" x14ac:dyDescent="0.35">
      <c r="A39" s="125" t="str">
        <f>IF('[1]Set Up'!E37=0,"",'[1]Set Up'!E37&amp;", lb")</f>
        <v/>
      </c>
      <c r="B39" s="126" t="str">
        <f t="shared" si="2"/>
        <v/>
      </c>
      <c r="C39" s="127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7"/>
      <c r="BB39" s="127"/>
      <c r="BC39" s="127"/>
      <c r="BD39" s="127"/>
      <c r="BE39" s="127"/>
      <c r="BF39" s="127"/>
      <c r="BG39" s="127"/>
      <c r="BH39" s="127"/>
      <c r="BI39" s="127"/>
      <c r="BJ39" s="127"/>
      <c r="BK39" s="127"/>
      <c r="BL39" s="127"/>
      <c r="BM39" s="127"/>
      <c r="BN39" s="127"/>
      <c r="BO39" s="127"/>
      <c r="BP39" s="127"/>
      <c r="BQ39" s="127"/>
      <c r="BR39" s="127"/>
      <c r="BS39" s="127"/>
      <c r="BT39" s="127"/>
      <c r="BU39" s="127"/>
      <c r="BV39" s="127"/>
      <c r="BW39" s="127"/>
      <c r="BX39" s="127"/>
      <c r="BY39" s="127"/>
      <c r="BZ39" s="129">
        <f t="shared" si="1"/>
        <v>0</v>
      </c>
    </row>
    <row r="40" spans="1:78" x14ac:dyDescent="0.35">
      <c r="A40" s="122" t="str">
        <f>IF('[1]Set Up'!E38=0,"",'[1]Set Up'!E38&amp;", lb")</f>
        <v/>
      </c>
      <c r="B40" s="105" t="str">
        <f t="shared" si="2"/>
        <v/>
      </c>
      <c r="C40" s="123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24"/>
      <c r="AX40" s="124"/>
      <c r="AY40" s="124"/>
      <c r="AZ40" s="124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08">
        <f t="shared" si="1"/>
        <v>0</v>
      </c>
    </row>
    <row r="41" spans="1:78" ht="15" thickBot="1" x14ac:dyDescent="0.4">
      <c r="A41" s="130" t="s">
        <v>40</v>
      </c>
      <c r="B41" s="131">
        <f t="shared" si="2"/>
        <v>490444.15094339621</v>
      </c>
      <c r="C41" s="131">
        <v>443960</v>
      </c>
      <c r="D41" s="132">
        <v>248520</v>
      </c>
      <c r="E41" s="132">
        <v>502480</v>
      </c>
      <c r="F41" s="132">
        <v>504680</v>
      </c>
      <c r="G41" s="132">
        <v>496340</v>
      </c>
      <c r="H41" s="132">
        <v>484500</v>
      </c>
      <c r="I41" s="132">
        <v>498860</v>
      </c>
      <c r="J41" s="132">
        <v>494120</v>
      </c>
      <c r="K41" s="132">
        <v>500040</v>
      </c>
      <c r="L41" s="132">
        <v>500640</v>
      </c>
      <c r="M41" s="132">
        <v>252460</v>
      </c>
      <c r="N41" s="132">
        <v>498460</v>
      </c>
      <c r="O41" s="132">
        <v>508040</v>
      </c>
      <c r="P41" s="132">
        <v>499200</v>
      </c>
      <c r="Q41" s="132">
        <v>502060</v>
      </c>
      <c r="R41" s="132">
        <v>511460</v>
      </c>
      <c r="S41" s="132">
        <v>498440</v>
      </c>
      <c r="T41" s="132">
        <v>503580</v>
      </c>
      <c r="U41" s="132">
        <v>497560</v>
      </c>
      <c r="V41" s="132">
        <v>508010</v>
      </c>
      <c r="W41" s="132">
        <v>499900</v>
      </c>
      <c r="X41" s="132">
        <v>497840</v>
      </c>
      <c r="Y41" s="132">
        <v>506460</v>
      </c>
      <c r="Z41" s="132">
        <v>502880</v>
      </c>
      <c r="AA41" s="132">
        <v>491720</v>
      </c>
      <c r="AB41" s="132">
        <v>505200</v>
      </c>
      <c r="AC41" s="132">
        <v>505170</v>
      </c>
      <c r="AD41" s="132">
        <v>495600</v>
      </c>
      <c r="AE41" s="132">
        <v>508600</v>
      </c>
      <c r="AF41" s="132">
        <v>500800</v>
      </c>
      <c r="AG41" s="132">
        <v>501020</v>
      </c>
      <c r="AH41" s="132">
        <v>495640</v>
      </c>
      <c r="AI41" s="132">
        <v>506060</v>
      </c>
      <c r="AJ41" s="132">
        <v>500100</v>
      </c>
      <c r="AK41" s="132">
        <v>499840</v>
      </c>
      <c r="AL41" s="132">
        <v>501440</v>
      </c>
      <c r="AM41" s="132">
        <v>503200</v>
      </c>
      <c r="AN41" s="132">
        <v>499480</v>
      </c>
      <c r="AO41" s="132">
        <v>501340</v>
      </c>
      <c r="AP41" s="132">
        <v>500980</v>
      </c>
      <c r="AQ41" s="132">
        <v>495980</v>
      </c>
      <c r="AR41" s="132">
        <v>504060</v>
      </c>
      <c r="AS41" s="132">
        <v>499300</v>
      </c>
      <c r="AT41" s="132">
        <v>499140</v>
      </c>
      <c r="AU41" s="132">
        <v>503600</v>
      </c>
      <c r="AV41" s="132">
        <v>505960</v>
      </c>
      <c r="AW41" s="132">
        <v>504920</v>
      </c>
      <c r="AX41" s="132">
        <v>501680</v>
      </c>
      <c r="AY41" s="132">
        <v>502440</v>
      </c>
      <c r="AZ41" s="132">
        <v>494880</v>
      </c>
      <c r="BA41" s="132">
        <v>503760</v>
      </c>
      <c r="BB41" s="132">
        <v>503380</v>
      </c>
      <c r="BC41" s="132">
        <v>497760</v>
      </c>
      <c r="BD41" s="132"/>
      <c r="BE41" s="132"/>
      <c r="BF41" s="132"/>
      <c r="BG41" s="132"/>
      <c r="BH41" s="132"/>
      <c r="BI41" s="132"/>
      <c r="BJ41" s="132"/>
      <c r="BK41" s="132"/>
      <c r="BL41" s="132"/>
      <c r="BM41" s="132"/>
      <c r="BN41" s="132"/>
      <c r="BO41" s="132"/>
      <c r="BP41" s="132"/>
      <c r="BQ41" s="132"/>
      <c r="BR41" s="132"/>
      <c r="BS41" s="132"/>
      <c r="BT41" s="132"/>
      <c r="BU41" s="132"/>
      <c r="BV41" s="132"/>
      <c r="BW41" s="132"/>
      <c r="BX41" s="132"/>
      <c r="BY41" s="132"/>
      <c r="BZ41" s="133">
        <f t="shared" si="1"/>
        <v>25993540</v>
      </c>
    </row>
    <row r="42" spans="1:78" x14ac:dyDescent="0.35">
      <c r="A42" s="134" t="str">
        <f>A37</f>
        <v>100 Mesh, lb</v>
      </c>
      <c r="B42" s="135">
        <f t="shared" si="2"/>
        <v>490444.15094339621</v>
      </c>
      <c r="C42" s="136">
        <v>443960</v>
      </c>
      <c r="D42" s="136">
        <v>248520</v>
      </c>
      <c r="E42" s="136">
        <v>502480</v>
      </c>
      <c r="F42" s="136">
        <v>504680</v>
      </c>
      <c r="G42" s="136">
        <v>496340</v>
      </c>
      <c r="H42" s="136">
        <v>484500</v>
      </c>
      <c r="I42" s="136">
        <v>498860</v>
      </c>
      <c r="J42" s="136">
        <v>494120</v>
      </c>
      <c r="K42" s="136">
        <v>500040</v>
      </c>
      <c r="L42" s="136">
        <v>500640</v>
      </c>
      <c r="M42" s="136">
        <v>252460</v>
      </c>
      <c r="N42" s="136">
        <v>498460</v>
      </c>
      <c r="O42" s="136">
        <v>508040</v>
      </c>
      <c r="P42" s="136">
        <v>499200</v>
      </c>
      <c r="Q42" s="136">
        <v>502060</v>
      </c>
      <c r="R42" s="136">
        <v>511460</v>
      </c>
      <c r="S42" s="136">
        <v>498440</v>
      </c>
      <c r="T42" s="136">
        <v>503580</v>
      </c>
      <c r="U42" s="136">
        <v>497560</v>
      </c>
      <c r="V42" s="136">
        <v>508010</v>
      </c>
      <c r="W42" s="136">
        <v>499900</v>
      </c>
      <c r="X42" s="136">
        <v>497840</v>
      </c>
      <c r="Y42" s="136">
        <v>506460</v>
      </c>
      <c r="Z42" s="136">
        <v>502880</v>
      </c>
      <c r="AA42" s="136">
        <v>491720</v>
      </c>
      <c r="AB42" s="136">
        <v>505200</v>
      </c>
      <c r="AC42" s="136">
        <v>505170</v>
      </c>
      <c r="AD42" s="136">
        <v>495600</v>
      </c>
      <c r="AE42" s="136">
        <v>508600</v>
      </c>
      <c r="AF42" s="136">
        <v>500800</v>
      </c>
      <c r="AG42" s="136">
        <v>501020</v>
      </c>
      <c r="AH42" s="136">
        <v>495640</v>
      </c>
      <c r="AI42" s="136">
        <v>506060</v>
      </c>
      <c r="AJ42" s="136">
        <v>500100</v>
      </c>
      <c r="AK42" s="136">
        <v>499840</v>
      </c>
      <c r="AL42" s="136">
        <v>501440</v>
      </c>
      <c r="AM42" s="136">
        <v>503200</v>
      </c>
      <c r="AN42" s="136">
        <v>499480</v>
      </c>
      <c r="AO42" s="136">
        <v>501340</v>
      </c>
      <c r="AP42" s="136">
        <v>500980</v>
      </c>
      <c r="AQ42" s="136">
        <v>495980</v>
      </c>
      <c r="AR42" s="136">
        <v>504060</v>
      </c>
      <c r="AS42" s="136">
        <v>499300</v>
      </c>
      <c r="AT42" s="136">
        <v>499140</v>
      </c>
      <c r="AU42" s="136">
        <v>503600</v>
      </c>
      <c r="AV42" s="136">
        <v>505960</v>
      </c>
      <c r="AW42" s="136">
        <v>504920</v>
      </c>
      <c r="AX42" s="136">
        <v>501680</v>
      </c>
      <c r="AY42" s="136">
        <v>502440</v>
      </c>
      <c r="AZ42" s="136">
        <v>494880</v>
      </c>
      <c r="BA42" s="137">
        <v>503760</v>
      </c>
      <c r="BB42" s="137">
        <v>503380</v>
      </c>
      <c r="BC42" s="137">
        <v>497760</v>
      </c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8">
        <f t="shared" si="1"/>
        <v>25993540</v>
      </c>
    </row>
    <row r="43" spans="1:78" x14ac:dyDescent="0.35">
      <c r="A43" s="122" t="str">
        <f>A38</f>
        <v/>
      </c>
      <c r="B43" s="105" t="str">
        <f t="shared" si="2"/>
        <v/>
      </c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  <c r="AZ43" s="124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08">
        <f t="shared" si="1"/>
        <v>0</v>
      </c>
    </row>
    <row r="44" spans="1:78" x14ac:dyDescent="0.35">
      <c r="A44" s="139" t="str">
        <f>A39</f>
        <v/>
      </c>
      <c r="B44" s="140" t="str">
        <f t="shared" si="2"/>
        <v/>
      </c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  <c r="AO44" s="141"/>
      <c r="AP44" s="141"/>
      <c r="AQ44" s="141"/>
      <c r="AR44" s="141"/>
      <c r="AS44" s="141"/>
      <c r="AT44" s="141"/>
      <c r="AU44" s="141"/>
      <c r="AV44" s="141"/>
      <c r="AW44" s="141"/>
      <c r="AX44" s="141"/>
      <c r="AY44" s="141"/>
      <c r="AZ44" s="141"/>
      <c r="BA44" s="141"/>
      <c r="BB44" s="141"/>
      <c r="BC44" s="141"/>
      <c r="BD44" s="141"/>
      <c r="BE44" s="141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1"/>
      <c r="BQ44" s="141"/>
      <c r="BR44" s="141"/>
      <c r="BS44" s="141"/>
      <c r="BT44" s="141"/>
      <c r="BU44" s="141"/>
      <c r="BV44" s="141"/>
      <c r="BW44" s="141"/>
      <c r="BX44" s="141"/>
      <c r="BY44" s="141"/>
      <c r="BZ44" s="140">
        <f t="shared" si="1"/>
        <v>0</v>
      </c>
    </row>
    <row r="45" spans="1:78" x14ac:dyDescent="0.35">
      <c r="A45" s="142" t="str">
        <f>A40</f>
        <v/>
      </c>
      <c r="B45" s="143" t="str">
        <f t="shared" si="2"/>
        <v/>
      </c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24"/>
      <c r="BL45" s="124"/>
      <c r="BM45" s="124"/>
      <c r="BN45" s="124"/>
      <c r="BO45" s="124"/>
      <c r="BP45" s="124"/>
      <c r="BQ45" s="124"/>
      <c r="BR45" s="124"/>
      <c r="BS45" s="124"/>
      <c r="BT45" s="124"/>
      <c r="BU45" s="124"/>
      <c r="BV45" s="124"/>
      <c r="BW45" s="124"/>
      <c r="BX45" s="124"/>
      <c r="BY45" s="124"/>
      <c r="BZ45" s="105">
        <f t="shared" si="1"/>
        <v>0</v>
      </c>
    </row>
    <row r="46" spans="1:78" ht="15" thickBot="1" x14ac:dyDescent="0.4">
      <c r="A46" s="144" t="s">
        <v>41</v>
      </c>
      <c r="B46" s="145">
        <f t="shared" si="2"/>
        <v>490444.15094339621</v>
      </c>
      <c r="C46" s="146">
        <v>443960</v>
      </c>
      <c r="D46" s="146">
        <v>248520</v>
      </c>
      <c r="E46" s="146">
        <v>502480</v>
      </c>
      <c r="F46" s="146">
        <v>504680</v>
      </c>
      <c r="G46" s="146">
        <v>496340</v>
      </c>
      <c r="H46" s="146">
        <v>484500</v>
      </c>
      <c r="I46" s="146">
        <v>498860</v>
      </c>
      <c r="J46" s="146">
        <v>494120</v>
      </c>
      <c r="K46" s="146">
        <v>500040</v>
      </c>
      <c r="L46" s="146">
        <v>500640</v>
      </c>
      <c r="M46" s="146">
        <v>252460</v>
      </c>
      <c r="N46" s="146">
        <v>498460</v>
      </c>
      <c r="O46" s="146">
        <v>508040</v>
      </c>
      <c r="P46" s="146">
        <v>499200</v>
      </c>
      <c r="Q46" s="146">
        <v>502060</v>
      </c>
      <c r="R46" s="146">
        <v>511460</v>
      </c>
      <c r="S46" s="146">
        <v>498440</v>
      </c>
      <c r="T46" s="146">
        <v>503580</v>
      </c>
      <c r="U46" s="146">
        <v>497560</v>
      </c>
      <c r="V46" s="146">
        <v>508010</v>
      </c>
      <c r="W46" s="146">
        <v>499900</v>
      </c>
      <c r="X46" s="146">
        <v>497840</v>
      </c>
      <c r="Y46" s="146">
        <v>506460</v>
      </c>
      <c r="Z46" s="146">
        <v>502880</v>
      </c>
      <c r="AA46" s="146">
        <v>491720</v>
      </c>
      <c r="AB46" s="146">
        <v>505200</v>
      </c>
      <c r="AC46" s="146">
        <v>505170</v>
      </c>
      <c r="AD46" s="146">
        <v>495600</v>
      </c>
      <c r="AE46" s="146">
        <v>508600</v>
      </c>
      <c r="AF46" s="146">
        <v>500800</v>
      </c>
      <c r="AG46" s="146">
        <v>501020</v>
      </c>
      <c r="AH46" s="146">
        <v>495640</v>
      </c>
      <c r="AI46" s="146">
        <v>506060</v>
      </c>
      <c r="AJ46" s="146">
        <v>500100</v>
      </c>
      <c r="AK46" s="146">
        <v>499840</v>
      </c>
      <c r="AL46" s="146">
        <v>501440</v>
      </c>
      <c r="AM46" s="146">
        <v>503200</v>
      </c>
      <c r="AN46" s="146">
        <v>499480</v>
      </c>
      <c r="AO46" s="146">
        <v>501340</v>
      </c>
      <c r="AP46" s="146">
        <v>500980</v>
      </c>
      <c r="AQ46" s="146">
        <v>495980</v>
      </c>
      <c r="AR46" s="146">
        <v>504060</v>
      </c>
      <c r="AS46" s="146">
        <v>499300</v>
      </c>
      <c r="AT46" s="146">
        <v>499140</v>
      </c>
      <c r="AU46" s="146">
        <v>503600</v>
      </c>
      <c r="AV46" s="146">
        <v>505960</v>
      </c>
      <c r="AW46" s="146">
        <v>504920</v>
      </c>
      <c r="AX46" s="146">
        <v>501680</v>
      </c>
      <c r="AY46" s="146">
        <v>502440</v>
      </c>
      <c r="AZ46" s="146">
        <v>494880</v>
      </c>
      <c r="BA46" s="146">
        <v>503760</v>
      </c>
      <c r="BB46" s="146">
        <v>503380</v>
      </c>
      <c r="BC46" s="146">
        <v>497760</v>
      </c>
      <c r="BD46" s="146"/>
      <c r="BE46" s="146"/>
      <c r="BF46" s="146"/>
      <c r="BG46" s="146"/>
      <c r="BH46" s="146"/>
      <c r="BI46" s="146"/>
      <c r="BJ46" s="146"/>
      <c r="BK46" s="146"/>
      <c r="BL46" s="146"/>
      <c r="BM46" s="146"/>
      <c r="BN46" s="146"/>
      <c r="BO46" s="146"/>
      <c r="BP46" s="146"/>
      <c r="BQ46" s="146"/>
      <c r="BR46" s="146"/>
      <c r="BS46" s="146"/>
      <c r="BT46" s="146"/>
      <c r="BU46" s="146"/>
      <c r="BV46" s="146"/>
      <c r="BW46" s="146"/>
      <c r="BX46" s="146"/>
      <c r="BY46" s="146"/>
      <c r="BZ46" s="145">
        <f t="shared" si="1"/>
        <v>25993540</v>
      </c>
    </row>
    <row r="47" spans="1:78" x14ac:dyDescent="0.35">
      <c r="A47" s="147" t="str">
        <f>'[1]Set Up'!E51</f>
        <v>Plexslick 957, gal</v>
      </c>
      <c r="B47" s="148">
        <f t="shared" si="2"/>
        <v>497.45471698113204</v>
      </c>
      <c r="C47" s="149">
        <v>510.80000000000018</v>
      </c>
      <c r="D47" s="150">
        <v>366</v>
      </c>
      <c r="E47" s="150">
        <v>570</v>
      </c>
      <c r="F47" s="150">
        <v>596</v>
      </c>
      <c r="G47" s="150">
        <v>503</v>
      </c>
      <c r="H47" s="150">
        <v>483</v>
      </c>
      <c r="I47" s="150">
        <v>603</v>
      </c>
      <c r="J47" s="150">
        <v>606</v>
      </c>
      <c r="K47" s="150">
        <v>514</v>
      </c>
      <c r="L47" s="151">
        <v>473</v>
      </c>
      <c r="M47" s="151">
        <v>495</v>
      </c>
      <c r="N47" s="151">
        <v>472.29999999999995</v>
      </c>
      <c r="O47" s="151">
        <v>531</v>
      </c>
      <c r="P47" s="151">
        <v>479</v>
      </c>
      <c r="Q47" s="151">
        <v>536</v>
      </c>
      <c r="R47" s="151">
        <v>482</v>
      </c>
      <c r="S47" s="151">
        <v>468</v>
      </c>
      <c r="T47" s="151">
        <v>462</v>
      </c>
      <c r="U47" s="151">
        <v>454</v>
      </c>
      <c r="V47" s="151">
        <v>536</v>
      </c>
      <c r="W47" s="151">
        <v>550</v>
      </c>
      <c r="X47" s="151">
        <v>477</v>
      </c>
      <c r="Y47" s="151">
        <v>502</v>
      </c>
      <c r="Z47" s="151">
        <v>494</v>
      </c>
      <c r="AA47" s="151">
        <v>486</v>
      </c>
      <c r="AB47" s="151">
        <v>461</v>
      </c>
      <c r="AC47" s="151">
        <v>471</v>
      </c>
      <c r="AD47" s="151">
        <v>471</v>
      </c>
      <c r="AE47" s="151">
        <v>476</v>
      </c>
      <c r="AF47" s="151">
        <v>556</v>
      </c>
      <c r="AG47" s="151">
        <v>530</v>
      </c>
      <c r="AH47" s="151">
        <v>596</v>
      </c>
      <c r="AI47" s="151">
        <v>533</v>
      </c>
      <c r="AJ47" s="151">
        <v>553</v>
      </c>
      <c r="AK47" s="151">
        <v>477</v>
      </c>
      <c r="AL47" s="151">
        <v>475</v>
      </c>
      <c r="AM47" s="151">
        <v>477</v>
      </c>
      <c r="AN47" s="151">
        <v>489</v>
      </c>
      <c r="AO47" s="151">
        <v>482</v>
      </c>
      <c r="AP47" s="151">
        <v>473</v>
      </c>
      <c r="AQ47" s="151">
        <v>496</v>
      </c>
      <c r="AR47" s="151">
        <v>402</v>
      </c>
      <c r="AS47" s="151">
        <v>474</v>
      </c>
      <c r="AT47" s="151">
        <v>500</v>
      </c>
      <c r="AU47" s="151">
        <v>478</v>
      </c>
      <c r="AV47" s="151">
        <v>472</v>
      </c>
      <c r="AW47" s="151">
        <v>492</v>
      </c>
      <c r="AX47" s="151">
        <v>478</v>
      </c>
      <c r="AY47" s="151">
        <v>481</v>
      </c>
      <c r="AZ47" s="151">
        <v>474</v>
      </c>
      <c r="BA47" s="152">
        <v>477</v>
      </c>
      <c r="BB47" s="152">
        <v>487</v>
      </c>
      <c r="BC47" s="152">
        <v>485</v>
      </c>
      <c r="BD47" s="152"/>
      <c r="BE47" s="152"/>
      <c r="BF47" s="152"/>
      <c r="BG47" s="152"/>
      <c r="BH47" s="152"/>
      <c r="BI47" s="152"/>
      <c r="BJ47" s="152"/>
      <c r="BK47" s="152"/>
      <c r="BL47" s="152"/>
      <c r="BM47" s="152"/>
      <c r="BN47" s="152"/>
      <c r="BO47" s="152"/>
      <c r="BP47" s="152"/>
      <c r="BQ47" s="152"/>
      <c r="BR47" s="152"/>
      <c r="BS47" s="152"/>
      <c r="BT47" s="152"/>
      <c r="BU47" s="152"/>
      <c r="BV47" s="152"/>
      <c r="BW47" s="152"/>
      <c r="BX47" s="152"/>
      <c r="BY47" s="152"/>
      <c r="BZ47" s="153">
        <f t="shared" si="1"/>
        <v>26365.1</v>
      </c>
    </row>
    <row r="48" spans="1:78" x14ac:dyDescent="0.35">
      <c r="A48" s="154" t="str">
        <f>'[1]Set Up'!E52</f>
        <v>Chemplex 4-N-1, gal</v>
      </c>
      <c r="B48" s="155">
        <f t="shared" si="2"/>
        <v>7.5</v>
      </c>
      <c r="C48" s="156">
        <v>7</v>
      </c>
      <c r="D48" s="157">
        <v>8</v>
      </c>
      <c r="E48" s="157">
        <v>7</v>
      </c>
      <c r="F48" s="157">
        <v>8</v>
      </c>
      <c r="G48" s="157">
        <v>7</v>
      </c>
      <c r="H48" s="157">
        <v>8</v>
      </c>
      <c r="I48" s="157">
        <v>7</v>
      </c>
      <c r="J48" s="157">
        <v>8</v>
      </c>
      <c r="K48" s="157">
        <v>7</v>
      </c>
      <c r="L48" s="107">
        <v>7</v>
      </c>
      <c r="M48" s="107">
        <v>7</v>
      </c>
      <c r="N48" s="107">
        <v>8</v>
      </c>
      <c r="O48" s="107">
        <v>7.4</v>
      </c>
      <c r="P48" s="107">
        <v>7.5</v>
      </c>
      <c r="Q48" s="107">
        <v>7</v>
      </c>
      <c r="R48" s="107">
        <v>8</v>
      </c>
      <c r="S48" s="107">
        <v>7</v>
      </c>
      <c r="T48" s="107">
        <v>7</v>
      </c>
      <c r="U48" s="107">
        <v>7</v>
      </c>
      <c r="V48" s="107">
        <v>8</v>
      </c>
      <c r="W48" s="107">
        <v>7</v>
      </c>
      <c r="X48" s="107">
        <v>7</v>
      </c>
      <c r="Y48" s="107">
        <v>8</v>
      </c>
      <c r="Z48" s="107">
        <v>8</v>
      </c>
      <c r="AA48" s="107">
        <v>7.6</v>
      </c>
      <c r="AB48" s="107">
        <v>8</v>
      </c>
      <c r="AC48" s="107">
        <v>7</v>
      </c>
      <c r="AD48" s="107">
        <v>7</v>
      </c>
      <c r="AE48" s="107">
        <v>7</v>
      </c>
      <c r="AF48" s="107">
        <v>7</v>
      </c>
      <c r="AG48" s="107">
        <v>7</v>
      </c>
      <c r="AH48" s="107">
        <v>8</v>
      </c>
      <c r="AI48" s="107">
        <v>8</v>
      </c>
      <c r="AJ48" s="107">
        <v>8</v>
      </c>
      <c r="AK48" s="107">
        <v>7</v>
      </c>
      <c r="AL48" s="107">
        <v>8</v>
      </c>
      <c r="AM48" s="107">
        <v>8</v>
      </c>
      <c r="AN48" s="107">
        <v>7</v>
      </c>
      <c r="AO48" s="107">
        <v>7</v>
      </c>
      <c r="AP48" s="107">
        <v>8</v>
      </c>
      <c r="AQ48" s="107">
        <v>8</v>
      </c>
      <c r="AR48" s="107">
        <v>8</v>
      </c>
      <c r="AS48" s="107">
        <v>7</v>
      </c>
      <c r="AT48" s="107">
        <v>7</v>
      </c>
      <c r="AU48" s="107">
        <v>8</v>
      </c>
      <c r="AV48" s="107">
        <v>7</v>
      </c>
      <c r="AW48" s="107">
        <v>8</v>
      </c>
      <c r="AX48" s="107">
        <v>8</v>
      </c>
      <c r="AY48" s="107">
        <v>8</v>
      </c>
      <c r="AZ48" s="107">
        <v>7</v>
      </c>
      <c r="BA48" s="106">
        <v>8</v>
      </c>
      <c r="BB48" s="106">
        <v>8</v>
      </c>
      <c r="BC48" s="106">
        <v>8</v>
      </c>
      <c r="BD48" s="106"/>
      <c r="BE48" s="106"/>
      <c r="BF48" s="106"/>
      <c r="BG48" s="106"/>
      <c r="BH48" s="106"/>
      <c r="BI48" s="106"/>
      <c r="BJ48" s="106"/>
      <c r="BK48" s="106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58">
        <f t="shared" si="1"/>
        <v>397.5</v>
      </c>
    </row>
    <row r="49" spans="1:78" x14ac:dyDescent="0.35">
      <c r="A49" s="147" t="str">
        <f>'[1]Set Up'!E53</f>
        <v>Payzone 845, gal</v>
      </c>
      <c r="B49" s="148">
        <f t="shared" si="2"/>
        <v>100.75471698113208</v>
      </c>
      <c r="C49" s="159">
        <v>99</v>
      </c>
      <c r="D49" s="160">
        <v>67</v>
      </c>
      <c r="E49" s="160">
        <v>111</v>
      </c>
      <c r="F49" s="160">
        <v>118</v>
      </c>
      <c r="G49" s="160">
        <v>102</v>
      </c>
      <c r="H49" s="160">
        <v>99</v>
      </c>
      <c r="I49" s="160">
        <v>123</v>
      </c>
      <c r="J49" s="160">
        <v>116</v>
      </c>
      <c r="K49" s="160">
        <v>104</v>
      </c>
      <c r="L49" s="161">
        <v>96</v>
      </c>
      <c r="M49" s="161">
        <v>98</v>
      </c>
      <c r="N49" s="161">
        <v>96</v>
      </c>
      <c r="O49" s="161">
        <v>137</v>
      </c>
      <c r="P49" s="161">
        <v>98</v>
      </c>
      <c r="Q49" s="161">
        <v>108</v>
      </c>
      <c r="R49" s="161">
        <v>98</v>
      </c>
      <c r="S49" s="161">
        <v>95</v>
      </c>
      <c r="T49" s="161">
        <v>93</v>
      </c>
      <c r="U49" s="161">
        <v>92</v>
      </c>
      <c r="V49" s="161">
        <v>105</v>
      </c>
      <c r="W49" s="161">
        <v>110</v>
      </c>
      <c r="X49" s="161">
        <v>97</v>
      </c>
      <c r="Y49" s="161">
        <v>101</v>
      </c>
      <c r="Z49" s="161">
        <v>99</v>
      </c>
      <c r="AA49" s="161">
        <v>98</v>
      </c>
      <c r="AB49" s="161">
        <v>92</v>
      </c>
      <c r="AC49" s="161">
        <v>95</v>
      </c>
      <c r="AD49" s="161">
        <v>96</v>
      </c>
      <c r="AE49" s="161">
        <v>96</v>
      </c>
      <c r="AF49" s="161">
        <v>113</v>
      </c>
      <c r="AG49" s="161">
        <v>107</v>
      </c>
      <c r="AH49" s="161">
        <v>122</v>
      </c>
      <c r="AI49" s="161">
        <v>107</v>
      </c>
      <c r="AJ49" s="161">
        <v>113</v>
      </c>
      <c r="AK49" s="161">
        <v>96</v>
      </c>
      <c r="AL49" s="161">
        <v>94</v>
      </c>
      <c r="AM49" s="161">
        <v>96</v>
      </c>
      <c r="AN49" s="161">
        <v>98</v>
      </c>
      <c r="AO49" s="161">
        <v>99</v>
      </c>
      <c r="AP49" s="161">
        <v>98</v>
      </c>
      <c r="AQ49" s="161">
        <v>99</v>
      </c>
      <c r="AR49" s="161">
        <v>95</v>
      </c>
      <c r="AS49" s="161">
        <v>96</v>
      </c>
      <c r="AT49" s="161">
        <v>100</v>
      </c>
      <c r="AU49" s="161">
        <v>96</v>
      </c>
      <c r="AV49" s="161">
        <v>95</v>
      </c>
      <c r="AW49" s="161">
        <v>100</v>
      </c>
      <c r="AX49" s="161">
        <v>96</v>
      </c>
      <c r="AY49" s="161">
        <v>97</v>
      </c>
      <c r="AZ49" s="161">
        <v>95</v>
      </c>
      <c r="BA49" s="162">
        <v>95</v>
      </c>
      <c r="BB49" s="162">
        <v>98</v>
      </c>
      <c r="BC49" s="162">
        <v>96</v>
      </c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3">
        <f t="shared" si="1"/>
        <v>5340</v>
      </c>
    </row>
    <row r="50" spans="1:78" x14ac:dyDescent="0.35">
      <c r="A50" s="154" t="str">
        <f>'[1]Set Up'!E54</f>
        <v>Payzone 850, gal</v>
      </c>
      <c r="B50" s="155">
        <f t="shared" si="2"/>
        <v>38</v>
      </c>
      <c r="C50" s="156">
        <v>38</v>
      </c>
      <c r="D50" s="157">
        <v>28</v>
      </c>
      <c r="E50" s="157">
        <v>42</v>
      </c>
      <c r="F50" s="157">
        <v>46</v>
      </c>
      <c r="G50" s="157">
        <v>38</v>
      </c>
      <c r="H50" s="157">
        <v>37</v>
      </c>
      <c r="I50" s="157">
        <v>46</v>
      </c>
      <c r="J50" s="157">
        <v>45</v>
      </c>
      <c r="K50" s="157">
        <v>39</v>
      </c>
      <c r="L50" s="157">
        <v>36</v>
      </c>
      <c r="M50" s="157">
        <v>37</v>
      </c>
      <c r="N50" s="157">
        <v>36</v>
      </c>
      <c r="O50" s="157">
        <v>52</v>
      </c>
      <c r="P50" s="157">
        <v>37</v>
      </c>
      <c r="Q50" s="157">
        <v>41</v>
      </c>
      <c r="R50" s="157">
        <v>37</v>
      </c>
      <c r="S50" s="157">
        <v>35</v>
      </c>
      <c r="T50" s="107">
        <v>35</v>
      </c>
      <c r="U50" s="107">
        <v>35</v>
      </c>
      <c r="V50" s="107">
        <v>39</v>
      </c>
      <c r="W50" s="107">
        <v>41</v>
      </c>
      <c r="X50" s="107">
        <v>36</v>
      </c>
      <c r="Y50" s="107">
        <v>38</v>
      </c>
      <c r="Z50" s="107">
        <v>37</v>
      </c>
      <c r="AA50" s="107">
        <v>37</v>
      </c>
      <c r="AB50" s="107">
        <v>35</v>
      </c>
      <c r="AC50" s="107">
        <v>36</v>
      </c>
      <c r="AD50" s="107">
        <v>36</v>
      </c>
      <c r="AE50" s="107">
        <v>36</v>
      </c>
      <c r="AF50" s="107">
        <v>43</v>
      </c>
      <c r="AG50" s="107">
        <v>40</v>
      </c>
      <c r="AH50" s="107">
        <v>46</v>
      </c>
      <c r="AI50" s="107">
        <v>40</v>
      </c>
      <c r="AJ50" s="107">
        <v>42</v>
      </c>
      <c r="AK50" s="107">
        <v>36</v>
      </c>
      <c r="AL50" s="107">
        <v>35</v>
      </c>
      <c r="AM50" s="107">
        <v>36</v>
      </c>
      <c r="AN50" s="107">
        <v>37</v>
      </c>
      <c r="AO50" s="107">
        <v>37</v>
      </c>
      <c r="AP50" s="107">
        <v>37</v>
      </c>
      <c r="AQ50" s="107">
        <v>37</v>
      </c>
      <c r="AR50" s="107">
        <v>36</v>
      </c>
      <c r="AS50" s="107">
        <v>36</v>
      </c>
      <c r="AT50" s="107">
        <v>38</v>
      </c>
      <c r="AU50" s="107">
        <v>36</v>
      </c>
      <c r="AV50" s="107">
        <v>36</v>
      </c>
      <c r="AW50" s="107">
        <v>38</v>
      </c>
      <c r="AX50" s="107">
        <v>36</v>
      </c>
      <c r="AY50" s="107">
        <v>36</v>
      </c>
      <c r="AZ50" s="107">
        <v>36</v>
      </c>
      <c r="BA50" s="106">
        <v>36</v>
      </c>
      <c r="BB50" s="106">
        <v>37</v>
      </c>
      <c r="BC50" s="106">
        <v>36</v>
      </c>
      <c r="BD50" s="106"/>
      <c r="BE50" s="106"/>
      <c r="BF50" s="106"/>
      <c r="BG50" s="106"/>
      <c r="BH50" s="106"/>
      <c r="BI50" s="106"/>
      <c r="BJ50" s="106"/>
      <c r="BK50" s="106"/>
      <c r="BL50" s="106"/>
      <c r="BM50" s="106"/>
      <c r="BN50" s="106"/>
      <c r="BO50" s="106"/>
      <c r="BP50" s="106"/>
      <c r="BQ50" s="106"/>
      <c r="BR50" s="106"/>
      <c r="BS50" s="106"/>
      <c r="BT50" s="106"/>
      <c r="BU50" s="106"/>
      <c r="BV50" s="106"/>
      <c r="BW50" s="106"/>
      <c r="BX50" s="106"/>
      <c r="BY50" s="106"/>
      <c r="BZ50" s="158">
        <f t="shared" si="1"/>
        <v>2014</v>
      </c>
    </row>
    <row r="51" spans="1:78" x14ac:dyDescent="0.35">
      <c r="A51" s="147" t="str">
        <f>'[1]Set Up'!E55</f>
        <v>Payzone 217, gal</v>
      </c>
      <c r="B51" s="148">
        <f t="shared" si="2"/>
        <v>100.75471698113208</v>
      </c>
      <c r="C51" s="159">
        <v>99</v>
      </c>
      <c r="D51" s="160">
        <v>67</v>
      </c>
      <c r="E51" s="160">
        <v>111</v>
      </c>
      <c r="F51" s="160">
        <v>118</v>
      </c>
      <c r="G51" s="160">
        <v>102</v>
      </c>
      <c r="H51" s="160">
        <v>99</v>
      </c>
      <c r="I51" s="160">
        <v>123</v>
      </c>
      <c r="J51" s="160">
        <v>116</v>
      </c>
      <c r="K51" s="160">
        <v>104</v>
      </c>
      <c r="L51" s="161">
        <v>96</v>
      </c>
      <c r="M51" s="161">
        <v>98</v>
      </c>
      <c r="N51" s="161">
        <v>96</v>
      </c>
      <c r="O51" s="161">
        <v>137</v>
      </c>
      <c r="P51" s="161">
        <v>98</v>
      </c>
      <c r="Q51" s="161">
        <v>108</v>
      </c>
      <c r="R51" s="161">
        <v>98</v>
      </c>
      <c r="S51" s="161">
        <v>95</v>
      </c>
      <c r="T51" s="161">
        <v>93</v>
      </c>
      <c r="U51" s="161">
        <v>92</v>
      </c>
      <c r="V51" s="161">
        <v>105</v>
      </c>
      <c r="W51" s="161">
        <v>110</v>
      </c>
      <c r="X51" s="161">
        <v>97</v>
      </c>
      <c r="Y51" s="161">
        <v>101</v>
      </c>
      <c r="Z51" s="161">
        <v>99</v>
      </c>
      <c r="AA51" s="161">
        <v>98</v>
      </c>
      <c r="AB51" s="161">
        <v>92</v>
      </c>
      <c r="AC51" s="161">
        <v>95</v>
      </c>
      <c r="AD51" s="161">
        <v>96</v>
      </c>
      <c r="AE51" s="161">
        <v>96</v>
      </c>
      <c r="AF51" s="161">
        <v>113</v>
      </c>
      <c r="AG51" s="161">
        <v>107</v>
      </c>
      <c r="AH51" s="161">
        <v>122</v>
      </c>
      <c r="AI51" s="161">
        <v>107</v>
      </c>
      <c r="AJ51" s="161">
        <v>113</v>
      </c>
      <c r="AK51" s="161">
        <v>96</v>
      </c>
      <c r="AL51" s="161">
        <v>94</v>
      </c>
      <c r="AM51" s="161">
        <v>96</v>
      </c>
      <c r="AN51" s="161">
        <v>98</v>
      </c>
      <c r="AO51" s="161">
        <v>99</v>
      </c>
      <c r="AP51" s="161">
        <v>98</v>
      </c>
      <c r="AQ51" s="161">
        <v>99</v>
      </c>
      <c r="AR51" s="161">
        <v>95</v>
      </c>
      <c r="AS51" s="161">
        <v>96</v>
      </c>
      <c r="AT51" s="161">
        <v>100</v>
      </c>
      <c r="AU51" s="161">
        <v>96</v>
      </c>
      <c r="AV51" s="161">
        <v>95</v>
      </c>
      <c r="AW51" s="161">
        <v>100</v>
      </c>
      <c r="AX51" s="161">
        <v>96</v>
      </c>
      <c r="AY51" s="161">
        <v>97</v>
      </c>
      <c r="AZ51" s="161">
        <v>95</v>
      </c>
      <c r="BA51" s="162">
        <v>95</v>
      </c>
      <c r="BB51" s="162">
        <v>98</v>
      </c>
      <c r="BC51" s="162">
        <v>96</v>
      </c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3">
        <f t="shared" si="1"/>
        <v>5340</v>
      </c>
    </row>
    <row r="52" spans="1:78" x14ac:dyDescent="0.35">
      <c r="A52" s="154" t="str">
        <f>'[1]Set Up'!E56</f>
        <v>Stim741 Gel, gal</v>
      </c>
      <c r="B52" s="155">
        <f t="shared" si="2"/>
        <v>19.150943396226417</v>
      </c>
      <c r="C52" s="156">
        <v>30</v>
      </c>
      <c r="D52" s="157">
        <v>20</v>
      </c>
      <c r="E52" s="157">
        <v>20</v>
      </c>
      <c r="F52" s="157">
        <v>20</v>
      </c>
      <c r="G52" s="157">
        <v>20</v>
      </c>
      <c r="H52" s="157">
        <v>20</v>
      </c>
      <c r="I52" s="157">
        <v>20</v>
      </c>
      <c r="J52" s="157">
        <v>20</v>
      </c>
      <c r="K52" s="157">
        <v>20</v>
      </c>
      <c r="L52" s="107">
        <v>20</v>
      </c>
      <c r="M52" s="107">
        <v>30</v>
      </c>
      <c r="N52" s="107">
        <v>20</v>
      </c>
      <c r="O52" s="107">
        <v>30</v>
      </c>
      <c r="P52" s="107">
        <v>20</v>
      </c>
      <c r="Q52" s="107">
        <v>20</v>
      </c>
      <c r="R52" s="107">
        <v>20</v>
      </c>
      <c r="S52" s="107">
        <v>30</v>
      </c>
      <c r="T52" s="107">
        <v>20</v>
      </c>
      <c r="U52" s="107">
        <v>30</v>
      </c>
      <c r="V52" s="107">
        <v>30</v>
      </c>
      <c r="W52" s="107">
        <v>20</v>
      </c>
      <c r="X52" s="107">
        <v>30</v>
      </c>
      <c r="Y52" s="107">
        <v>20</v>
      </c>
      <c r="Z52" s="107">
        <v>20</v>
      </c>
      <c r="AA52" s="107">
        <v>30</v>
      </c>
      <c r="AB52" s="107">
        <v>20</v>
      </c>
      <c r="AC52" s="107">
        <v>20</v>
      </c>
      <c r="AD52" s="107">
        <v>20</v>
      </c>
      <c r="AE52" s="107">
        <v>20</v>
      </c>
      <c r="AF52" s="107">
        <v>20</v>
      </c>
      <c r="AG52" s="107">
        <v>20</v>
      </c>
      <c r="AH52" s="107">
        <v>20</v>
      </c>
      <c r="AI52" s="107">
        <v>20</v>
      </c>
      <c r="AJ52" s="107">
        <v>20</v>
      </c>
      <c r="AK52" s="107">
        <v>20</v>
      </c>
      <c r="AL52" s="107">
        <v>20</v>
      </c>
      <c r="AM52" s="107">
        <v>20</v>
      </c>
      <c r="AN52" s="107">
        <v>20</v>
      </c>
      <c r="AO52" s="107">
        <v>15</v>
      </c>
      <c r="AP52" s="107">
        <v>20</v>
      </c>
      <c r="AQ52" s="107">
        <v>10</v>
      </c>
      <c r="AR52" s="107">
        <v>20</v>
      </c>
      <c r="AS52" s="107">
        <v>10</v>
      </c>
      <c r="AT52" s="107">
        <v>10</v>
      </c>
      <c r="AU52" s="107">
        <v>10</v>
      </c>
      <c r="AV52" s="107">
        <v>10</v>
      </c>
      <c r="AW52" s="107">
        <v>20</v>
      </c>
      <c r="AX52" s="107">
        <v>10</v>
      </c>
      <c r="AY52" s="107">
        <v>10</v>
      </c>
      <c r="AZ52" s="107">
        <v>10</v>
      </c>
      <c r="BA52" s="106">
        <v>10</v>
      </c>
      <c r="BB52" s="106">
        <v>10</v>
      </c>
      <c r="BC52" s="106">
        <v>0</v>
      </c>
      <c r="BD52" s="106"/>
      <c r="BE52" s="106"/>
      <c r="BF52" s="106"/>
      <c r="BG52" s="106"/>
      <c r="BH52" s="106"/>
      <c r="BI52" s="106"/>
      <c r="BJ52" s="106"/>
      <c r="BK52" s="106"/>
      <c r="BL52" s="106"/>
      <c r="BM52" s="106"/>
      <c r="BN52" s="106"/>
      <c r="BO52" s="106"/>
      <c r="BP52" s="106"/>
      <c r="BQ52" s="106"/>
      <c r="BR52" s="106"/>
      <c r="BS52" s="106"/>
      <c r="BT52" s="106"/>
      <c r="BU52" s="106"/>
      <c r="BV52" s="106"/>
      <c r="BW52" s="106"/>
      <c r="BX52" s="106"/>
      <c r="BY52" s="106"/>
      <c r="BZ52" s="158">
        <f t="shared" si="1"/>
        <v>1015</v>
      </c>
    </row>
    <row r="53" spans="1:78" x14ac:dyDescent="0.35">
      <c r="A53" s="147">
        <f>'[1]Set Up'!E57</f>
        <v>0</v>
      </c>
      <c r="B53" s="148" t="str">
        <f t="shared" si="2"/>
        <v/>
      </c>
      <c r="C53" s="159"/>
      <c r="D53" s="160"/>
      <c r="E53" s="160"/>
      <c r="F53" s="160"/>
      <c r="G53" s="160"/>
      <c r="H53" s="160"/>
      <c r="I53" s="160"/>
      <c r="J53" s="160"/>
      <c r="K53" s="160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  <c r="AF53" s="161"/>
      <c r="AG53" s="161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1"/>
      <c r="AS53" s="161"/>
      <c r="AT53" s="161"/>
      <c r="AU53" s="161"/>
      <c r="AV53" s="161"/>
      <c r="AW53" s="161"/>
      <c r="AX53" s="161"/>
      <c r="AY53" s="161"/>
      <c r="AZ53" s="161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3">
        <f t="shared" si="1"/>
        <v>0</v>
      </c>
    </row>
    <row r="54" spans="1:78" x14ac:dyDescent="0.35">
      <c r="A54" s="154">
        <f>'[1]Set Up'!E58</f>
        <v>0</v>
      </c>
      <c r="B54" s="155" t="str">
        <f t="shared" si="2"/>
        <v/>
      </c>
      <c r="C54" s="156"/>
      <c r="D54" s="157"/>
      <c r="E54" s="157"/>
      <c r="F54" s="157"/>
      <c r="G54" s="157"/>
      <c r="H54" s="157"/>
      <c r="I54" s="157"/>
      <c r="J54" s="157"/>
      <c r="K54" s="15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6"/>
      <c r="BB54" s="106"/>
      <c r="BC54" s="106"/>
      <c r="BD54" s="106"/>
      <c r="BE54" s="106"/>
      <c r="BF54" s="106"/>
      <c r="BG54" s="106"/>
      <c r="BH54" s="106"/>
      <c r="BI54" s="106"/>
      <c r="BJ54" s="106"/>
      <c r="BK54" s="106"/>
      <c r="BL54" s="106"/>
      <c r="BM54" s="106"/>
      <c r="BN54" s="106"/>
      <c r="BO54" s="106"/>
      <c r="BP54" s="106"/>
      <c r="BQ54" s="106"/>
      <c r="BR54" s="106"/>
      <c r="BS54" s="106"/>
      <c r="BT54" s="106"/>
      <c r="BU54" s="106"/>
      <c r="BV54" s="106"/>
      <c r="BW54" s="106"/>
      <c r="BX54" s="106"/>
      <c r="BY54" s="106"/>
      <c r="BZ54" s="158">
        <f t="shared" si="1"/>
        <v>0</v>
      </c>
    </row>
    <row r="55" spans="1:78" x14ac:dyDescent="0.35">
      <c r="A55" s="147">
        <f>'[1]Set Up'!E59</f>
        <v>0</v>
      </c>
      <c r="B55" s="148" t="str">
        <f t="shared" si="2"/>
        <v/>
      </c>
      <c r="C55" s="159"/>
      <c r="D55" s="160"/>
      <c r="E55" s="160"/>
      <c r="F55" s="160"/>
      <c r="G55" s="160"/>
      <c r="H55" s="160"/>
      <c r="I55" s="160"/>
      <c r="J55" s="160"/>
      <c r="K55" s="160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1"/>
      <c r="AU55" s="161"/>
      <c r="AV55" s="161"/>
      <c r="AW55" s="161"/>
      <c r="AX55" s="161"/>
      <c r="AY55" s="161"/>
      <c r="AZ55" s="161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3">
        <f t="shared" si="1"/>
        <v>0</v>
      </c>
    </row>
    <row r="56" spans="1:78" x14ac:dyDescent="0.35">
      <c r="A56" s="154">
        <f>'[1]Set Up'!E60</f>
        <v>0</v>
      </c>
      <c r="B56" s="155" t="str">
        <f t="shared" si="2"/>
        <v/>
      </c>
      <c r="C56" s="156"/>
      <c r="D56" s="157"/>
      <c r="E56" s="157"/>
      <c r="F56" s="157"/>
      <c r="G56" s="157"/>
      <c r="H56" s="157"/>
      <c r="I56" s="157"/>
      <c r="J56" s="157"/>
      <c r="K56" s="15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6"/>
      <c r="BB56" s="106"/>
      <c r="BC56" s="106"/>
      <c r="BD56" s="106"/>
      <c r="BE56" s="106"/>
      <c r="BF56" s="106"/>
      <c r="BG56" s="106"/>
      <c r="BH56" s="106"/>
      <c r="BI56" s="106"/>
      <c r="BJ56" s="106"/>
      <c r="BK56" s="106"/>
      <c r="BL56" s="106"/>
      <c r="BM56" s="106"/>
      <c r="BN56" s="106"/>
      <c r="BO56" s="106"/>
      <c r="BP56" s="106"/>
      <c r="BQ56" s="106"/>
      <c r="BR56" s="106"/>
      <c r="BS56" s="106"/>
      <c r="BT56" s="106"/>
      <c r="BU56" s="106"/>
      <c r="BV56" s="106"/>
      <c r="BW56" s="106"/>
      <c r="BX56" s="106"/>
      <c r="BY56" s="106"/>
      <c r="BZ56" s="158">
        <f t="shared" si="1"/>
        <v>0</v>
      </c>
    </row>
    <row r="57" spans="1:78" x14ac:dyDescent="0.35">
      <c r="A57" s="164">
        <f>'[1]Set Up'!E61</f>
        <v>0</v>
      </c>
      <c r="B57" s="165" t="str">
        <f t="shared" si="2"/>
        <v/>
      </c>
      <c r="C57" s="159"/>
      <c r="D57" s="160"/>
      <c r="E57" s="160"/>
      <c r="F57" s="160"/>
      <c r="G57" s="160"/>
      <c r="H57" s="160"/>
      <c r="I57" s="160"/>
      <c r="J57" s="160"/>
      <c r="K57" s="160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3">
        <f t="shared" si="1"/>
        <v>0</v>
      </c>
    </row>
    <row r="58" spans="1:78" x14ac:dyDescent="0.35">
      <c r="A58" s="166" t="str">
        <f>'[1]Set Up'!E62</f>
        <v>15% HCl Acid, gal</v>
      </c>
      <c r="B58" s="167">
        <f t="shared" si="2"/>
        <v>1232.1509433962265</v>
      </c>
      <c r="C58" s="156">
        <v>1237</v>
      </c>
      <c r="D58" s="157">
        <v>1264</v>
      </c>
      <c r="E58" s="157">
        <v>1111</v>
      </c>
      <c r="F58" s="157">
        <v>1251</v>
      </c>
      <c r="G58" s="157">
        <v>1206</v>
      </c>
      <c r="H58" s="157">
        <v>1261</v>
      </c>
      <c r="I58" s="157">
        <v>1227</v>
      </c>
      <c r="J58" s="157">
        <v>1251</v>
      </c>
      <c r="K58" s="157">
        <v>1211</v>
      </c>
      <c r="L58" s="107">
        <v>1190</v>
      </c>
      <c r="M58" s="107">
        <v>1240</v>
      </c>
      <c r="N58" s="107">
        <v>1269</v>
      </c>
      <c r="O58" s="107">
        <v>1240</v>
      </c>
      <c r="P58" s="107">
        <v>1251</v>
      </c>
      <c r="Q58" s="107">
        <v>1206</v>
      </c>
      <c r="R58" s="107">
        <v>1261</v>
      </c>
      <c r="S58" s="107">
        <v>1172</v>
      </c>
      <c r="T58" s="107">
        <v>1150</v>
      </c>
      <c r="U58" s="107">
        <v>1219</v>
      </c>
      <c r="V58" s="107">
        <v>1275</v>
      </c>
      <c r="W58" s="107">
        <v>1150</v>
      </c>
      <c r="X58" s="107">
        <v>1219</v>
      </c>
      <c r="Y58" s="107">
        <v>1259</v>
      </c>
      <c r="Z58" s="107">
        <v>1269</v>
      </c>
      <c r="AA58" s="107">
        <v>1269</v>
      </c>
      <c r="AB58" s="107">
        <v>1251</v>
      </c>
      <c r="AC58" s="107">
        <v>1206</v>
      </c>
      <c r="AD58" s="107">
        <v>1227</v>
      </c>
      <c r="AE58" s="107">
        <v>1206</v>
      </c>
      <c r="AF58" s="107">
        <v>1172</v>
      </c>
      <c r="AG58" s="107">
        <v>1230</v>
      </c>
      <c r="AH58" s="107">
        <v>1264</v>
      </c>
      <c r="AI58" s="107">
        <v>1269</v>
      </c>
      <c r="AJ58" s="107">
        <v>1251</v>
      </c>
      <c r="AK58" s="107">
        <v>1206</v>
      </c>
      <c r="AL58" s="107">
        <v>1275</v>
      </c>
      <c r="AM58" s="107">
        <v>1293</v>
      </c>
      <c r="AN58" s="107">
        <v>1150</v>
      </c>
      <c r="AO58" s="107">
        <v>1219</v>
      </c>
      <c r="AP58" s="107">
        <v>1259</v>
      </c>
      <c r="AQ58" s="107">
        <v>1269</v>
      </c>
      <c r="AR58" s="107">
        <v>1256</v>
      </c>
      <c r="AS58" s="107">
        <v>1211</v>
      </c>
      <c r="AT58" s="107">
        <v>1140</v>
      </c>
      <c r="AU58" s="107">
        <v>1275</v>
      </c>
      <c r="AV58" s="107">
        <v>1211</v>
      </c>
      <c r="AW58" s="107">
        <v>1256</v>
      </c>
      <c r="AX58" s="107">
        <v>1269</v>
      </c>
      <c r="AY58" s="107">
        <v>1259</v>
      </c>
      <c r="AZ58" s="107">
        <v>1219</v>
      </c>
      <c r="BA58" s="107">
        <v>1275</v>
      </c>
      <c r="BB58" s="107">
        <v>1251</v>
      </c>
      <c r="BC58" s="107">
        <v>1277</v>
      </c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90">
        <f t="shared" si="1"/>
        <v>65304</v>
      </c>
    </row>
  </sheetData>
  <mergeCells count="17">
    <mergeCell ref="A1:D1"/>
    <mergeCell ref="E1:K1"/>
    <mergeCell ref="L1:V6"/>
    <mergeCell ref="B2:D2"/>
    <mergeCell ref="F2:G2"/>
    <mergeCell ref="B3:D3"/>
    <mergeCell ref="F3:G3"/>
    <mergeCell ref="B4:D4"/>
    <mergeCell ref="F4:G4"/>
    <mergeCell ref="B5:D5"/>
    <mergeCell ref="C16:I16"/>
    <mergeCell ref="F5:G5"/>
    <mergeCell ref="B6:E6"/>
    <mergeCell ref="F6:H6"/>
    <mergeCell ref="I6:K6"/>
    <mergeCell ref="B8:B12"/>
    <mergeCell ref="B13:B1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Z58"/>
  <sheetViews>
    <sheetView topLeftCell="V1" workbookViewId="0">
      <selection activeCell="B17" sqref="B17"/>
    </sheetView>
  </sheetViews>
  <sheetFormatPr defaultRowHeight="14.5" x14ac:dyDescent="0.35"/>
  <cols>
    <col min="1" max="1" width="21.1796875" bestFit="1" customWidth="1"/>
    <col min="2" max="2" width="17.81640625" bestFit="1" customWidth="1"/>
    <col min="3" max="4" width="7.453125" bestFit="1" customWidth="1"/>
    <col min="5" max="5" width="9.54296875" bestFit="1" customWidth="1"/>
    <col min="6" max="7" width="7.453125" bestFit="1" customWidth="1"/>
    <col min="8" max="8" width="8.1796875" bestFit="1" customWidth="1"/>
    <col min="9" max="9" width="7.453125" bestFit="1" customWidth="1"/>
    <col min="10" max="10" width="8" bestFit="1" customWidth="1"/>
    <col min="11" max="55" width="7.453125" bestFit="1" customWidth="1"/>
    <col min="56" max="77" width="3.1796875" bestFit="1" customWidth="1"/>
    <col min="78" max="78" width="9.81640625" bestFit="1" customWidth="1"/>
  </cols>
  <sheetData>
    <row r="1" spans="1:78" ht="24" thickTop="1" x14ac:dyDescent="0.35">
      <c r="A1" s="198"/>
      <c r="B1" s="199"/>
      <c r="C1" s="199"/>
      <c r="D1" s="199"/>
      <c r="E1" s="200" t="s">
        <v>0</v>
      </c>
      <c r="F1" s="199"/>
      <c r="G1" s="199"/>
      <c r="H1" s="199"/>
      <c r="I1" s="199"/>
      <c r="J1" s="199"/>
      <c r="K1" s="201"/>
      <c r="L1" s="202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2"/>
    </row>
    <row r="2" spans="1:78" x14ac:dyDescent="0.35">
      <c r="A2" s="3" t="s">
        <v>1</v>
      </c>
      <c r="B2" s="188" t="str">
        <f>'[2]Set Up'!E5</f>
        <v>Anadarko Petroleum Corporation</v>
      </c>
      <c r="C2" s="207"/>
      <c r="D2" s="208"/>
      <c r="E2" s="4" t="s">
        <v>2</v>
      </c>
      <c r="F2" s="209" t="str">
        <f>'[2]Set Up'!E9</f>
        <v>Wolfcamp Middle Beta</v>
      </c>
      <c r="G2" s="210"/>
      <c r="H2" s="5">
        <f>'[2]Set Up'!K15</f>
        <v>12139</v>
      </c>
      <c r="I2" s="6" t="str">
        <f>'[2]Set Up'!E15</f>
        <v>5-1/2"</v>
      </c>
      <c r="J2" s="7">
        <f>'[2]Set Up'!F15</f>
        <v>23</v>
      </c>
      <c r="K2" s="6" t="str">
        <f>'[2]Set Up'!H15</f>
        <v>P-110</v>
      </c>
      <c r="L2" s="204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8"/>
    </row>
    <row r="3" spans="1:78" x14ac:dyDescent="0.35">
      <c r="A3" s="3" t="s">
        <v>3</v>
      </c>
      <c r="B3" s="188" t="str">
        <f>'[2]Set Up'!E7</f>
        <v>Silvertip 76-7 Unit A 2H</v>
      </c>
      <c r="C3" s="207"/>
      <c r="D3" s="208"/>
      <c r="E3" s="4" t="s">
        <v>4</v>
      </c>
      <c r="F3" s="209" t="str">
        <f>'[2]Set Up'!J7</f>
        <v>2121762.CMP</v>
      </c>
      <c r="G3" s="210"/>
      <c r="H3" s="5">
        <f>'[2]Set Up'!K16</f>
        <v>11294</v>
      </c>
      <c r="I3" s="6" t="str">
        <f>'[2]Set Up'!E16</f>
        <v>4-1/2"</v>
      </c>
      <c r="J3" s="7">
        <f>'[2]Set Up'!F16</f>
        <v>13.5</v>
      </c>
      <c r="K3" s="6" t="str">
        <f>'[2]Set Up'!H16</f>
        <v>P-110</v>
      </c>
      <c r="L3" s="204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8"/>
    </row>
    <row r="4" spans="1:78" x14ac:dyDescent="0.35">
      <c r="A4" s="3" t="s">
        <v>5</v>
      </c>
      <c r="B4" s="188" t="str">
        <f>'[2]Set Up'!E6</f>
        <v>Allie Lay</v>
      </c>
      <c r="C4" s="207"/>
      <c r="D4" s="208"/>
      <c r="E4" s="4" t="s">
        <v>6</v>
      </c>
      <c r="F4" s="211">
        <f>'[2]Set Up'!R2</f>
        <v>12500</v>
      </c>
      <c r="G4" s="212"/>
      <c r="H4" s="5" t="str">
        <f>'[2]Set Up'!K17</f>
        <v/>
      </c>
      <c r="I4" s="6" t="str">
        <f>'[2]Set Up'!E17</f>
        <v/>
      </c>
      <c r="J4" s="7" t="str">
        <f>'[2]Set Up'!F17</f>
        <v/>
      </c>
      <c r="K4" s="6" t="str">
        <f>'[2]Set Up'!H17</f>
        <v/>
      </c>
      <c r="L4" s="204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9"/>
    </row>
    <row r="5" spans="1:78" x14ac:dyDescent="0.35">
      <c r="A5" s="3" t="s">
        <v>7</v>
      </c>
      <c r="B5" s="188" t="str">
        <f>'[2]Set Up'!E8</f>
        <v>Loving County, TX</v>
      </c>
      <c r="C5" s="207"/>
      <c r="D5" s="208"/>
      <c r="E5" s="10" t="s">
        <v>8</v>
      </c>
      <c r="F5" s="186" t="str">
        <f>'[2]Set Up'!R11</f>
        <v>53-Stage SW Plug &amp; Perf</v>
      </c>
      <c r="G5" s="187"/>
      <c r="H5" s="5" t="str">
        <f>'[2]Set Up'!K18</f>
        <v/>
      </c>
      <c r="I5" s="6" t="str">
        <f>'[2]Set Up'!E18</f>
        <v/>
      </c>
      <c r="J5" s="7" t="str">
        <f>'[2]Set Up'!F18</f>
        <v/>
      </c>
      <c r="K5" s="6" t="str">
        <f>'[2]Set Up'!H18</f>
        <v/>
      </c>
      <c r="L5" s="204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8"/>
    </row>
    <row r="6" spans="1:78" x14ac:dyDescent="0.35">
      <c r="A6" s="3" t="s">
        <v>9</v>
      </c>
      <c r="B6" s="188" t="str">
        <f>'[2]Set Up'!E10</f>
        <v>PumpCo 2</v>
      </c>
      <c r="C6" s="189"/>
      <c r="D6" s="189"/>
      <c r="E6" s="190"/>
      <c r="F6" s="191" t="str">
        <f>'[2]Set Up'!E11</f>
        <v>Odessa</v>
      </c>
      <c r="G6" s="192"/>
      <c r="H6" s="193"/>
      <c r="I6" s="191" t="str">
        <f>'[2]Set Up'!E12</f>
        <v>Julian Weaver/Jarvis Weaver</v>
      </c>
      <c r="J6" s="192"/>
      <c r="K6" s="193"/>
      <c r="L6" s="205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3"/>
    </row>
    <row r="7" spans="1:78" ht="15" thickBot="1" x14ac:dyDescent="0.4">
      <c r="A7" s="14" t="s">
        <v>10</v>
      </c>
      <c r="B7" s="15" t="s">
        <v>11</v>
      </c>
      <c r="C7" s="15">
        <v>1</v>
      </c>
      <c r="D7" s="15">
        <v>2</v>
      </c>
      <c r="E7" s="15">
        <v>3</v>
      </c>
      <c r="F7" s="16">
        <v>4</v>
      </c>
      <c r="G7" s="15">
        <v>5</v>
      </c>
      <c r="H7" s="15">
        <v>6</v>
      </c>
      <c r="I7" s="15">
        <v>7</v>
      </c>
      <c r="J7" s="15">
        <v>8</v>
      </c>
      <c r="K7" s="15">
        <v>9</v>
      </c>
      <c r="L7" s="15">
        <v>10</v>
      </c>
      <c r="M7" s="15">
        <v>11</v>
      </c>
      <c r="N7" s="15">
        <v>12</v>
      </c>
      <c r="O7" s="15">
        <v>13</v>
      </c>
      <c r="P7" s="15">
        <v>14</v>
      </c>
      <c r="Q7" s="15">
        <v>15</v>
      </c>
      <c r="R7" s="15">
        <v>16</v>
      </c>
      <c r="S7" s="15">
        <v>17</v>
      </c>
      <c r="T7" s="15">
        <v>18</v>
      </c>
      <c r="U7" s="15">
        <v>19</v>
      </c>
      <c r="V7" s="15">
        <v>20</v>
      </c>
      <c r="W7" s="15">
        <v>21</v>
      </c>
      <c r="X7" s="15">
        <v>22</v>
      </c>
      <c r="Y7" s="15">
        <v>23</v>
      </c>
      <c r="Z7" s="15">
        <v>24</v>
      </c>
      <c r="AA7" s="15">
        <v>25</v>
      </c>
      <c r="AB7" s="15">
        <v>26</v>
      </c>
      <c r="AC7" s="15">
        <v>27</v>
      </c>
      <c r="AD7" s="15">
        <v>28</v>
      </c>
      <c r="AE7" s="15">
        <v>29</v>
      </c>
      <c r="AF7" s="15">
        <v>30</v>
      </c>
      <c r="AG7" s="15">
        <v>31</v>
      </c>
      <c r="AH7" s="15">
        <v>32</v>
      </c>
      <c r="AI7" s="15">
        <v>33</v>
      </c>
      <c r="AJ7" s="15">
        <v>34</v>
      </c>
      <c r="AK7" s="15">
        <v>35</v>
      </c>
      <c r="AL7" s="15">
        <v>36</v>
      </c>
      <c r="AM7" s="15">
        <v>37</v>
      </c>
      <c r="AN7" s="15">
        <v>38</v>
      </c>
      <c r="AO7" s="15">
        <v>39</v>
      </c>
      <c r="AP7" s="15">
        <v>40</v>
      </c>
      <c r="AQ7" s="15">
        <v>41</v>
      </c>
      <c r="AR7" s="15">
        <v>42</v>
      </c>
      <c r="AS7" s="15">
        <v>43</v>
      </c>
      <c r="AT7" s="15">
        <v>44</v>
      </c>
      <c r="AU7" s="15">
        <v>45</v>
      </c>
      <c r="AV7" s="15">
        <v>46</v>
      </c>
      <c r="AW7" s="15">
        <v>47</v>
      </c>
      <c r="AX7" s="15">
        <v>48</v>
      </c>
      <c r="AY7" s="15">
        <v>49</v>
      </c>
      <c r="AZ7" s="15">
        <v>50</v>
      </c>
      <c r="BA7" s="15">
        <v>51</v>
      </c>
      <c r="BB7" s="15">
        <v>52</v>
      </c>
      <c r="BC7" s="15">
        <v>53</v>
      </c>
      <c r="BD7" s="15">
        <v>54</v>
      </c>
      <c r="BE7" s="15">
        <v>55</v>
      </c>
      <c r="BF7" s="15">
        <v>56</v>
      </c>
      <c r="BG7" s="15">
        <v>57</v>
      </c>
      <c r="BH7" s="15">
        <v>58</v>
      </c>
      <c r="BI7" s="15">
        <v>59</v>
      </c>
      <c r="BJ7" s="15">
        <v>60</v>
      </c>
      <c r="BK7" s="15">
        <v>61</v>
      </c>
      <c r="BL7" s="15">
        <v>62</v>
      </c>
      <c r="BM7" s="15">
        <v>63</v>
      </c>
      <c r="BN7" s="15">
        <v>64</v>
      </c>
      <c r="BO7" s="15">
        <v>65</v>
      </c>
      <c r="BP7" s="15">
        <v>66</v>
      </c>
      <c r="BQ7" s="15">
        <v>67</v>
      </c>
      <c r="BR7" s="15">
        <v>68</v>
      </c>
      <c r="BS7" s="15">
        <v>69</v>
      </c>
      <c r="BT7" s="15">
        <v>70</v>
      </c>
      <c r="BU7" s="15">
        <v>71</v>
      </c>
      <c r="BV7" s="15">
        <v>72</v>
      </c>
      <c r="BW7" s="15">
        <v>73</v>
      </c>
      <c r="BX7" s="15">
        <v>74</v>
      </c>
      <c r="BY7" s="15">
        <v>75</v>
      </c>
      <c r="BZ7" s="17" t="s">
        <v>12</v>
      </c>
    </row>
    <row r="8" spans="1:78" x14ac:dyDescent="0.35">
      <c r="A8" s="18" t="s">
        <v>13</v>
      </c>
      <c r="B8" s="194" t="s">
        <v>14</v>
      </c>
      <c r="C8" s="19">
        <f>'[2]Set Up'!$U$2</f>
        <v>23108</v>
      </c>
      <c r="D8" s="19">
        <f>'[2]Set Up'!$U$3</f>
        <v>22907</v>
      </c>
      <c r="E8" s="19">
        <f>'[2]Set Up'!$U$4</f>
        <v>22706</v>
      </c>
      <c r="F8" s="19">
        <f>'[2]Set Up'!$U$5</f>
        <v>22505</v>
      </c>
      <c r="G8" s="19">
        <f>'[2]Set Up'!$U$6</f>
        <v>22304</v>
      </c>
      <c r="H8" s="19">
        <f>'[2]Set Up'!$U$7</f>
        <v>22103</v>
      </c>
      <c r="I8" s="19">
        <f>'[2]Set Up'!$U$8</f>
        <v>21902</v>
      </c>
      <c r="J8" s="19">
        <f>'[2]Set Up'!$U$9</f>
        <v>21701</v>
      </c>
      <c r="K8" s="19">
        <f>'[2]Set Up'!$U$10</f>
        <v>21500</v>
      </c>
      <c r="L8" s="19">
        <f>'[2]Set Up'!$U$11</f>
        <v>21299</v>
      </c>
      <c r="M8" s="19">
        <f>'[2]Set Up'!$U$12</f>
        <v>21099</v>
      </c>
      <c r="N8" s="19">
        <f>'[2]Set Up'!$U$13</f>
        <v>20898</v>
      </c>
      <c r="O8" s="19">
        <f>'[2]Set Up'!$U$14</f>
        <v>20697</v>
      </c>
      <c r="P8" s="19">
        <f>'[2]Set Up'!$U$15</f>
        <v>20496</v>
      </c>
      <c r="Q8" s="19">
        <f>'[2]Set Up'!$U$16</f>
        <v>20295</v>
      </c>
      <c r="R8" s="19">
        <f>'[2]Set Up'!$U$17</f>
        <v>20094</v>
      </c>
      <c r="S8" s="19">
        <f>'[2]Set Up'!$U$18</f>
        <v>19893</v>
      </c>
      <c r="T8" s="19">
        <f>'[2]Set Up'!$U$19</f>
        <v>19692</v>
      </c>
      <c r="U8" s="19">
        <f>'[2]Set Up'!$U$20</f>
        <v>19491</v>
      </c>
      <c r="V8" s="19">
        <f>'[2]Set Up'!$U$21</f>
        <v>19290</v>
      </c>
      <c r="W8" s="19">
        <f>'[2]Set Up'!$U$22</f>
        <v>19089</v>
      </c>
      <c r="X8" s="19">
        <f>'[2]Set Up'!$U$23</f>
        <v>18888</v>
      </c>
      <c r="Y8" s="19">
        <f>'[2]Set Up'!$U$24</f>
        <v>18687</v>
      </c>
      <c r="Z8" s="19">
        <f>'[2]Set Up'!$U$25</f>
        <v>18486</v>
      </c>
      <c r="AA8" s="19">
        <f>'[2]Set Up'!$U$26</f>
        <v>18285</v>
      </c>
      <c r="AB8" s="19">
        <f>'[2]Set Up'!$U$27</f>
        <v>18084</v>
      </c>
      <c r="AC8" s="19">
        <f>'[2]Set Up'!$U$28</f>
        <v>17883</v>
      </c>
      <c r="AD8" s="19">
        <f>'[2]Set Up'!$U$29</f>
        <v>17682</v>
      </c>
      <c r="AE8" s="19">
        <f>'[2]Set Up'!$U$30</f>
        <v>17481</v>
      </c>
      <c r="AF8" s="19">
        <f>'[2]Set Up'!$U$31</f>
        <v>17280</v>
      </c>
      <c r="AG8" s="19">
        <f>'[2]Set Up'!$U$32</f>
        <v>17079</v>
      </c>
      <c r="AH8" s="19">
        <f>'[2]Set Up'!$U$33</f>
        <v>16878</v>
      </c>
      <c r="AI8" s="19">
        <f>'[2]Set Up'!$U$34</f>
        <v>16677</v>
      </c>
      <c r="AJ8" s="19">
        <f>'[2]Set Up'!$U$35</f>
        <v>16476</v>
      </c>
      <c r="AK8" s="19">
        <f>'[2]Set Up'!$U$36</f>
        <v>16275</v>
      </c>
      <c r="AL8" s="19">
        <f>'[2]Set Up'!$U$37</f>
        <v>16074</v>
      </c>
      <c r="AM8" s="19">
        <f>'[2]Set Up'!$U$38</f>
        <v>15873</v>
      </c>
      <c r="AN8" s="19">
        <f>'[2]Set Up'!$U$39</f>
        <v>15672</v>
      </c>
      <c r="AO8" s="19">
        <f>'[2]Set Up'!$U$40</f>
        <v>15471</v>
      </c>
      <c r="AP8" s="19">
        <f>'[2]Set Up'!$U$41</f>
        <v>15270</v>
      </c>
      <c r="AQ8" s="19">
        <f>'[2]Set Up'!$U$42</f>
        <v>15069</v>
      </c>
      <c r="AR8" s="19">
        <f>'[2]Set Up'!$U$43</f>
        <v>14868</v>
      </c>
      <c r="AS8" s="19">
        <f>'[2]Set Up'!$U$44</f>
        <v>14667</v>
      </c>
      <c r="AT8" s="19">
        <f>'[2]Set Up'!$U$45</f>
        <v>14467</v>
      </c>
      <c r="AU8" s="19">
        <f>'[2]Set Up'!$U$46</f>
        <v>14266</v>
      </c>
      <c r="AV8" s="19">
        <f>'[2]Set Up'!$U$47</f>
        <v>14065</v>
      </c>
      <c r="AW8" s="19">
        <f>'[2]Set Up'!$U$48</f>
        <v>13864</v>
      </c>
      <c r="AX8" s="19">
        <f>'[2]Set Up'!$U$49</f>
        <v>13663</v>
      </c>
      <c r="AY8" s="19">
        <f>'[2]Set Up'!$U$50</f>
        <v>13462</v>
      </c>
      <c r="AZ8" s="19">
        <f>'[2]Set Up'!$U$51</f>
        <v>13261</v>
      </c>
      <c r="BA8" s="19">
        <f>'[2]Set Up'!$U$52</f>
        <v>13060</v>
      </c>
      <c r="BB8" s="19">
        <f>'[2]Set Up'!$U$53</f>
        <v>12859</v>
      </c>
      <c r="BC8" s="19">
        <f>'[2]Set Up'!$U$54</f>
        <v>12658</v>
      </c>
      <c r="BD8" s="19">
        <f>'[2]Set Up'!$U$55</f>
        <v>0</v>
      </c>
      <c r="BE8" s="19">
        <f>'[2]Set Up'!$U$56</f>
        <v>0</v>
      </c>
      <c r="BF8" s="19">
        <f>'[2]Set Up'!$U$57</f>
        <v>0</v>
      </c>
      <c r="BG8" s="19">
        <f>'[2]Set Up'!$U$58</f>
        <v>0</v>
      </c>
      <c r="BH8" s="19">
        <f>'[2]Set Up'!$U$59</f>
        <v>0</v>
      </c>
      <c r="BI8" s="19">
        <f>'[2]Set Up'!$U$60</f>
        <v>0</v>
      </c>
      <c r="BJ8" s="19">
        <f>'[2]Set Up'!$U$61</f>
        <v>0</v>
      </c>
      <c r="BK8" s="19">
        <f>'[2]Set Up'!$U$62</f>
        <v>0</v>
      </c>
      <c r="BL8" s="19">
        <f>'[2]Set Up'!$U$63</f>
        <v>0</v>
      </c>
      <c r="BM8" s="19">
        <f>'[2]Set Up'!$U$64</f>
        <v>0</v>
      </c>
      <c r="BN8" s="19">
        <f>'[2]Set Up'!$U$65</f>
        <v>0</v>
      </c>
      <c r="BO8" s="19">
        <f>'[2]Set Up'!$U$66</f>
        <v>0</v>
      </c>
      <c r="BP8" s="19">
        <f>'[2]Set Up'!$U$67</f>
        <v>0</v>
      </c>
      <c r="BQ8" s="19">
        <f>'[2]Set Up'!$U$68</f>
        <v>0</v>
      </c>
      <c r="BR8" s="19">
        <f>'[2]Set Up'!$U$69</f>
        <v>0</v>
      </c>
      <c r="BS8" s="19">
        <f>'[2]Set Up'!$U$70</f>
        <v>0</v>
      </c>
      <c r="BT8" s="19">
        <f>'[2]Set Up'!$U$71</f>
        <v>0</v>
      </c>
      <c r="BU8" s="19">
        <f>'[2]Set Up'!$U$72</f>
        <v>0</v>
      </c>
      <c r="BV8" s="19">
        <f>'[2]Set Up'!$U$73</f>
        <v>0</v>
      </c>
      <c r="BW8" s="19">
        <f>'[2]Set Up'!$U$74</f>
        <v>0</v>
      </c>
      <c r="BX8" s="19">
        <f>'[2]Set Up'!$U$75</f>
        <v>0</v>
      </c>
      <c r="BY8" s="19">
        <f>'[2]Set Up'!$U$76</f>
        <v>0</v>
      </c>
      <c r="BZ8" s="8"/>
    </row>
    <row r="9" spans="1:78" x14ac:dyDescent="0.35">
      <c r="A9" s="20" t="s">
        <v>15</v>
      </c>
      <c r="B9" s="195"/>
      <c r="C9" s="21">
        <f>'[2]Set Up'!$V2</f>
        <v>23270</v>
      </c>
      <c r="D9" s="21">
        <f>'[2]Set Up'!$V3</f>
        <v>23069</v>
      </c>
      <c r="E9" s="21">
        <f>'[2]Set Up'!$V4</f>
        <v>22868</v>
      </c>
      <c r="F9" s="21">
        <f>'[2]Set Up'!$V5</f>
        <v>22667</v>
      </c>
      <c r="G9" s="21">
        <f>'[2]Set Up'!$V6</f>
        <v>22466</v>
      </c>
      <c r="H9" s="21">
        <f>'[2]Set Up'!$V7</f>
        <v>22265</v>
      </c>
      <c r="I9" s="21">
        <f>'[2]Set Up'!$V8</f>
        <v>22064</v>
      </c>
      <c r="J9" s="21">
        <f>'[2]Set Up'!$V9</f>
        <v>21863</v>
      </c>
      <c r="K9" s="21">
        <f>'[2]Set Up'!$V10</f>
        <v>21662</v>
      </c>
      <c r="L9" s="21">
        <f>'[2]Set Up'!$V11</f>
        <v>21461</v>
      </c>
      <c r="M9" s="21">
        <f>'[2]Set Up'!$V12</f>
        <v>21260</v>
      </c>
      <c r="N9" s="21">
        <f>'[2]Set Up'!$V13</f>
        <v>21060</v>
      </c>
      <c r="O9" s="21">
        <f>'[2]Set Up'!$V14</f>
        <v>20859</v>
      </c>
      <c r="P9" s="21">
        <f>'[2]Set Up'!$V15</f>
        <v>20658</v>
      </c>
      <c r="Q9" s="21">
        <f>'[2]Set Up'!$V16</f>
        <v>20457</v>
      </c>
      <c r="R9" s="21">
        <f>'[2]Set Up'!$V17</f>
        <v>20256</v>
      </c>
      <c r="S9" s="21">
        <f>'[2]Set Up'!$V18</f>
        <v>20055</v>
      </c>
      <c r="T9" s="21">
        <f>'[2]Set Up'!$V19</f>
        <v>19854</v>
      </c>
      <c r="U9" s="21">
        <f>'[2]Set Up'!$V20</f>
        <v>19653</v>
      </c>
      <c r="V9" s="21">
        <f>'[2]Set Up'!$V21</f>
        <v>19452</v>
      </c>
      <c r="W9" s="21">
        <f>'[2]Set Up'!$V22</f>
        <v>19251</v>
      </c>
      <c r="X9" s="21">
        <f>'[2]Set Up'!$V23</f>
        <v>19050</v>
      </c>
      <c r="Y9" s="21">
        <f>'[2]Set Up'!$V24</f>
        <v>18849</v>
      </c>
      <c r="Z9" s="21">
        <f>'[2]Set Up'!$V25</f>
        <v>18648</v>
      </c>
      <c r="AA9" s="21">
        <f>'[2]Set Up'!$V26</f>
        <v>18447</v>
      </c>
      <c r="AB9" s="21">
        <f>'[2]Set Up'!$V27</f>
        <v>18246</v>
      </c>
      <c r="AC9" s="21">
        <f>'[2]Set Up'!$V28</f>
        <v>18045</v>
      </c>
      <c r="AD9" s="21">
        <f>'[2]Set Up'!$V29</f>
        <v>17844</v>
      </c>
      <c r="AE9" s="21">
        <f>'[2]Set Up'!$V30</f>
        <v>17643</v>
      </c>
      <c r="AF9" s="21">
        <f>'[2]Set Up'!$V31</f>
        <v>17442</v>
      </c>
      <c r="AG9" s="21">
        <f>'[2]Set Up'!$V32</f>
        <v>17241</v>
      </c>
      <c r="AH9" s="21">
        <f>'[2]Set Up'!$V33</f>
        <v>17040</v>
      </c>
      <c r="AI9" s="21">
        <f>'[2]Set Up'!$V34</f>
        <v>16839</v>
      </c>
      <c r="AJ9" s="21">
        <f>'[2]Set Up'!$V35</f>
        <v>16638</v>
      </c>
      <c r="AK9" s="21">
        <f>'[2]Set Up'!$V36</f>
        <v>16437</v>
      </c>
      <c r="AL9" s="21">
        <f>'[2]Set Up'!$V37</f>
        <v>16236</v>
      </c>
      <c r="AM9" s="21">
        <f>'[2]Set Up'!$V38</f>
        <v>16035</v>
      </c>
      <c r="AN9" s="21">
        <f>'[2]Set Up'!$V39</f>
        <v>15834</v>
      </c>
      <c r="AO9" s="21">
        <f>'[2]Set Up'!$V40</f>
        <v>15633</v>
      </c>
      <c r="AP9" s="21">
        <f>'[2]Set Up'!$V41</f>
        <v>15432</v>
      </c>
      <c r="AQ9" s="21">
        <f>'[2]Set Up'!$V42</f>
        <v>15231</v>
      </c>
      <c r="AR9" s="21">
        <f>'[2]Set Up'!$V43</f>
        <v>15030</v>
      </c>
      <c r="AS9" s="21">
        <f>'[2]Set Up'!$V44</f>
        <v>14829</v>
      </c>
      <c r="AT9" s="21">
        <f>'[2]Set Up'!$V45</f>
        <v>14628</v>
      </c>
      <c r="AU9" s="21">
        <f>'[2]Set Up'!$V46</f>
        <v>14428</v>
      </c>
      <c r="AV9" s="21">
        <f>'[2]Set Up'!$V47</f>
        <v>14227</v>
      </c>
      <c r="AW9" s="21">
        <f>'[2]Set Up'!$V48</f>
        <v>14026</v>
      </c>
      <c r="AX9" s="21">
        <f>'[2]Set Up'!$V49</f>
        <v>13825</v>
      </c>
      <c r="AY9" s="21">
        <f>'[2]Set Up'!$V50</f>
        <v>13624</v>
      </c>
      <c r="AZ9" s="21">
        <f>'[2]Set Up'!$V51</f>
        <v>13423</v>
      </c>
      <c r="BA9" s="21">
        <f>'[2]Set Up'!$V52</f>
        <v>13222</v>
      </c>
      <c r="BB9" s="21">
        <f>'[2]Set Up'!$V53</f>
        <v>13021</v>
      </c>
      <c r="BC9" s="21">
        <f>'[2]Set Up'!$V54</f>
        <v>12820</v>
      </c>
      <c r="BD9" s="21">
        <f>'[2]Set Up'!$V55</f>
        <v>0</v>
      </c>
      <c r="BE9" s="21">
        <f>'[2]Set Up'!$V56</f>
        <v>0</v>
      </c>
      <c r="BF9" s="21">
        <f>'[2]Set Up'!$V57</f>
        <v>0</v>
      </c>
      <c r="BG9" s="21">
        <f>'[2]Set Up'!$V58</f>
        <v>0</v>
      </c>
      <c r="BH9" s="21">
        <f>'[2]Set Up'!$V59</f>
        <v>0</v>
      </c>
      <c r="BI9" s="21">
        <f>'[2]Set Up'!$V60</f>
        <v>0</v>
      </c>
      <c r="BJ9" s="21">
        <f>'[2]Set Up'!$V61</f>
        <v>0</v>
      </c>
      <c r="BK9" s="21">
        <f>'[2]Set Up'!$V62</f>
        <v>0</v>
      </c>
      <c r="BL9" s="21">
        <f>'[2]Set Up'!$V63</f>
        <v>0</v>
      </c>
      <c r="BM9" s="21">
        <f>'[2]Set Up'!$V64</f>
        <v>0</v>
      </c>
      <c r="BN9" s="21">
        <f>'[2]Set Up'!$V65</f>
        <v>0</v>
      </c>
      <c r="BO9" s="21">
        <f>'[2]Set Up'!$V66</f>
        <v>0</v>
      </c>
      <c r="BP9" s="21">
        <f>'[2]Set Up'!$V67</f>
        <v>0</v>
      </c>
      <c r="BQ9" s="21">
        <f>'[2]Set Up'!$V68</f>
        <v>0</v>
      </c>
      <c r="BR9" s="21">
        <f>'[2]Set Up'!$V69</f>
        <v>0</v>
      </c>
      <c r="BS9" s="21">
        <f>'[2]Set Up'!$V70</f>
        <v>0</v>
      </c>
      <c r="BT9" s="21">
        <f>'[2]Set Up'!$V71</f>
        <v>0</v>
      </c>
      <c r="BU9" s="21">
        <f>'[2]Set Up'!$V72</f>
        <v>0</v>
      </c>
      <c r="BV9" s="21">
        <f>'[2]Set Up'!$V73</f>
        <v>0</v>
      </c>
      <c r="BW9" s="21">
        <f>'[2]Set Up'!$V74</f>
        <v>0</v>
      </c>
      <c r="BX9" s="21">
        <f>'[2]Set Up'!$V75</f>
        <v>0</v>
      </c>
      <c r="BY9" s="21">
        <f>'[2]Set Up'!$V76</f>
        <v>0</v>
      </c>
      <c r="BZ9" s="8"/>
    </row>
    <row r="10" spans="1:78" ht="15" thickBot="1" x14ac:dyDescent="0.4">
      <c r="A10" s="22" t="s">
        <v>16</v>
      </c>
      <c r="B10" s="195"/>
      <c r="C10" s="23">
        <f>'[2]Set Up'!$W2</f>
        <v>24</v>
      </c>
      <c r="D10" s="23">
        <f>'[2]Set Up'!$W3</f>
        <v>24</v>
      </c>
      <c r="E10" s="23">
        <f>'[2]Set Up'!$W4</f>
        <v>24</v>
      </c>
      <c r="F10" s="23">
        <f>'[2]Set Up'!$W5</f>
        <v>24</v>
      </c>
      <c r="G10" s="23">
        <f>'[2]Set Up'!$W6</f>
        <v>24</v>
      </c>
      <c r="H10" s="23">
        <f>'[2]Set Up'!$W7</f>
        <v>24</v>
      </c>
      <c r="I10" s="23">
        <f>'[2]Set Up'!$W8</f>
        <v>24</v>
      </c>
      <c r="J10" s="23">
        <f>'[2]Set Up'!$W9</f>
        <v>24</v>
      </c>
      <c r="K10" s="23">
        <f>'[2]Set Up'!$W10</f>
        <v>24</v>
      </c>
      <c r="L10" s="23">
        <f>'[2]Set Up'!$W11</f>
        <v>24</v>
      </c>
      <c r="M10" s="23">
        <f>'[2]Set Up'!$W12</f>
        <v>24</v>
      </c>
      <c r="N10" s="23">
        <f>'[2]Set Up'!$W13</f>
        <v>24</v>
      </c>
      <c r="O10" s="23">
        <f>'[2]Set Up'!$W14</f>
        <v>24</v>
      </c>
      <c r="P10" s="23">
        <f>'[2]Set Up'!$W15</f>
        <v>24</v>
      </c>
      <c r="Q10" s="23">
        <f>'[2]Set Up'!$W16</f>
        <v>24</v>
      </c>
      <c r="R10" s="23">
        <f>'[2]Set Up'!$W17</f>
        <v>24</v>
      </c>
      <c r="S10" s="23">
        <f>'[2]Set Up'!$W18</f>
        <v>24</v>
      </c>
      <c r="T10" s="23">
        <f>'[2]Set Up'!$W19</f>
        <v>24</v>
      </c>
      <c r="U10" s="23">
        <f>'[2]Set Up'!$W20</f>
        <v>24</v>
      </c>
      <c r="V10" s="23">
        <f>'[2]Set Up'!$W21</f>
        <v>24</v>
      </c>
      <c r="W10" s="23">
        <f>'[2]Set Up'!$W22</f>
        <v>24</v>
      </c>
      <c r="X10" s="23">
        <f>'[2]Set Up'!$W23</f>
        <v>24</v>
      </c>
      <c r="Y10" s="23">
        <f>'[2]Set Up'!$W24</f>
        <v>24</v>
      </c>
      <c r="Z10" s="23">
        <f>'[2]Set Up'!$W25</f>
        <v>24</v>
      </c>
      <c r="AA10" s="23">
        <f>'[2]Set Up'!$W26</f>
        <v>24</v>
      </c>
      <c r="AB10" s="23">
        <f>'[2]Set Up'!$W27</f>
        <v>24</v>
      </c>
      <c r="AC10" s="23">
        <f>'[2]Set Up'!$W28</f>
        <v>24</v>
      </c>
      <c r="AD10" s="23">
        <f>'[2]Set Up'!$W29</f>
        <v>24</v>
      </c>
      <c r="AE10" s="23">
        <f>'[2]Set Up'!$W30</f>
        <v>24</v>
      </c>
      <c r="AF10" s="23">
        <f>'[2]Set Up'!$W31</f>
        <v>24</v>
      </c>
      <c r="AG10" s="23">
        <f>'[2]Set Up'!$W32</f>
        <v>24</v>
      </c>
      <c r="AH10" s="23">
        <f>'[2]Set Up'!$W33</f>
        <v>24</v>
      </c>
      <c r="AI10" s="23">
        <f>'[2]Set Up'!$W34</f>
        <v>24</v>
      </c>
      <c r="AJ10" s="23">
        <f>'[2]Set Up'!$W35</f>
        <v>24</v>
      </c>
      <c r="AK10" s="23">
        <f>'[2]Set Up'!$W36</f>
        <v>24</v>
      </c>
      <c r="AL10" s="23">
        <f>'[2]Set Up'!$W37</f>
        <v>24</v>
      </c>
      <c r="AM10" s="23">
        <f>'[2]Set Up'!$W38</f>
        <v>24</v>
      </c>
      <c r="AN10" s="23">
        <f>'[2]Set Up'!$W39</f>
        <v>24</v>
      </c>
      <c r="AO10" s="23">
        <f>'[2]Set Up'!$W40</f>
        <v>24</v>
      </c>
      <c r="AP10" s="23">
        <f>'[2]Set Up'!$W41</f>
        <v>24</v>
      </c>
      <c r="AQ10" s="23">
        <f>'[2]Set Up'!$W42</f>
        <v>24</v>
      </c>
      <c r="AR10" s="23">
        <f>'[2]Set Up'!$W43</f>
        <v>24</v>
      </c>
      <c r="AS10" s="23">
        <f>'[2]Set Up'!$W44</f>
        <v>24</v>
      </c>
      <c r="AT10" s="23">
        <f>'[2]Set Up'!$W45</f>
        <v>24</v>
      </c>
      <c r="AU10" s="23">
        <f>'[2]Set Up'!$W46</f>
        <v>24</v>
      </c>
      <c r="AV10" s="23">
        <f>'[2]Set Up'!$W47</f>
        <v>24</v>
      </c>
      <c r="AW10" s="23">
        <f>'[2]Set Up'!$W48</f>
        <v>24</v>
      </c>
      <c r="AX10" s="23">
        <f>'[2]Set Up'!$W49</f>
        <v>24</v>
      </c>
      <c r="AY10" s="23">
        <f>'[2]Set Up'!$W50</f>
        <v>24</v>
      </c>
      <c r="AZ10" s="23">
        <f>'[2]Set Up'!$W51</f>
        <v>24</v>
      </c>
      <c r="BA10" s="23">
        <f>'[2]Set Up'!$W52</f>
        <v>24</v>
      </c>
      <c r="BB10" s="23">
        <f>'[2]Set Up'!$W53</f>
        <v>24</v>
      </c>
      <c r="BC10" s="23">
        <f>'[2]Set Up'!$W54</f>
        <v>24</v>
      </c>
      <c r="BD10" s="23">
        <f>'[2]Set Up'!$W55</f>
        <v>0</v>
      </c>
      <c r="BE10" s="23">
        <f>'[2]Set Up'!$W56</f>
        <v>0</v>
      </c>
      <c r="BF10" s="23">
        <f>'[2]Set Up'!$W57</f>
        <v>0</v>
      </c>
      <c r="BG10" s="23">
        <f>'[2]Set Up'!$W58</f>
        <v>0</v>
      </c>
      <c r="BH10" s="23">
        <f>'[2]Set Up'!$W59</f>
        <v>0</v>
      </c>
      <c r="BI10" s="23">
        <f>'[2]Set Up'!$W60</f>
        <v>0</v>
      </c>
      <c r="BJ10" s="23">
        <f>'[2]Set Up'!$W61</f>
        <v>0</v>
      </c>
      <c r="BK10" s="23">
        <f>'[2]Set Up'!$W62</f>
        <v>0</v>
      </c>
      <c r="BL10" s="23">
        <f>'[2]Set Up'!$W63</f>
        <v>0</v>
      </c>
      <c r="BM10" s="23">
        <f>'[2]Set Up'!$W64</f>
        <v>0</v>
      </c>
      <c r="BN10" s="23">
        <f>'[2]Set Up'!$W65</f>
        <v>0</v>
      </c>
      <c r="BO10" s="23">
        <f>'[2]Set Up'!$W66</f>
        <v>0</v>
      </c>
      <c r="BP10" s="23">
        <f>'[2]Set Up'!$W67</f>
        <v>0</v>
      </c>
      <c r="BQ10" s="23">
        <f>'[2]Set Up'!$W68</f>
        <v>0</v>
      </c>
      <c r="BR10" s="23">
        <f>'[2]Set Up'!$W69</f>
        <v>0</v>
      </c>
      <c r="BS10" s="23">
        <f>'[2]Set Up'!$W70</f>
        <v>0</v>
      </c>
      <c r="BT10" s="23">
        <f>'[2]Set Up'!$W71</f>
        <v>0</v>
      </c>
      <c r="BU10" s="23">
        <f>'[2]Set Up'!$W72</f>
        <v>0</v>
      </c>
      <c r="BV10" s="23">
        <f>'[2]Set Up'!$W73</f>
        <v>0</v>
      </c>
      <c r="BW10" s="23">
        <f>'[2]Set Up'!$W74</f>
        <v>0</v>
      </c>
      <c r="BX10" s="23">
        <f>'[2]Set Up'!$W75</f>
        <v>0</v>
      </c>
      <c r="BY10" s="23">
        <f>'[2]Set Up'!$W76</f>
        <v>0</v>
      </c>
      <c r="BZ10" s="8"/>
    </row>
    <row r="11" spans="1:78" x14ac:dyDescent="0.35">
      <c r="A11" s="18" t="s">
        <v>17</v>
      </c>
      <c r="B11" s="195"/>
      <c r="C11" s="19">
        <f>'[2]Set Up'!$X2</f>
        <v>23289</v>
      </c>
      <c r="D11" s="19">
        <f>'[2]Set Up'!$X3</f>
        <v>23088</v>
      </c>
      <c r="E11" s="19">
        <f>'[2]Set Up'!$X4</f>
        <v>22887</v>
      </c>
      <c r="F11" s="19">
        <f>'[2]Set Up'!$X5</f>
        <v>22686</v>
      </c>
      <c r="G11" s="19">
        <f>'[2]Set Up'!$X6</f>
        <v>22485</v>
      </c>
      <c r="H11" s="19">
        <f>'[2]Set Up'!$X7</f>
        <v>22284</v>
      </c>
      <c r="I11" s="19">
        <f>'[2]Set Up'!$X8</f>
        <v>22083</v>
      </c>
      <c r="J11" s="19">
        <f>'[2]Set Up'!$X9</f>
        <v>21882</v>
      </c>
      <c r="K11" s="19">
        <f>'[2]Set Up'!$X10</f>
        <v>21681</v>
      </c>
      <c r="L11" s="19">
        <f>'[2]Set Up'!$X11</f>
        <v>21480</v>
      </c>
      <c r="M11" s="19">
        <f>'[2]Set Up'!$X12</f>
        <v>21279</v>
      </c>
      <c r="N11" s="19">
        <f>'[2]Set Up'!$X13</f>
        <v>21079</v>
      </c>
      <c r="O11" s="19">
        <f>'[2]Set Up'!$X14</f>
        <v>20878</v>
      </c>
      <c r="P11" s="19">
        <f>'[2]Set Up'!$X15</f>
        <v>20677</v>
      </c>
      <c r="Q11" s="19">
        <f>'[2]Set Up'!$X16</f>
        <v>20476</v>
      </c>
      <c r="R11" s="19">
        <f>'[2]Set Up'!$X17</f>
        <v>20275</v>
      </c>
      <c r="S11" s="19">
        <f>'[2]Set Up'!$X18</f>
        <v>20074</v>
      </c>
      <c r="T11" s="19">
        <f>'[2]Set Up'!$X19</f>
        <v>19873</v>
      </c>
      <c r="U11" s="19">
        <f>'[2]Set Up'!$X20</f>
        <v>19672</v>
      </c>
      <c r="V11" s="19">
        <f>'[2]Set Up'!$X21</f>
        <v>19471</v>
      </c>
      <c r="W11" s="19">
        <f>'[2]Set Up'!$X22</f>
        <v>19270</v>
      </c>
      <c r="X11" s="19">
        <f>'[2]Set Up'!$X23</f>
        <v>19069</v>
      </c>
      <c r="Y11" s="19">
        <f>'[2]Set Up'!$X24</f>
        <v>18868</v>
      </c>
      <c r="Z11" s="19">
        <f>'[2]Set Up'!$X25</f>
        <v>18667</v>
      </c>
      <c r="AA11" s="19">
        <f>'[2]Set Up'!$X26</f>
        <v>18466</v>
      </c>
      <c r="AB11" s="19">
        <f>'[2]Set Up'!$X27</f>
        <v>18265</v>
      </c>
      <c r="AC11" s="19">
        <f>'[2]Set Up'!$X28</f>
        <v>18064</v>
      </c>
      <c r="AD11" s="19">
        <f>'[2]Set Up'!$X29</f>
        <v>17863</v>
      </c>
      <c r="AE11" s="19">
        <f>'[2]Set Up'!$X30</f>
        <v>17662</v>
      </c>
      <c r="AF11" s="19">
        <f>'[2]Set Up'!$X31</f>
        <v>17461</v>
      </c>
      <c r="AG11" s="19">
        <f>'[2]Set Up'!$X32</f>
        <v>17260</v>
      </c>
      <c r="AH11" s="19">
        <f>'[2]Set Up'!$X33</f>
        <v>17059</v>
      </c>
      <c r="AI11" s="19">
        <f>'[2]Set Up'!$X34</f>
        <v>16858</v>
      </c>
      <c r="AJ11" s="19">
        <f>'[2]Set Up'!$X35</f>
        <v>16657</v>
      </c>
      <c r="AK11" s="19">
        <f>'[2]Set Up'!$X36</f>
        <v>16456</v>
      </c>
      <c r="AL11" s="19">
        <f>'[2]Set Up'!$X37</f>
        <v>16255</v>
      </c>
      <c r="AM11" s="19">
        <f>'[2]Set Up'!$X38</f>
        <v>16054</v>
      </c>
      <c r="AN11" s="19">
        <f>'[2]Set Up'!$X39</f>
        <v>15853</v>
      </c>
      <c r="AO11" s="19">
        <f>'[2]Set Up'!$X40</f>
        <v>15652</v>
      </c>
      <c r="AP11" s="19">
        <f>'[2]Set Up'!$X41</f>
        <v>15451</v>
      </c>
      <c r="AQ11" s="19">
        <f>'[2]Set Up'!$X42</f>
        <v>15250</v>
      </c>
      <c r="AR11" s="19">
        <f>'[2]Set Up'!$X43</f>
        <v>15049</v>
      </c>
      <c r="AS11" s="19">
        <f>'[2]Set Up'!$X44</f>
        <v>14848</v>
      </c>
      <c r="AT11" s="19">
        <f>'[2]Set Up'!$X45</f>
        <v>14647</v>
      </c>
      <c r="AU11" s="19">
        <f>'[2]Set Up'!$X46</f>
        <v>14447</v>
      </c>
      <c r="AV11" s="19">
        <f>'[2]Set Up'!$X47</f>
        <v>14246</v>
      </c>
      <c r="AW11" s="19">
        <f>'[2]Set Up'!$X48</f>
        <v>14045</v>
      </c>
      <c r="AX11" s="19">
        <f>'[2]Set Up'!$X49</f>
        <v>13844</v>
      </c>
      <c r="AY11" s="19">
        <f>'[2]Set Up'!$X50</f>
        <v>13643</v>
      </c>
      <c r="AZ11" s="19">
        <f>'[2]Set Up'!$X51</f>
        <v>13442</v>
      </c>
      <c r="BA11" s="19">
        <f>'[2]Set Up'!$X52</f>
        <v>13241</v>
      </c>
      <c r="BB11" s="19">
        <f>'[2]Set Up'!$X53</f>
        <v>13040</v>
      </c>
      <c r="BC11" s="19">
        <f>'[2]Set Up'!$X54</f>
        <v>12839</v>
      </c>
      <c r="BD11" s="19">
        <f>'[2]Set Up'!$X55</f>
        <v>0</v>
      </c>
      <c r="BE11" s="19">
        <f>'[2]Set Up'!$X56</f>
        <v>0</v>
      </c>
      <c r="BF11" s="19">
        <f>'[2]Set Up'!$X57</f>
        <v>0</v>
      </c>
      <c r="BG11" s="19">
        <f>'[2]Set Up'!$X58</f>
        <v>0</v>
      </c>
      <c r="BH11" s="19">
        <f>'[2]Set Up'!$X59</f>
        <v>0</v>
      </c>
      <c r="BI11" s="19">
        <f>'[2]Set Up'!$X60</f>
        <v>0</v>
      </c>
      <c r="BJ11" s="19">
        <f>'[2]Set Up'!$X61</f>
        <v>0</v>
      </c>
      <c r="BK11" s="19">
        <f>'[2]Set Up'!$X62</f>
        <v>0</v>
      </c>
      <c r="BL11" s="19">
        <f>'[2]Set Up'!$X63</f>
        <v>0</v>
      </c>
      <c r="BM11" s="19">
        <f>'[2]Set Up'!$X64</f>
        <v>0</v>
      </c>
      <c r="BN11" s="19">
        <f>'[2]Set Up'!$X65</f>
        <v>0</v>
      </c>
      <c r="BO11" s="19">
        <f>'[2]Set Up'!$X66</f>
        <v>0</v>
      </c>
      <c r="BP11" s="19">
        <f>'[2]Set Up'!$X67</f>
        <v>0</v>
      </c>
      <c r="BQ11" s="19">
        <f>'[2]Set Up'!$X68</f>
        <v>0</v>
      </c>
      <c r="BR11" s="19">
        <f>'[2]Set Up'!$X69</f>
        <v>0</v>
      </c>
      <c r="BS11" s="19">
        <f>'[2]Set Up'!$X70</f>
        <v>0</v>
      </c>
      <c r="BT11" s="19">
        <f>'[2]Set Up'!$X71</f>
        <v>0</v>
      </c>
      <c r="BU11" s="19">
        <f>'[2]Set Up'!$X72</f>
        <v>0</v>
      </c>
      <c r="BV11" s="19">
        <f>'[2]Set Up'!$X73</f>
        <v>0</v>
      </c>
      <c r="BW11" s="19">
        <f>'[2]Set Up'!$X74</f>
        <v>0</v>
      </c>
      <c r="BX11" s="19">
        <f>'[2]Set Up'!$X75</f>
        <v>0</v>
      </c>
      <c r="BY11" s="19">
        <f>'[2]Set Up'!$X76</f>
        <v>0</v>
      </c>
      <c r="BZ11" s="8"/>
    </row>
    <row r="12" spans="1:78" ht="15" thickBot="1" x14ac:dyDescent="0.4">
      <c r="A12" s="20" t="s">
        <v>18</v>
      </c>
      <c r="B12" s="195"/>
      <c r="C12" s="24">
        <f>'[2]Set Up'!$AA2</f>
        <v>12440</v>
      </c>
      <c r="D12" s="24">
        <f>'[2]Set Up'!$AA3</f>
        <v>12439</v>
      </c>
      <c r="E12" s="24">
        <f>'[2]Set Up'!$AA4</f>
        <v>12435</v>
      </c>
      <c r="F12" s="24">
        <f>'[2]Set Up'!$AA5</f>
        <v>12437</v>
      </c>
      <c r="G12" s="24">
        <f>'[2]Set Up'!$AA6</f>
        <v>12428</v>
      </c>
      <c r="H12" s="24">
        <f>'[2]Set Up'!$AA7</f>
        <v>12425</v>
      </c>
      <c r="I12" s="24">
        <f>'[2]Set Up'!$AA8</f>
        <v>12421</v>
      </c>
      <c r="J12" s="24">
        <f>'[2]Set Up'!$AA9</f>
        <v>12421</v>
      </c>
      <c r="K12" s="24">
        <f>'[2]Set Up'!$AA10</f>
        <v>12419</v>
      </c>
      <c r="L12" s="24">
        <f>'[2]Set Up'!$AA11</f>
        <v>12415</v>
      </c>
      <c r="M12" s="24">
        <f>'[2]Set Up'!$AA12</f>
        <v>12413</v>
      </c>
      <c r="N12" s="24">
        <f>'[2]Set Up'!$AA13</f>
        <v>12415</v>
      </c>
      <c r="O12" s="24">
        <f>'[2]Set Up'!$AA14</f>
        <v>12412</v>
      </c>
      <c r="P12" s="24">
        <f>'[2]Set Up'!$AA15</f>
        <v>12411</v>
      </c>
      <c r="Q12" s="24">
        <f>'[2]Set Up'!$AA16</f>
        <v>12412</v>
      </c>
      <c r="R12" s="24">
        <f>'[2]Set Up'!$AA17</f>
        <v>12409</v>
      </c>
      <c r="S12" s="24">
        <f>'[2]Set Up'!$AA18</f>
        <v>12416</v>
      </c>
      <c r="T12" s="24">
        <f>'[2]Set Up'!$AA19</f>
        <v>12414</v>
      </c>
      <c r="U12" s="24">
        <f>'[2]Set Up'!$AA20</f>
        <v>12412</v>
      </c>
      <c r="V12" s="24">
        <f>'[2]Set Up'!$AA21</f>
        <v>12409</v>
      </c>
      <c r="W12" s="24">
        <f>'[2]Set Up'!$AA22</f>
        <v>12409</v>
      </c>
      <c r="X12" s="24">
        <f>'[2]Set Up'!$AA23</f>
        <v>12409</v>
      </c>
      <c r="Y12" s="24">
        <f>'[2]Set Up'!$AA24</f>
        <v>12413</v>
      </c>
      <c r="Z12" s="24">
        <f>'[2]Set Up'!$AA25</f>
        <v>12406</v>
      </c>
      <c r="AA12" s="24">
        <f>'[2]Set Up'!$AA26</f>
        <v>12405</v>
      </c>
      <c r="AB12" s="24">
        <f>'[2]Set Up'!$AA27</f>
        <v>12399</v>
      </c>
      <c r="AC12" s="24">
        <f>'[2]Set Up'!$AA28</f>
        <v>12385</v>
      </c>
      <c r="AD12" s="24">
        <f>'[2]Set Up'!$AA29</f>
        <v>12378</v>
      </c>
      <c r="AE12" s="24">
        <f>'[2]Set Up'!$AA30</f>
        <v>12373</v>
      </c>
      <c r="AF12" s="24">
        <f>'[2]Set Up'!$AA31</f>
        <v>12371</v>
      </c>
      <c r="AG12" s="24">
        <f>'[2]Set Up'!$AA32</f>
        <v>12363</v>
      </c>
      <c r="AH12" s="24">
        <f>'[2]Set Up'!$AA33</f>
        <v>12350</v>
      </c>
      <c r="AI12" s="24">
        <f>'[2]Set Up'!$AA34</f>
        <v>12341</v>
      </c>
      <c r="AJ12" s="24">
        <f>'[2]Set Up'!$AA35</f>
        <v>12339</v>
      </c>
      <c r="AK12" s="24">
        <f>'[2]Set Up'!$AA36</f>
        <v>12342</v>
      </c>
      <c r="AL12" s="24">
        <f>'[2]Set Up'!$AA37</f>
        <v>12330</v>
      </c>
      <c r="AM12" s="24">
        <f>'[2]Set Up'!$AA38</f>
        <v>12329</v>
      </c>
      <c r="AN12" s="24">
        <f>'[2]Set Up'!$AA39</f>
        <v>12333</v>
      </c>
      <c r="AO12" s="24">
        <f>'[2]Set Up'!$AA40</f>
        <v>12328</v>
      </c>
      <c r="AP12" s="24">
        <f>'[2]Set Up'!$AA41</f>
        <v>12325</v>
      </c>
      <c r="AQ12" s="24">
        <f>'[2]Set Up'!$AA42</f>
        <v>12320</v>
      </c>
      <c r="AR12" s="24">
        <f>'[2]Set Up'!$AA43</f>
        <v>12312</v>
      </c>
      <c r="AS12" s="24">
        <f>'[2]Set Up'!$AA44</f>
        <v>12306</v>
      </c>
      <c r="AT12" s="24">
        <f>'[2]Set Up'!$AA45</f>
        <v>12299</v>
      </c>
      <c r="AU12" s="24">
        <f>'[2]Set Up'!$AA46</f>
        <v>12298</v>
      </c>
      <c r="AV12" s="24">
        <f>'[2]Set Up'!$AA47</f>
        <v>12293</v>
      </c>
      <c r="AW12" s="24">
        <f>'[2]Set Up'!$AA48</f>
        <v>12287</v>
      </c>
      <c r="AX12" s="24">
        <f>'[2]Set Up'!$AA49</f>
        <v>12282</v>
      </c>
      <c r="AY12" s="24">
        <f>'[2]Set Up'!$AA50</f>
        <v>12278</v>
      </c>
      <c r="AZ12" s="24">
        <f>'[2]Set Up'!$AA51</f>
        <v>12272</v>
      </c>
      <c r="BA12" s="24">
        <f>'[2]Set Up'!$AA52</f>
        <v>12266</v>
      </c>
      <c r="BB12" s="24">
        <f>'[2]Set Up'!$AA53</f>
        <v>12269</v>
      </c>
      <c r="BC12" s="24">
        <f>'[2]Set Up'!$AA54</f>
        <v>12266</v>
      </c>
      <c r="BD12" s="24">
        <f>'[2]Set Up'!$AA55</f>
        <v>0</v>
      </c>
      <c r="BE12" s="24">
        <f>'[2]Set Up'!$AA56</f>
        <v>0</v>
      </c>
      <c r="BF12" s="24">
        <f>'[2]Set Up'!$AA57</f>
        <v>0</v>
      </c>
      <c r="BG12" s="24">
        <f>'[2]Set Up'!$AA58</f>
        <v>0</v>
      </c>
      <c r="BH12" s="24">
        <f>'[2]Set Up'!$AA59</f>
        <v>0</v>
      </c>
      <c r="BI12" s="24">
        <f>'[2]Set Up'!$AA60</f>
        <v>0</v>
      </c>
      <c r="BJ12" s="24">
        <f>'[2]Set Up'!$AA61</f>
        <v>0</v>
      </c>
      <c r="BK12" s="24">
        <f>'[2]Set Up'!$AA62</f>
        <v>0</v>
      </c>
      <c r="BL12" s="24">
        <f>'[2]Set Up'!$AA63</f>
        <v>0</v>
      </c>
      <c r="BM12" s="24">
        <f>'[2]Set Up'!$AA64</f>
        <v>0</v>
      </c>
      <c r="BN12" s="24">
        <f>'[2]Set Up'!$AA65</f>
        <v>0</v>
      </c>
      <c r="BO12" s="24">
        <f>'[2]Set Up'!$AA66</f>
        <v>0</v>
      </c>
      <c r="BP12" s="24">
        <f>'[2]Set Up'!$AA67</f>
        <v>0</v>
      </c>
      <c r="BQ12" s="24">
        <f>'[2]Set Up'!$AA68</f>
        <v>0</v>
      </c>
      <c r="BR12" s="24">
        <f>'[2]Set Up'!$AA69</f>
        <v>0</v>
      </c>
      <c r="BS12" s="24">
        <f>'[2]Set Up'!$AA70</f>
        <v>0</v>
      </c>
      <c r="BT12" s="24">
        <f>'[2]Set Up'!$AA71</f>
        <v>0</v>
      </c>
      <c r="BU12" s="24">
        <f>'[2]Set Up'!$AA72</f>
        <v>0</v>
      </c>
      <c r="BV12" s="24">
        <f>'[2]Set Up'!$AA73</f>
        <v>0</v>
      </c>
      <c r="BW12" s="24">
        <f>'[2]Set Up'!$AA74</f>
        <v>0</v>
      </c>
      <c r="BX12" s="24">
        <f>'[2]Set Up'!$AA75</f>
        <v>0</v>
      </c>
      <c r="BY12" s="24">
        <f>'[2]Set Up'!$AA76</f>
        <v>0</v>
      </c>
      <c r="BZ12" s="8"/>
    </row>
    <row r="13" spans="1:78" x14ac:dyDescent="0.35">
      <c r="A13" s="25" t="s">
        <v>19</v>
      </c>
      <c r="B13" s="196" t="s">
        <v>20</v>
      </c>
      <c r="C13" s="26">
        <f>IF(C8="","",IF(C8&lt;'[2]Set Up'!$J$15,C8*'[2]Set Up'!$N$15,IF(C8&lt;'[2]Set Up'!$J$16,(C8-'[2]Set Up'!$J$15)*'[2]Set Up'!$N$16+'[2]Set Up'!$O$15,IF(C8&lt;'[2]Set Up'!$J$17,(C8-'[2]Set Up'!$J$16)*'[2]Set Up'!$N$17+'[2]Set Up'!$O$15+'[2]Set Up'!$O$16,(C8-'[2]Set Up'!$J$17)*'[2]Set Up'!$N$18 + SUM('[2]Set Up'!$O$15:'[2]Set Up'!$O$17)))))</f>
        <v>421.02777079480654</v>
      </c>
      <c r="D13" s="26">
        <f>IF(D8="","",IF(D8&lt;'[2]Set Up'!$J$15,D8*'[2]Set Up'!$N$15,IF(D8&lt;'[2]Set Up'!$J$16,(D8-'[2]Set Up'!$J$15)*'[2]Set Up'!$N$16+'[2]Set Up'!$O$15,IF(D8&lt;'[2]Set Up'!$J$17,(D8-'[2]Set Up'!$J$16)*'[2]Set Up'!$N$17+'[2]Set Up'!$O$15+'[2]Set Up'!$O$16,(D8-'[2]Set Up'!$J$17)*'[2]Set Up'!$N$18 + SUM('[2]Set Up'!$O$15:'[2]Set Up'!$O$17)))))</f>
        <v>418.02654974266369</v>
      </c>
      <c r="E13" s="26">
        <f>IF(E8="","",IF(E8&lt;'[2]Set Up'!$J$15,E8*'[2]Set Up'!$N$15,IF(E8&lt;'[2]Set Up'!$J$16,(E8-'[2]Set Up'!$J$15)*'[2]Set Up'!$N$16+'[2]Set Up'!$O$15,IF(E8&lt;'[2]Set Up'!$J$17,(E8-'[2]Set Up'!$J$16)*'[2]Set Up'!$N$17+'[2]Set Up'!$O$15+'[2]Set Up'!$O$16,(E8-'[2]Set Up'!$J$17)*'[2]Set Up'!$N$18 + SUM('[2]Set Up'!$O$15:'[2]Set Up'!$O$17)))))</f>
        <v>415.02532869052084</v>
      </c>
      <c r="F13" s="26">
        <f>IF(F8="","",IF(F8&lt;'[2]Set Up'!$J$15,F8*'[2]Set Up'!$N$15,IF(F8&lt;'[2]Set Up'!$J$16,(F8-'[2]Set Up'!$J$15)*'[2]Set Up'!$N$16+'[2]Set Up'!$O$15,IF(F8&lt;'[2]Set Up'!$J$17,(F8-'[2]Set Up'!$J$16)*'[2]Set Up'!$N$17+'[2]Set Up'!$O$15+'[2]Set Up'!$O$16,(F8-'[2]Set Up'!$J$17)*'[2]Set Up'!$N$18 + SUM('[2]Set Up'!$O$15:'[2]Set Up'!$O$17)))))</f>
        <v>412.02410763837793</v>
      </c>
      <c r="G13" s="26">
        <f>IF(G8="","",IF(G8&lt;'[2]Set Up'!$J$15,G8*'[2]Set Up'!$N$15,IF(G8&lt;'[2]Set Up'!$J$16,(G8-'[2]Set Up'!$J$15)*'[2]Set Up'!$N$16+'[2]Set Up'!$O$15,IF(G8&lt;'[2]Set Up'!$J$17,(G8-'[2]Set Up'!$J$16)*'[2]Set Up'!$N$17+'[2]Set Up'!$O$15+'[2]Set Up'!$O$16,(G8-'[2]Set Up'!$J$17)*'[2]Set Up'!$N$18 + SUM('[2]Set Up'!$O$15:'[2]Set Up'!$O$17)))))</f>
        <v>409.02288658623502</v>
      </c>
      <c r="H13" s="26">
        <f>IF(H8="","",IF(H8&lt;'[2]Set Up'!$J$15,H8*'[2]Set Up'!$N$15,IF(H8&lt;'[2]Set Up'!$J$16,(H8-'[2]Set Up'!$J$15)*'[2]Set Up'!$N$16+'[2]Set Up'!$O$15,IF(H8&lt;'[2]Set Up'!$J$17,(H8-'[2]Set Up'!$J$16)*'[2]Set Up'!$N$17+'[2]Set Up'!$O$15+'[2]Set Up'!$O$16,(H8-'[2]Set Up'!$J$17)*'[2]Set Up'!$N$18 + SUM('[2]Set Up'!$O$15:'[2]Set Up'!$O$17)))))</f>
        <v>406.02166553409211</v>
      </c>
      <c r="I13" s="26">
        <f>IF(I8="","",IF(I8&lt;'[2]Set Up'!$J$15,I8*'[2]Set Up'!$N$15,IF(I8&lt;'[2]Set Up'!$J$16,(I8-'[2]Set Up'!$J$15)*'[2]Set Up'!$N$16+'[2]Set Up'!$O$15,IF(I8&lt;'[2]Set Up'!$J$17,(I8-'[2]Set Up'!$J$16)*'[2]Set Up'!$N$17+'[2]Set Up'!$O$15+'[2]Set Up'!$O$16,(I8-'[2]Set Up'!$J$17)*'[2]Set Up'!$N$18 + SUM('[2]Set Up'!$O$15:'[2]Set Up'!$O$17)))))</f>
        <v>403.0204444819492</v>
      </c>
      <c r="J13" s="26">
        <f>IF(J8="","",IF(J8&lt;'[2]Set Up'!$J$15,J8*'[2]Set Up'!$N$15,IF(J8&lt;'[2]Set Up'!$J$16,(J8-'[2]Set Up'!$J$15)*'[2]Set Up'!$N$16+'[2]Set Up'!$O$15,IF(J8&lt;'[2]Set Up'!$J$17,(J8-'[2]Set Up'!$J$16)*'[2]Set Up'!$N$17+'[2]Set Up'!$O$15+'[2]Set Up'!$O$16,(J8-'[2]Set Up'!$J$17)*'[2]Set Up'!$N$18 + SUM('[2]Set Up'!$O$15:'[2]Set Up'!$O$17)))))</f>
        <v>400.01922342980635</v>
      </c>
      <c r="K13" s="26">
        <f>IF(K8="","",IF(K8&lt;'[2]Set Up'!$J$15,K8*'[2]Set Up'!$N$15,IF(K8&lt;'[2]Set Up'!$J$16,(K8-'[2]Set Up'!$J$15)*'[2]Set Up'!$N$16+'[2]Set Up'!$O$15,IF(K8&lt;'[2]Set Up'!$J$17,(K8-'[2]Set Up'!$J$16)*'[2]Set Up'!$N$17+'[2]Set Up'!$O$15+'[2]Set Up'!$O$16,(K8-'[2]Set Up'!$J$17)*'[2]Set Up'!$N$18 + SUM('[2]Set Up'!$O$15:'[2]Set Up'!$O$17)))))</f>
        <v>397.01800237766349</v>
      </c>
      <c r="L13" s="26">
        <f>IF(L8="","",IF(L8&lt;'[2]Set Up'!$J$15,L8*'[2]Set Up'!$N$15,IF(L8&lt;'[2]Set Up'!$J$16,(L8-'[2]Set Up'!$J$15)*'[2]Set Up'!$N$16+'[2]Set Up'!$O$15,IF(L8&lt;'[2]Set Up'!$J$17,(L8-'[2]Set Up'!$J$16)*'[2]Set Up'!$N$17+'[2]Set Up'!$O$15+'[2]Set Up'!$O$16,(L8-'[2]Set Up'!$J$17)*'[2]Set Up'!$N$18 + SUM('[2]Set Up'!$O$15:'[2]Set Up'!$O$17)))))</f>
        <v>394.01678132552058</v>
      </c>
      <c r="M13" s="26">
        <f>IF(M8="","",IF(M8&lt;'[2]Set Up'!$J$15,M8*'[2]Set Up'!$N$15,IF(M8&lt;'[2]Set Up'!$J$16,(M8-'[2]Set Up'!$J$15)*'[2]Set Up'!$N$16+'[2]Set Up'!$O$15,IF(M8&lt;'[2]Set Up'!$J$17,(M8-'[2]Set Up'!$J$16)*'[2]Set Up'!$N$17+'[2]Set Up'!$O$15+'[2]Set Up'!$O$16,(M8-'[2]Set Up'!$J$17)*'[2]Set Up'!$N$18 + SUM('[2]Set Up'!$O$15:'[2]Set Up'!$O$17)))))</f>
        <v>391.03049172139828</v>
      </c>
      <c r="N13" s="26">
        <f>IF(N8="","",IF(N8&lt;'[2]Set Up'!$J$15,N8*'[2]Set Up'!$N$15,IF(N8&lt;'[2]Set Up'!$J$16,(N8-'[2]Set Up'!$J$15)*'[2]Set Up'!$N$16+'[2]Set Up'!$O$15,IF(N8&lt;'[2]Set Up'!$J$17,(N8-'[2]Set Up'!$J$16)*'[2]Set Up'!$N$17+'[2]Set Up'!$O$15+'[2]Set Up'!$O$16,(N8-'[2]Set Up'!$J$17)*'[2]Set Up'!$N$18 + SUM('[2]Set Up'!$O$15:'[2]Set Up'!$O$17)))))</f>
        <v>388.02927066925542</v>
      </c>
      <c r="O13" s="26">
        <f>IF(O8="","",IF(O8&lt;'[2]Set Up'!$J$15,O8*'[2]Set Up'!$N$15,IF(O8&lt;'[2]Set Up'!$J$16,(O8-'[2]Set Up'!$J$15)*'[2]Set Up'!$N$16+'[2]Set Up'!$O$15,IF(O8&lt;'[2]Set Up'!$J$17,(O8-'[2]Set Up'!$J$16)*'[2]Set Up'!$N$17+'[2]Set Up'!$O$15+'[2]Set Up'!$O$16,(O8-'[2]Set Up'!$J$17)*'[2]Set Up'!$N$18 + SUM('[2]Set Up'!$O$15:'[2]Set Up'!$O$17)))))</f>
        <v>385.02804961711252</v>
      </c>
      <c r="P13" s="26">
        <f>IF(P8="","",IF(P8&lt;'[2]Set Up'!$J$15,P8*'[2]Set Up'!$N$15,IF(P8&lt;'[2]Set Up'!$J$16,(P8-'[2]Set Up'!$J$15)*'[2]Set Up'!$N$16+'[2]Set Up'!$O$15,IF(P8&lt;'[2]Set Up'!$J$17,(P8-'[2]Set Up'!$J$16)*'[2]Set Up'!$N$17+'[2]Set Up'!$O$15+'[2]Set Up'!$O$16,(P8-'[2]Set Up'!$J$17)*'[2]Set Up'!$N$18 + SUM('[2]Set Up'!$O$15:'[2]Set Up'!$O$17)))))</f>
        <v>382.02682856496961</v>
      </c>
      <c r="Q13" s="26">
        <f>IF(Q8="","",IF(Q8&lt;'[2]Set Up'!$J$15,Q8*'[2]Set Up'!$N$15,IF(Q8&lt;'[2]Set Up'!$J$16,(Q8-'[2]Set Up'!$J$15)*'[2]Set Up'!$N$16+'[2]Set Up'!$O$15,IF(Q8&lt;'[2]Set Up'!$J$17,(Q8-'[2]Set Up'!$J$16)*'[2]Set Up'!$N$17+'[2]Set Up'!$O$15+'[2]Set Up'!$O$16,(Q8-'[2]Set Up'!$J$17)*'[2]Set Up'!$N$18 + SUM('[2]Set Up'!$O$15:'[2]Set Up'!$O$17)))))</f>
        <v>379.0256075128267</v>
      </c>
      <c r="R13" s="26">
        <f>IF(R8="","",IF(R8&lt;'[2]Set Up'!$J$15,R8*'[2]Set Up'!$N$15,IF(R8&lt;'[2]Set Up'!$J$16,(R8-'[2]Set Up'!$J$15)*'[2]Set Up'!$N$16+'[2]Set Up'!$O$15,IF(R8&lt;'[2]Set Up'!$J$17,(R8-'[2]Set Up'!$J$16)*'[2]Set Up'!$N$17+'[2]Set Up'!$O$15+'[2]Set Up'!$O$16,(R8-'[2]Set Up'!$J$17)*'[2]Set Up'!$N$18 + SUM('[2]Set Up'!$O$15:'[2]Set Up'!$O$17)))))</f>
        <v>376.02438646068384</v>
      </c>
      <c r="S13" s="26">
        <f>IF(S8="","",IF(S8&lt;'[2]Set Up'!$J$15,S8*'[2]Set Up'!$N$15,IF(S8&lt;'[2]Set Up'!$J$16,(S8-'[2]Set Up'!$J$15)*'[2]Set Up'!$N$16+'[2]Set Up'!$O$15,IF(S8&lt;'[2]Set Up'!$J$17,(S8-'[2]Set Up'!$J$16)*'[2]Set Up'!$N$17+'[2]Set Up'!$O$15+'[2]Set Up'!$O$16,(S8-'[2]Set Up'!$J$17)*'[2]Set Up'!$N$18 + SUM('[2]Set Up'!$O$15:'[2]Set Up'!$O$17)))))</f>
        <v>373.02316540854093</v>
      </c>
      <c r="T13" s="26">
        <f>IF(T8="","",IF(T8&lt;'[2]Set Up'!$J$15,T8*'[2]Set Up'!$N$15,IF(T8&lt;'[2]Set Up'!$J$16,(T8-'[2]Set Up'!$J$15)*'[2]Set Up'!$N$16+'[2]Set Up'!$O$15,IF(T8&lt;'[2]Set Up'!$J$17,(T8-'[2]Set Up'!$J$16)*'[2]Set Up'!$N$17+'[2]Set Up'!$O$15+'[2]Set Up'!$O$16,(T8-'[2]Set Up'!$J$17)*'[2]Set Up'!$N$18 + SUM('[2]Set Up'!$O$15:'[2]Set Up'!$O$17)))))</f>
        <v>370.02194435639808</v>
      </c>
      <c r="U13" s="26">
        <f>IF(U8="","",IF(U8&lt;'[2]Set Up'!$J$15,U8*'[2]Set Up'!$N$15,IF(U8&lt;'[2]Set Up'!$J$16,(U8-'[2]Set Up'!$J$15)*'[2]Set Up'!$N$16+'[2]Set Up'!$O$15,IF(U8&lt;'[2]Set Up'!$J$17,(U8-'[2]Set Up'!$J$16)*'[2]Set Up'!$N$17+'[2]Set Up'!$O$15+'[2]Set Up'!$O$16,(U8-'[2]Set Up'!$J$17)*'[2]Set Up'!$N$18 + SUM('[2]Set Up'!$O$15:'[2]Set Up'!$O$17)))))</f>
        <v>367.02072330425517</v>
      </c>
      <c r="V13" s="26">
        <f>IF(V8="","",IF(V8&lt;'[2]Set Up'!$J$15,V8*'[2]Set Up'!$N$15,IF(V8&lt;'[2]Set Up'!$J$16,(V8-'[2]Set Up'!$J$15)*'[2]Set Up'!$N$16+'[2]Set Up'!$O$15,IF(V8&lt;'[2]Set Up'!$J$17,(V8-'[2]Set Up'!$J$16)*'[2]Set Up'!$N$17+'[2]Set Up'!$O$15+'[2]Set Up'!$O$16,(V8-'[2]Set Up'!$J$17)*'[2]Set Up'!$N$18 + SUM('[2]Set Up'!$O$15:'[2]Set Up'!$O$17)))))</f>
        <v>364.01950225211226</v>
      </c>
      <c r="W13" s="26">
        <f>IF(W8="","",IF(W8&lt;'[2]Set Up'!$J$15,W8*'[2]Set Up'!$N$15,IF(W8&lt;'[2]Set Up'!$J$16,(W8-'[2]Set Up'!$J$15)*'[2]Set Up'!$N$16+'[2]Set Up'!$O$15,IF(W8&lt;'[2]Set Up'!$J$17,(W8-'[2]Set Up'!$J$16)*'[2]Set Up'!$N$17+'[2]Set Up'!$O$15+'[2]Set Up'!$O$16,(W8-'[2]Set Up'!$J$17)*'[2]Set Up'!$N$18 + SUM('[2]Set Up'!$O$15:'[2]Set Up'!$O$17)))))</f>
        <v>361.01828119996941</v>
      </c>
      <c r="X13" s="26">
        <f>IF(X8="","",IF(X8&lt;'[2]Set Up'!$J$15,X8*'[2]Set Up'!$N$15,IF(X8&lt;'[2]Set Up'!$J$16,(X8-'[2]Set Up'!$J$15)*'[2]Set Up'!$N$16+'[2]Set Up'!$O$15,IF(X8&lt;'[2]Set Up'!$J$17,(X8-'[2]Set Up'!$J$16)*'[2]Set Up'!$N$17+'[2]Set Up'!$O$15+'[2]Set Up'!$O$16,(X8-'[2]Set Up'!$J$17)*'[2]Set Up'!$N$18 + SUM('[2]Set Up'!$O$15:'[2]Set Up'!$O$17)))))</f>
        <v>358.0170601478265</v>
      </c>
      <c r="Y13" s="26">
        <f>IF(Y8="","",IF(Y8&lt;'[2]Set Up'!$J$15,Y8*'[2]Set Up'!$N$15,IF(Y8&lt;'[2]Set Up'!$J$16,(Y8-'[2]Set Up'!$J$15)*'[2]Set Up'!$N$16+'[2]Set Up'!$O$15,IF(Y8&lt;'[2]Set Up'!$J$17,(Y8-'[2]Set Up'!$J$16)*'[2]Set Up'!$N$17+'[2]Set Up'!$O$15+'[2]Set Up'!$O$16,(Y8-'[2]Set Up'!$J$17)*'[2]Set Up'!$N$18 + SUM('[2]Set Up'!$O$15:'[2]Set Up'!$O$17)))))</f>
        <v>355.01583909568359</v>
      </c>
      <c r="Z13" s="26">
        <f>IF(Z8="","",IF(Z8&lt;'[2]Set Up'!$J$15,Z8*'[2]Set Up'!$N$15,IF(Z8&lt;'[2]Set Up'!$J$16,(Z8-'[2]Set Up'!$J$15)*'[2]Set Up'!$N$16+'[2]Set Up'!$O$15,IF(Z8&lt;'[2]Set Up'!$J$17,(Z8-'[2]Set Up'!$J$16)*'[2]Set Up'!$N$17+'[2]Set Up'!$O$15+'[2]Set Up'!$O$16,(Z8-'[2]Set Up'!$J$17)*'[2]Set Up'!$N$18 + SUM('[2]Set Up'!$O$15:'[2]Set Up'!$O$17)))))</f>
        <v>352.01461804354074</v>
      </c>
      <c r="AA13" s="26">
        <f>IF(AA8="","",IF(AA8&lt;'[2]Set Up'!$J$15,AA8*'[2]Set Up'!$N$15,IF(AA8&lt;'[2]Set Up'!$J$16,(AA8-'[2]Set Up'!$J$15)*'[2]Set Up'!$N$16+'[2]Set Up'!$O$15,IF(AA8&lt;'[2]Set Up'!$J$17,(AA8-'[2]Set Up'!$J$16)*'[2]Set Up'!$N$17+'[2]Set Up'!$O$15+'[2]Set Up'!$O$16,(AA8-'[2]Set Up'!$J$17)*'[2]Set Up'!$N$18 + SUM('[2]Set Up'!$O$15:'[2]Set Up'!$O$17)))))</f>
        <v>349.01339699139783</v>
      </c>
      <c r="AB13" s="26">
        <f>IF(AB8="","",IF(AB8&lt;'[2]Set Up'!$J$15,AB8*'[2]Set Up'!$N$15,IF(AB8&lt;'[2]Set Up'!$J$16,(AB8-'[2]Set Up'!$J$15)*'[2]Set Up'!$N$16+'[2]Set Up'!$O$15,IF(AB8&lt;'[2]Set Up'!$J$17,(AB8-'[2]Set Up'!$J$16)*'[2]Set Up'!$N$17+'[2]Set Up'!$O$15+'[2]Set Up'!$O$16,(AB8-'[2]Set Up'!$J$17)*'[2]Set Up'!$N$18 + SUM('[2]Set Up'!$O$15:'[2]Set Up'!$O$17)))))</f>
        <v>346.01217593925492</v>
      </c>
      <c r="AC13" s="26">
        <f>IF(AC8="","",IF(AC8&lt;'[2]Set Up'!$J$15,AC8*'[2]Set Up'!$N$15,IF(AC8&lt;'[2]Set Up'!$J$16,(AC8-'[2]Set Up'!$J$15)*'[2]Set Up'!$N$16+'[2]Set Up'!$O$15,IF(AC8&lt;'[2]Set Up'!$J$17,(AC8-'[2]Set Up'!$J$16)*'[2]Set Up'!$N$17+'[2]Set Up'!$O$15+'[2]Set Up'!$O$16,(AC8-'[2]Set Up'!$J$17)*'[2]Set Up'!$N$18 + SUM('[2]Set Up'!$O$15:'[2]Set Up'!$O$17)))))</f>
        <v>343.01095488711206</v>
      </c>
      <c r="AD13" s="26">
        <f>IF(AD8="","",IF(AD8&lt;'[2]Set Up'!$J$15,AD8*'[2]Set Up'!$N$15,IF(AD8&lt;'[2]Set Up'!$J$16,(AD8-'[2]Set Up'!$J$15)*'[2]Set Up'!$N$16+'[2]Set Up'!$O$15,IF(AD8&lt;'[2]Set Up'!$J$17,(AD8-'[2]Set Up'!$J$16)*'[2]Set Up'!$N$17+'[2]Set Up'!$O$15+'[2]Set Up'!$O$16,(AD8-'[2]Set Up'!$J$17)*'[2]Set Up'!$N$18 + SUM('[2]Set Up'!$O$15:'[2]Set Up'!$O$17)))))</f>
        <v>340.00973383496915</v>
      </c>
      <c r="AE13" s="26">
        <f>IF(AE8="","",IF(AE8&lt;'[2]Set Up'!$J$15,AE8*'[2]Set Up'!$N$15,IF(AE8&lt;'[2]Set Up'!$J$16,(AE8-'[2]Set Up'!$J$15)*'[2]Set Up'!$N$16+'[2]Set Up'!$O$15,IF(AE8&lt;'[2]Set Up'!$J$17,(AE8-'[2]Set Up'!$J$16)*'[2]Set Up'!$N$17+'[2]Set Up'!$O$15+'[2]Set Up'!$O$16,(AE8-'[2]Set Up'!$J$17)*'[2]Set Up'!$N$18 + SUM('[2]Set Up'!$O$15:'[2]Set Up'!$O$17)))))</f>
        <v>337.00851278282624</v>
      </c>
      <c r="AF13" s="26">
        <f>IF(AF8="","",IF(AF8&lt;'[2]Set Up'!$J$15,AF8*'[2]Set Up'!$N$15,IF(AF8&lt;'[2]Set Up'!$J$16,(AF8-'[2]Set Up'!$J$15)*'[2]Set Up'!$N$16+'[2]Set Up'!$O$15,IF(AF8&lt;'[2]Set Up'!$J$17,(AF8-'[2]Set Up'!$J$16)*'[2]Set Up'!$N$17+'[2]Set Up'!$O$15+'[2]Set Up'!$O$16,(AF8-'[2]Set Up'!$J$17)*'[2]Set Up'!$N$18 + SUM('[2]Set Up'!$O$15:'[2]Set Up'!$O$17)))))</f>
        <v>334.00729173068339</v>
      </c>
      <c r="AG13" s="26">
        <f>IF(AG8="","",IF(AG8&lt;'[2]Set Up'!$J$15,AG8*'[2]Set Up'!$N$15,IF(AG8&lt;'[2]Set Up'!$J$16,(AG8-'[2]Set Up'!$J$15)*'[2]Set Up'!$N$16+'[2]Set Up'!$O$15,IF(AG8&lt;'[2]Set Up'!$J$17,(AG8-'[2]Set Up'!$J$16)*'[2]Set Up'!$N$17+'[2]Set Up'!$O$15+'[2]Set Up'!$O$16,(AG8-'[2]Set Up'!$J$17)*'[2]Set Up'!$N$18 + SUM('[2]Set Up'!$O$15:'[2]Set Up'!$O$17)))))</f>
        <v>331.00607067854048</v>
      </c>
      <c r="AH13" s="26">
        <f>IF(AH8="","",IF(AH8&lt;'[2]Set Up'!$J$15,AH8*'[2]Set Up'!$N$15,IF(AH8&lt;'[2]Set Up'!$J$16,(AH8-'[2]Set Up'!$J$15)*'[2]Set Up'!$N$16+'[2]Set Up'!$O$15,IF(AH8&lt;'[2]Set Up'!$J$17,(AH8-'[2]Set Up'!$J$16)*'[2]Set Up'!$N$17+'[2]Set Up'!$O$15+'[2]Set Up'!$O$16,(AH8-'[2]Set Up'!$J$17)*'[2]Set Up'!$N$18 + SUM('[2]Set Up'!$O$15:'[2]Set Up'!$O$17)))))</f>
        <v>328.00484962639757</v>
      </c>
      <c r="AI13" s="26">
        <f>IF(AI8="","",IF(AI8&lt;'[2]Set Up'!$J$15,AI8*'[2]Set Up'!$N$15,IF(AI8&lt;'[2]Set Up'!$J$16,(AI8-'[2]Set Up'!$J$15)*'[2]Set Up'!$N$16+'[2]Set Up'!$O$15,IF(AI8&lt;'[2]Set Up'!$J$17,(AI8-'[2]Set Up'!$J$16)*'[2]Set Up'!$N$17+'[2]Set Up'!$O$15+'[2]Set Up'!$O$16,(AI8-'[2]Set Up'!$J$17)*'[2]Set Up'!$N$18 + SUM('[2]Set Up'!$O$15:'[2]Set Up'!$O$17)))))</f>
        <v>325.00362857425472</v>
      </c>
      <c r="AJ13" s="26">
        <f>IF(AJ8="","",IF(AJ8&lt;'[2]Set Up'!$J$15,AJ8*'[2]Set Up'!$N$15,IF(AJ8&lt;'[2]Set Up'!$J$16,(AJ8-'[2]Set Up'!$J$15)*'[2]Set Up'!$N$16+'[2]Set Up'!$O$15,IF(AJ8&lt;'[2]Set Up'!$J$17,(AJ8-'[2]Set Up'!$J$16)*'[2]Set Up'!$N$17+'[2]Set Up'!$O$15+'[2]Set Up'!$O$16,(AJ8-'[2]Set Up'!$J$17)*'[2]Set Up'!$N$18 + SUM('[2]Set Up'!$O$15:'[2]Set Up'!$O$17)))))</f>
        <v>322.00240752211181</v>
      </c>
      <c r="AK13" s="26">
        <f>IF(AK8="","",IF(AK8&lt;'[2]Set Up'!$J$15,AK8*'[2]Set Up'!$N$15,IF(AK8&lt;'[2]Set Up'!$J$16,(AK8-'[2]Set Up'!$J$15)*'[2]Set Up'!$N$16+'[2]Set Up'!$O$15,IF(AK8&lt;'[2]Set Up'!$J$17,(AK8-'[2]Set Up'!$J$16)*'[2]Set Up'!$N$17+'[2]Set Up'!$O$15+'[2]Set Up'!$O$16,(AK8-'[2]Set Up'!$J$17)*'[2]Set Up'!$N$18 + SUM('[2]Set Up'!$O$15:'[2]Set Up'!$O$17)))))</f>
        <v>319.0011864699689</v>
      </c>
      <c r="AL13" s="26">
        <f>IF(AL8="","",IF(AL8&lt;'[2]Set Up'!$J$15,AL8*'[2]Set Up'!$N$15,IF(AL8&lt;'[2]Set Up'!$J$16,(AL8-'[2]Set Up'!$J$15)*'[2]Set Up'!$N$16+'[2]Set Up'!$O$15,IF(AL8&lt;'[2]Set Up'!$J$17,(AL8-'[2]Set Up'!$J$16)*'[2]Set Up'!$N$17+'[2]Set Up'!$O$15+'[2]Set Up'!$O$16,(AL8-'[2]Set Up'!$J$17)*'[2]Set Up'!$N$18 + SUM('[2]Set Up'!$O$15:'[2]Set Up'!$O$17)))))</f>
        <v>315.99996541782605</v>
      </c>
      <c r="AM13" s="26">
        <f>IF(AM8="","",IF(AM8&lt;'[2]Set Up'!$J$15,AM8*'[2]Set Up'!$N$15,IF(AM8&lt;'[2]Set Up'!$J$16,(AM8-'[2]Set Up'!$J$15)*'[2]Set Up'!$N$16+'[2]Set Up'!$O$15,IF(AM8&lt;'[2]Set Up'!$J$17,(AM8-'[2]Set Up'!$J$16)*'[2]Set Up'!$N$17+'[2]Set Up'!$O$15+'[2]Set Up'!$O$16,(AM8-'[2]Set Up'!$J$17)*'[2]Set Up'!$N$18 + SUM('[2]Set Up'!$O$15:'[2]Set Up'!$O$17)))))</f>
        <v>312.99874436568314</v>
      </c>
      <c r="AN13" s="26">
        <f>IF(AN8="","",IF(AN8&lt;'[2]Set Up'!$J$15,AN8*'[2]Set Up'!$N$15,IF(AN8&lt;'[2]Set Up'!$J$16,(AN8-'[2]Set Up'!$J$15)*'[2]Set Up'!$N$16+'[2]Set Up'!$O$15,IF(AN8&lt;'[2]Set Up'!$J$17,(AN8-'[2]Set Up'!$J$16)*'[2]Set Up'!$N$17+'[2]Set Up'!$O$15+'[2]Set Up'!$O$16,(AN8-'[2]Set Up'!$J$17)*'[2]Set Up'!$N$18 + SUM('[2]Set Up'!$O$15:'[2]Set Up'!$O$17)))))</f>
        <v>309.99752331354023</v>
      </c>
      <c r="AO13" s="26">
        <f>IF(AO8="","",IF(AO8&lt;'[2]Set Up'!$J$15,AO8*'[2]Set Up'!$N$15,IF(AO8&lt;'[2]Set Up'!$J$16,(AO8-'[2]Set Up'!$J$15)*'[2]Set Up'!$N$16+'[2]Set Up'!$O$15,IF(AO8&lt;'[2]Set Up'!$J$17,(AO8-'[2]Set Up'!$J$16)*'[2]Set Up'!$N$17+'[2]Set Up'!$O$15+'[2]Set Up'!$O$16,(AO8-'[2]Set Up'!$J$17)*'[2]Set Up'!$N$18 + SUM('[2]Set Up'!$O$15:'[2]Set Up'!$O$17)))))</f>
        <v>306.99630226139737</v>
      </c>
      <c r="AP13" s="26">
        <f>IF(AP8="","",IF(AP8&lt;'[2]Set Up'!$J$15,AP8*'[2]Set Up'!$N$15,IF(AP8&lt;'[2]Set Up'!$J$16,(AP8-'[2]Set Up'!$J$15)*'[2]Set Up'!$N$16+'[2]Set Up'!$O$15,IF(AP8&lt;'[2]Set Up'!$J$17,(AP8-'[2]Set Up'!$J$16)*'[2]Set Up'!$N$17+'[2]Set Up'!$O$15+'[2]Set Up'!$O$16,(AP8-'[2]Set Up'!$J$17)*'[2]Set Up'!$N$18 + SUM('[2]Set Up'!$O$15:'[2]Set Up'!$O$17)))))</f>
        <v>303.99508120925447</v>
      </c>
      <c r="AQ13" s="26">
        <f>IF(AQ8="","",IF(AQ8&lt;'[2]Set Up'!$J$15,AQ8*'[2]Set Up'!$N$15,IF(AQ8&lt;'[2]Set Up'!$J$16,(AQ8-'[2]Set Up'!$J$15)*'[2]Set Up'!$N$16+'[2]Set Up'!$O$15,IF(AQ8&lt;'[2]Set Up'!$J$17,(AQ8-'[2]Set Up'!$J$16)*'[2]Set Up'!$N$17+'[2]Set Up'!$O$15+'[2]Set Up'!$O$16,(AQ8-'[2]Set Up'!$J$17)*'[2]Set Up'!$N$18 + SUM('[2]Set Up'!$O$15:'[2]Set Up'!$O$17)))))</f>
        <v>300.99386015711161</v>
      </c>
      <c r="AR13" s="26">
        <f>IF(AR8="","",IF(AR8&lt;'[2]Set Up'!$J$15,AR8*'[2]Set Up'!$N$15,IF(AR8&lt;'[2]Set Up'!$J$16,(AR8-'[2]Set Up'!$J$15)*'[2]Set Up'!$N$16+'[2]Set Up'!$O$15,IF(AR8&lt;'[2]Set Up'!$J$17,(AR8-'[2]Set Up'!$J$16)*'[2]Set Up'!$N$17+'[2]Set Up'!$O$15+'[2]Set Up'!$O$16,(AR8-'[2]Set Up'!$J$17)*'[2]Set Up'!$N$18 + SUM('[2]Set Up'!$O$15:'[2]Set Up'!$O$17)))))</f>
        <v>297.9926391049687</v>
      </c>
      <c r="AS13" s="26">
        <f>IF(AS8="","",IF(AS8&lt;'[2]Set Up'!$J$15,AS8*'[2]Set Up'!$N$15,IF(AS8&lt;'[2]Set Up'!$J$16,(AS8-'[2]Set Up'!$J$15)*'[2]Set Up'!$N$16+'[2]Set Up'!$O$15,IF(AS8&lt;'[2]Set Up'!$J$17,(AS8-'[2]Set Up'!$J$16)*'[2]Set Up'!$N$17+'[2]Set Up'!$O$15+'[2]Set Up'!$O$16,(AS8-'[2]Set Up'!$J$17)*'[2]Set Up'!$N$18 + SUM('[2]Set Up'!$O$15:'[2]Set Up'!$O$17)))))</f>
        <v>294.99141805282579</v>
      </c>
      <c r="AT13" s="26">
        <f>IF(AT8="","",IF(AT8&lt;'[2]Set Up'!$J$15,AT8*'[2]Set Up'!$N$15,IF(AT8&lt;'[2]Set Up'!$J$16,(AT8-'[2]Set Up'!$J$15)*'[2]Set Up'!$N$16+'[2]Set Up'!$O$15,IF(AT8&lt;'[2]Set Up'!$J$17,(AT8-'[2]Set Up'!$J$16)*'[2]Set Up'!$N$17+'[2]Set Up'!$O$15+'[2]Set Up'!$O$16,(AT8-'[2]Set Up'!$J$17)*'[2]Set Up'!$N$18 + SUM('[2]Set Up'!$O$15:'[2]Set Up'!$O$17)))))</f>
        <v>292.00512844870354</v>
      </c>
      <c r="AU13" s="26">
        <f>IF(AU8="","",IF(AU8&lt;'[2]Set Up'!$J$15,AU8*'[2]Set Up'!$N$15,IF(AU8&lt;'[2]Set Up'!$J$16,(AU8-'[2]Set Up'!$J$15)*'[2]Set Up'!$N$16+'[2]Set Up'!$O$15,IF(AU8&lt;'[2]Set Up'!$J$17,(AU8-'[2]Set Up'!$J$16)*'[2]Set Up'!$N$17+'[2]Set Up'!$O$15+'[2]Set Up'!$O$16,(AU8-'[2]Set Up'!$J$17)*'[2]Set Up'!$N$18 + SUM('[2]Set Up'!$O$15:'[2]Set Up'!$O$17)))))</f>
        <v>289.00390739656063</v>
      </c>
      <c r="AV13" s="26">
        <f>IF(AV8="","",IF(AV8&lt;'[2]Set Up'!$J$15,AV8*'[2]Set Up'!$N$15,IF(AV8&lt;'[2]Set Up'!$J$16,(AV8-'[2]Set Up'!$J$15)*'[2]Set Up'!$N$16+'[2]Set Up'!$O$15,IF(AV8&lt;'[2]Set Up'!$J$17,(AV8-'[2]Set Up'!$J$16)*'[2]Set Up'!$N$17+'[2]Set Up'!$O$15+'[2]Set Up'!$O$16,(AV8-'[2]Set Up'!$J$17)*'[2]Set Up'!$N$18 + SUM('[2]Set Up'!$O$15:'[2]Set Up'!$O$17)))))</f>
        <v>286.00268634441773</v>
      </c>
      <c r="AW13" s="26">
        <f>IF(AW8="","",IF(AW8&lt;'[2]Set Up'!$J$15,AW8*'[2]Set Up'!$N$15,IF(AW8&lt;'[2]Set Up'!$J$16,(AW8-'[2]Set Up'!$J$15)*'[2]Set Up'!$N$16+'[2]Set Up'!$O$15,IF(AW8&lt;'[2]Set Up'!$J$17,(AW8-'[2]Set Up'!$J$16)*'[2]Set Up'!$N$17+'[2]Set Up'!$O$15+'[2]Set Up'!$O$16,(AW8-'[2]Set Up'!$J$17)*'[2]Set Up'!$N$18 + SUM('[2]Set Up'!$O$15:'[2]Set Up'!$O$17)))))</f>
        <v>283.00146529227487</v>
      </c>
      <c r="AX13" s="26">
        <f>IF(AX8="","",IF(AX8&lt;'[2]Set Up'!$J$15,AX8*'[2]Set Up'!$N$15,IF(AX8&lt;'[2]Set Up'!$J$16,(AX8-'[2]Set Up'!$J$15)*'[2]Set Up'!$N$16+'[2]Set Up'!$O$15,IF(AX8&lt;'[2]Set Up'!$J$17,(AX8-'[2]Set Up'!$J$16)*'[2]Set Up'!$N$17+'[2]Set Up'!$O$15+'[2]Set Up'!$O$16,(AX8-'[2]Set Up'!$J$17)*'[2]Set Up'!$N$18 + SUM('[2]Set Up'!$O$15:'[2]Set Up'!$O$17)))))</f>
        <v>280.00024424013196</v>
      </c>
      <c r="AY13" s="26">
        <f>IF(AY8="","",IF(AY8&lt;'[2]Set Up'!$J$15,AY8*'[2]Set Up'!$N$15,IF(AY8&lt;'[2]Set Up'!$J$16,(AY8-'[2]Set Up'!$J$15)*'[2]Set Up'!$N$16+'[2]Set Up'!$O$15,IF(AY8&lt;'[2]Set Up'!$J$17,(AY8-'[2]Set Up'!$J$16)*'[2]Set Up'!$N$17+'[2]Set Up'!$O$15+'[2]Set Up'!$O$16,(AY8-'[2]Set Up'!$J$17)*'[2]Set Up'!$N$18 + SUM('[2]Set Up'!$O$15:'[2]Set Up'!$O$17)))))</f>
        <v>276.99902318798905</v>
      </c>
      <c r="AZ13" s="26">
        <f>IF(AZ8="","",IF(AZ8&lt;'[2]Set Up'!$J$15,AZ8*'[2]Set Up'!$N$15,IF(AZ8&lt;'[2]Set Up'!$J$16,(AZ8-'[2]Set Up'!$J$15)*'[2]Set Up'!$N$16+'[2]Set Up'!$O$15,IF(AZ8&lt;'[2]Set Up'!$J$17,(AZ8-'[2]Set Up'!$J$16)*'[2]Set Up'!$N$17+'[2]Set Up'!$O$15+'[2]Set Up'!$O$16,(AZ8-'[2]Set Up'!$J$17)*'[2]Set Up'!$N$18 + SUM('[2]Set Up'!$O$15:'[2]Set Up'!$O$17)))))</f>
        <v>273.9978021358462</v>
      </c>
      <c r="BA13" s="26">
        <f>IF(BA8="","",IF(BA8&lt;'[2]Set Up'!$J$15,BA8*'[2]Set Up'!$N$15,IF(BA8&lt;'[2]Set Up'!$J$16,(BA8-'[2]Set Up'!$J$15)*'[2]Set Up'!$N$16+'[2]Set Up'!$O$15,IF(BA8&lt;'[2]Set Up'!$J$17,(BA8-'[2]Set Up'!$J$16)*'[2]Set Up'!$N$17+'[2]Set Up'!$O$15+'[2]Set Up'!$O$16,(BA8-'[2]Set Up'!$J$17)*'[2]Set Up'!$N$18 + SUM('[2]Set Up'!$O$15:'[2]Set Up'!$O$17)))))</f>
        <v>270.99658108370329</v>
      </c>
      <c r="BB13" s="26">
        <f>IF(BB8="","",IF(BB8&lt;'[2]Set Up'!$J$15,BB8*'[2]Set Up'!$N$15,IF(BB8&lt;'[2]Set Up'!$J$16,(BB8-'[2]Set Up'!$J$15)*'[2]Set Up'!$N$16+'[2]Set Up'!$O$15,IF(BB8&lt;'[2]Set Up'!$J$17,(BB8-'[2]Set Up'!$J$16)*'[2]Set Up'!$N$17+'[2]Set Up'!$O$15+'[2]Set Up'!$O$16,(BB8-'[2]Set Up'!$J$17)*'[2]Set Up'!$N$18 + SUM('[2]Set Up'!$O$15:'[2]Set Up'!$O$17)))))</f>
        <v>267.99536003156038</v>
      </c>
      <c r="BC13" s="26">
        <f>IF(BC8="","",IF(BC8&lt;'[2]Set Up'!$J$15,BC8*'[2]Set Up'!$N$15,IF(BC8&lt;'[2]Set Up'!$J$16,(BC8-'[2]Set Up'!$J$15)*'[2]Set Up'!$N$16+'[2]Set Up'!$O$15,IF(BC8&lt;'[2]Set Up'!$J$17,(BC8-'[2]Set Up'!$J$16)*'[2]Set Up'!$N$17+'[2]Set Up'!$O$15+'[2]Set Up'!$O$16,(BC8-'[2]Set Up'!$J$17)*'[2]Set Up'!$N$18 + SUM('[2]Set Up'!$O$15:'[2]Set Up'!$O$17)))))</f>
        <v>264.99413897941753</v>
      </c>
      <c r="BD13" s="26">
        <f>IF(BD8="","",IF(BD8&lt;'[2]Set Up'!$J$15,BD8*'[2]Set Up'!$N$15,IF(BD8&lt;'[2]Set Up'!$J$16,(BD8-'[2]Set Up'!$J$15)*'[2]Set Up'!$N$16+'[2]Set Up'!$O$15,IF(BD8&lt;'[2]Set Up'!$J$17,(BD8-'[2]Set Up'!$J$16)*'[2]Set Up'!$N$17+'[2]Set Up'!$O$15+'[2]Set Up'!$O$16,(BD8-'[2]Set Up'!$J$17)*'[2]Set Up'!$N$18 + SUM('[2]Set Up'!$O$15:'[2]Set Up'!$O$17)))))</f>
        <v>0</v>
      </c>
      <c r="BE13" s="26">
        <f>IF(BE8="","",IF(BE8&lt;'[2]Set Up'!$J$15,BE8*'[2]Set Up'!$N$15,IF(BE8&lt;'[2]Set Up'!$J$16,(BE8-'[2]Set Up'!$J$15)*'[2]Set Up'!$N$16+'[2]Set Up'!$O$15,IF(BE8&lt;'[2]Set Up'!$J$17,(BE8-'[2]Set Up'!$J$16)*'[2]Set Up'!$N$17+'[2]Set Up'!$O$15+'[2]Set Up'!$O$16,(BE8-'[2]Set Up'!$J$17)*'[2]Set Up'!$N$18 + SUM('[2]Set Up'!$O$15:'[2]Set Up'!$O$17)))))</f>
        <v>0</v>
      </c>
      <c r="BF13" s="26">
        <f>IF(BF8="","",IF(BF8&lt;'[2]Set Up'!$J$15,BF8*'[2]Set Up'!$N$15,IF(BF8&lt;'[2]Set Up'!$J$16,(BF8-'[2]Set Up'!$J$15)*'[2]Set Up'!$N$16+'[2]Set Up'!$O$15,IF(BF8&lt;'[2]Set Up'!$J$17,(BF8-'[2]Set Up'!$J$16)*'[2]Set Up'!$N$17+'[2]Set Up'!$O$15+'[2]Set Up'!$O$16,(BF8-'[2]Set Up'!$J$17)*'[2]Set Up'!$N$18 + SUM('[2]Set Up'!$O$15:'[2]Set Up'!$O$17)))))</f>
        <v>0</v>
      </c>
      <c r="BG13" s="26">
        <f>IF(BG8="","",IF(BG8&lt;'[2]Set Up'!$J$15,BG8*'[2]Set Up'!$N$15,IF(BG8&lt;'[2]Set Up'!$J$16,(BG8-'[2]Set Up'!$J$15)*'[2]Set Up'!$N$16+'[2]Set Up'!$O$15,IF(BG8&lt;'[2]Set Up'!$J$17,(BG8-'[2]Set Up'!$J$16)*'[2]Set Up'!$N$17+'[2]Set Up'!$O$15+'[2]Set Up'!$O$16,(BG8-'[2]Set Up'!$J$17)*'[2]Set Up'!$N$18 + SUM('[2]Set Up'!$O$15:'[2]Set Up'!$O$17)))))</f>
        <v>0</v>
      </c>
      <c r="BH13" s="26">
        <f>IF(BH8="","",IF(BH8&lt;'[2]Set Up'!$J$15,BH8*'[2]Set Up'!$N$15,IF(BH8&lt;'[2]Set Up'!$J$16,(BH8-'[2]Set Up'!$J$15)*'[2]Set Up'!$N$16+'[2]Set Up'!$O$15,IF(BH8&lt;'[2]Set Up'!$J$17,(BH8-'[2]Set Up'!$J$16)*'[2]Set Up'!$N$17+'[2]Set Up'!$O$15+'[2]Set Up'!$O$16,(BH8-'[2]Set Up'!$J$17)*'[2]Set Up'!$N$18 + SUM('[2]Set Up'!$O$15:'[2]Set Up'!$O$17)))))</f>
        <v>0</v>
      </c>
      <c r="BI13" s="26">
        <f>IF(BI8="","",IF(BI8&lt;'[2]Set Up'!$J$15,BI8*'[2]Set Up'!$N$15,IF(BI8&lt;'[2]Set Up'!$J$16,(BI8-'[2]Set Up'!$J$15)*'[2]Set Up'!$N$16+'[2]Set Up'!$O$15,IF(BI8&lt;'[2]Set Up'!$J$17,(BI8-'[2]Set Up'!$J$16)*'[2]Set Up'!$N$17+'[2]Set Up'!$O$15+'[2]Set Up'!$O$16,(BI8-'[2]Set Up'!$J$17)*'[2]Set Up'!$N$18 + SUM('[2]Set Up'!$O$15:'[2]Set Up'!$O$17)))))</f>
        <v>0</v>
      </c>
      <c r="BJ13" s="26">
        <f>IF(BJ8="","",IF(BJ8&lt;'[2]Set Up'!$J$15,BJ8*'[2]Set Up'!$N$15,IF(BJ8&lt;'[2]Set Up'!$J$16,(BJ8-'[2]Set Up'!$J$15)*'[2]Set Up'!$N$16+'[2]Set Up'!$O$15,IF(BJ8&lt;'[2]Set Up'!$J$17,(BJ8-'[2]Set Up'!$J$16)*'[2]Set Up'!$N$17+'[2]Set Up'!$O$15+'[2]Set Up'!$O$16,(BJ8-'[2]Set Up'!$J$17)*'[2]Set Up'!$N$18 + SUM('[2]Set Up'!$O$15:'[2]Set Up'!$O$17)))))</f>
        <v>0</v>
      </c>
      <c r="BK13" s="26">
        <f>IF(BK8="","",IF(BK8&lt;'[2]Set Up'!$J$15,BK8*'[2]Set Up'!$N$15,IF(BK8&lt;'[2]Set Up'!$J$16,(BK8-'[2]Set Up'!$J$15)*'[2]Set Up'!$N$16+'[2]Set Up'!$O$15,IF(BK8&lt;'[2]Set Up'!$J$17,(BK8-'[2]Set Up'!$J$16)*'[2]Set Up'!$N$17+'[2]Set Up'!$O$15+'[2]Set Up'!$O$16,(BK8-'[2]Set Up'!$J$17)*'[2]Set Up'!$N$18 + SUM('[2]Set Up'!$O$15:'[2]Set Up'!$O$17)))))</f>
        <v>0</v>
      </c>
      <c r="BL13" s="26">
        <f>IF(BL8="","",IF(BL8&lt;'[2]Set Up'!$J$15,BL8*'[2]Set Up'!$N$15,IF(BL8&lt;'[2]Set Up'!$J$16,(BL8-'[2]Set Up'!$J$15)*'[2]Set Up'!$N$16+'[2]Set Up'!$O$15,IF(BL8&lt;'[2]Set Up'!$J$17,(BL8-'[2]Set Up'!$J$16)*'[2]Set Up'!$N$17+'[2]Set Up'!$O$15+'[2]Set Up'!$O$16,(BL8-'[2]Set Up'!$J$17)*'[2]Set Up'!$N$18 + SUM('[2]Set Up'!$O$15:'[2]Set Up'!$O$17)))))</f>
        <v>0</v>
      </c>
      <c r="BM13" s="26">
        <f>IF(BM8="","",IF(BM8&lt;'[2]Set Up'!$J$15,BM8*'[2]Set Up'!$N$15,IF(BM8&lt;'[2]Set Up'!$J$16,(BM8-'[2]Set Up'!$J$15)*'[2]Set Up'!$N$16+'[2]Set Up'!$O$15,IF(BM8&lt;'[2]Set Up'!$J$17,(BM8-'[2]Set Up'!$J$16)*'[2]Set Up'!$N$17+'[2]Set Up'!$O$15+'[2]Set Up'!$O$16,(BM8-'[2]Set Up'!$J$17)*'[2]Set Up'!$N$18 + SUM('[2]Set Up'!$O$15:'[2]Set Up'!$O$17)))))</f>
        <v>0</v>
      </c>
      <c r="BN13" s="26">
        <f>IF(BN8="","",IF(BN8&lt;'[2]Set Up'!$J$15,BN8*'[2]Set Up'!$N$15,IF(BN8&lt;'[2]Set Up'!$J$16,(BN8-'[2]Set Up'!$J$15)*'[2]Set Up'!$N$16+'[2]Set Up'!$O$15,IF(BN8&lt;'[2]Set Up'!$J$17,(BN8-'[2]Set Up'!$J$16)*'[2]Set Up'!$N$17+'[2]Set Up'!$O$15+'[2]Set Up'!$O$16,(BN8-'[2]Set Up'!$J$17)*'[2]Set Up'!$N$18 + SUM('[2]Set Up'!$O$15:'[2]Set Up'!$O$17)))))</f>
        <v>0</v>
      </c>
      <c r="BO13" s="26">
        <f>IF(BO8="","",IF(BO8&lt;'[2]Set Up'!$J$15,BO8*'[2]Set Up'!$N$15,IF(BO8&lt;'[2]Set Up'!$J$16,(BO8-'[2]Set Up'!$J$15)*'[2]Set Up'!$N$16+'[2]Set Up'!$O$15,IF(BO8&lt;'[2]Set Up'!$J$17,(BO8-'[2]Set Up'!$J$16)*'[2]Set Up'!$N$17+'[2]Set Up'!$O$15+'[2]Set Up'!$O$16,(BO8-'[2]Set Up'!$J$17)*'[2]Set Up'!$N$18 + SUM('[2]Set Up'!$O$15:'[2]Set Up'!$O$17)))))</f>
        <v>0</v>
      </c>
      <c r="BP13" s="26">
        <f>IF(BP8="","",IF(BP8&lt;'[2]Set Up'!$J$15,BP8*'[2]Set Up'!$N$15,IF(BP8&lt;'[2]Set Up'!$J$16,(BP8-'[2]Set Up'!$J$15)*'[2]Set Up'!$N$16+'[2]Set Up'!$O$15,IF(BP8&lt;'[2]Set Up'!$J$17,(BP8-'[2]Set Up'!$J$16)*'[2]Set Up'!$N$17+'[2]Set Up'!$O$15+'[2]Set Up'!$O$16,(BP8-'[2]Set Up'!$J$17)*'[2]Set Up'!$N$18 + SUM('[2]Set Up'!$O$15:'[2]Set Up'!$O$17)))))</f>
        <v>0</v>
      </c>
      <c r="BQ13" s="26">
        <f>IF(BQ8="","",IF(BQ8&lt;'[2]Set Up'!$J$15,BQ8*'[2]Set Up'!$N$15,IF(BQ8&lt;'[2]Set Up'!$J$16,(BQ8-'[2]Set Up'!$J$15)*'[2]Set Up'!$N$16+'[2]Set Up'!$O$15,IF(BQ8&lt;'[2]Set Up'!$J$17,(BQ8-'[2]Set Up'!$J$16)*'[2]Set Up'!$N$17+'[2]Set Up'!$O$15+'[2]Set Up'!$O$16,(BQ8-'[2]Set Up'!$J$17)*'[2]Set Up'!$N$18 + SUM('[2]Set Up'!$O$15:'[2]Set Up'!$O$17)))))</f>
        <v>0</v>
      </c>
      <c r="BR13" s="26">
        <f>IF(BR8="","",IF(BR8&lt;'[2]Set Up'!$J$15,BR8*'[2]Set Up'!$N$15,IF(BR8&lt;'[2]Set Up'!$J$16,(BR8-'[2]Set Up'!$J$15)*'[2]Set Up'!$N$16+'[2]Set Up'!$O$15,IF(BR8&lt;'[2]Set Up'!$J$17,(BR8-'[2]Set Up'!$J$16)*'[2]Set Up'!$N$17+'[2]Set Up'!$O$15+'[2]Set Up'!$O$16,(BR8-'[2]Set Up'!$J$17)*'[2]Set Up'!$N$18 + SUM('[2]Set Up'!$O$15:'[2]Set Up'!$O$17)))))</f>
        <v>0</v>
      </c>
      <c r="BS13" s="26">
        <f>IF(BS8="","",IF(BS8&lt;'[2]Set Up'!$J$15,BS8*'[2]Set Up'!$N$15,IF(BS8&lt;'[2]Set Up'!$J$16,(BS8-'[2]Set Up'!$J$15)*'[2]Set Up'!$N$16+'[2]Set Up'!$O$15,IF(BS8&lt;'[2]Set Up'!$J$17,(BS8-'[2]Set Up'!$J$16)*'[2]Set Up'!$N$17+'[2]Set Up'!$O$15+'[2]Set Up'!$O$16,(BS8-'[2]Set Up'!$J$17)*'[2]Set Up'!$N$18 + SUM('[2]Set Up'!$O$15:'[2]Set Up'!$O$17)))))</f>
        <v>0</v>
      </c>
      <c r="BT13" s="26">
        <f>IF(BT8="","",IF(BT8&lt;'[2]Set Up'!$J$15,BT8*'[2]Set Up'!$N$15,IF(BT8&lt;'[2]Set Up'!$J$16,(BT8-'[2]Set Up'!$J$15)*'[2]Set Up'!$N$16+'[2]Set Up'!$O$15,IF(BT8&lt;'[2]Set Up'!$J$17,(BT8-'[2]Set Up'!$J$16)*'[2]Set Up'!$N$17+'[2]Set Up'!$O$15+'[2]Set Up'!$O$16,(BT8-'[2]Set Up'!$J$17)*'[2]Set Up'!$N$18 + SUM('[2]Set Up'!$O$15:'[2]Set Up'!$O$17)))))</f>
        <v>0</v>
      </c>
      <c r="BU13" s="26">
        <f>IF(BU8="","",IF(BU8&lt;'[2]Set Up'!$J$15,BU8*'[2]Set Up'!$N$15,IF(BU8&lt;'[2]Set Up'!$J$16,(BU8-'[2]Set Up'!$J$15)*'[2]Set Up'!$N$16+'[2]Set Up'!$O$15,IF(BU8&lt;'[2]Set Up'!$J$17,(BU8-'[2]Set Up'!$J$16)*'[2]Set Up'!$N$17+'[2]Set Up'!$O$15+'[2]Set Up'!$O$16,(BU8-'[2]Set Up'!$J$17)*'[2]Set Up'!$N$18 + SUM('[2]Set Up'!$O$15:'[2]Set Up'!$O$17)))))</f>
        <v>0</v>
      </c>
      <c r="BV13" s="26">
        <f>IF(BV8="","",IF(BV8&lt;'[2]Set Up'!$J$15,BV8*'[2]Set Up'!$N$15,IF(BV8&lt;'[2]Set Up'!$J$16,(BV8-'[2]Set Up'!$J$15)*'[2]Set Up'!$N$16+'[2]Set Up'!$O$15,IF(BV8&lt;'[2]Set Up'!$J$17,(BV8-'[2]Set Up'!$J$16)*'[2]Set Up'!$N$17+'[2]Set Up'!$O$15+'[2]Set Up'!$O$16,(BV8-'[2]Set Up'!$J$17)*'[2]Set Up'!$N$18 + SUM('[2]Set Up'!$O$15:'[2]Set Up'!$O$17)))))</f>
        <v>0</v>
      </c>
      <c r="BW13" s="26">
        <f>IF(BW8="","",IF(BW8&lt;'[2]Set Up'!$J$15,BW8*'[2]Set Up'!$N$15,IF(BW8&lt;'[2]Set Up'!$J$16,(BW8-'[2]Set Up'!$J$15)*'[2]Set Up'!$N$16+'[2]Set Up'!$O$15,IF(BW8&lt;'[2]Set Up'!$J$17,(BW8-'[2]Set Up'!$J$16)*'[2]Set Up'!$N$17+'[2]Set Up'!$O$15+'[2]Set Up'!$O$16,(BW8-'[2]Set Up'!$J$17)*'[2]Set Up'!$N$18 + SUM('[2]Set Up'!$O$15:'[2]Set Up'!$O$17)))))</f>
        <v>0</v>
      </c>
      <c r="BX13" s="26">
        <f>IF(BX8="","",IF(BX8&lt;'[2]Set Up'!$J$15,BX8*'[2]Set Up'!$N$15,IF(BX8&lt;'[2]Set Up'!$J$16,(BX8-'[2]Set Up'!$J$15)*'[2]Set Up'!$N$16+'[2]Set Up'!$O$15,IF(BX8&lt;'[2]Set Up'!$J$17,(BX8-'[2]Set Up'!$J$16)*'[2]Set Up'!$N$17+'[2]Set Up'!$O$15+'[2]Set Up'!$O$16,(BX8-'[2]Set Up'!$J$17)*'[2]Set Up'!$N$18 + SUM('[2]Set Up'!$O$15:'[2]Set Up'!$O$17)))))</f>
        <v>0</v>
      </c>
      <c r="BY13" s="26">
        <f>IF(BY8="","",IF(BY8&lt;'[2]Set Up'!$J$15,BY8*'[2]Set Up'!$N$15,IF(BY8&lt;'[2]Set Up'!$J$16,(BY8-'[2]Set Up'!$J$15)*'[2]Set Up'!$N$16+'[2]Set Up'!$O$15,IF(BY8&lt;'[2]Set Up'!$J$17,(BY8-'[2]Set Up'!$J$16)*'[2]Set Up'!$N$17+'[2]Set Up'!$O$15+'[2]Set Up'!$O$16,(BY8-'[2]Set Up'!$J$17)*'[2]Set Up'!$N$18 + SUM('[2]Set Up'!$O$15:'[2]Set Up'!$O$17)))))</f>
        <v>0</v>
      </c>
      <c r="BZ13" s="8"/>
    </row>
    <row r="14" spans="1:78" x14ac:dyDescent="0.35">
      <c r="A14" s="27" t="s">
        <v>21</v>
      </c>
      <c r="B14" s="195"/>
      <c r="C14" s="28">
        <f>IF(C9="","",IF(C9&lt;'[2]Set Up'!$J$15,C9*'[2]Set Up'!$N$15,IF(C9&lt;'[2]Set Up'!$J$16,(C9-'[2]Set Up'!$J$15)*'[2]Set Up'!$N$16+'[2]Set Up'!$O$15,IF(C9&lt;'[2]Set Up'!$J$17,(C9-'[2]Set Up'!$J$16)*'[2]Set Up'!$N$17+'[2]Set Up'!$O$15+'[2]Set Up'!$O$16,(C9-'[2]Set Up'!$J$17)*'[2]Set Up'!$N$18 + SUM('[2]Set Up'!$O$15:'[2]Set Up'!$O$17)))))</f>
        <v>423.4466653741456</v>
      </c>
      <c r="D14" s="28">
        <f>IF(D9="","",IF(D9&lt;'[2]Set Up'!$J$15,D9*'[2]Set Up'!$N$15,IF(D9&lt;'[2]Set Up'!$J$16,(D9-'[2]Set Up'!$J$15)*'[2]Set Up'!$N$16+'[2]Set Up'!$O$15,IF(D9&lt;'[2]Set Up'!$J$17,(D9-'[2]Set Up'!$J$16)*'[2]Set Up'!$N$17+'[2]Set Up'!$O$15+'[2]Set Up'!$O$16,(D9-'[2]Set Up'!$J$17)*'[2]Set Up'!$N$18 + SUM('[2]Set Up'!$O$15:'[2]Set Up'!$O$17)))))</f>
        <v>420.44544432200274</v>
      </c>
      <c r="E14" s="28">
        <f>IF(E9="","",IF(E9&lt;'[2]Set Up'!$J$15,E9*'[2]Set Up'!$N$15,IF(E9&lt;'[2]Set Up'!$J$16,(E9-'[2]Set Up'!$J$15)*'[2]Set Up'!$N$16+'[2]Set Up'!$O$15,IF(E9&lt;'[2]Set Up'!$J$17,(E9-'[2]Set Up'!$J$16)*'[2]Set Up'!$N$17+'[2]Set Up'!$O$15+'[2]Set Up'!$O$16,(E9-'[2]Set Up'!$J$17)*'[2]Set Up'!$N$18 + SUM('[2]Set Up'!$O$15:'[2]Set Up'!$O$17)))))</f>
        <v>417.44422326985983</v>
      </c>
      <c r="F14" s="28">
        <f>IF(F9="","",IF(F9&lt;'[2]Set Up'!$J$15,F9*'[2]Set Up'!$N$15,IF(F9&lt;'[2]Set Up'!$J$16,(F9-'[2]Set Up'!$J$15)*'[2]Set Up'!$N$16+'[2]Set Up'!$O$15,IF(F9&lt;'[2]Set Up'!$J$17,(F9-'[2]Set Up'!$J$16)*'[2]Set Up'!$N$17+'[2]Set Up'!$O$15+'[2]Set Up'!$O$16,(F9-'[2]Set Up'!$J$17)*'[2]Set Up'!$N$18 + SUM('[2]Set Up'!$O$15:'[2]Set Up'!$O$17)))))</f>
        <v>414.44300221771698</v>
      </c>
      <c r="G14" s="28">
        <f>IF(G9="","",IF(G9&lt;'[2]Set Up'!$J$15,G9*'[2]Set Up'!$N$15,IF(G9&lt;'[2]Set Up'!$J$16,(G9-'[2]Set Up'!$J$15)*'[2]Set Up'!$N$16+'[2]Set Up'!$O$15,IF(G9&lt;'[2]Set Up'!$J$17,(G9-'[2]Set Up'!$J$16)*'[2]Set Up'!$N$17+'[2]Set Up'!$O$15+'[2]Set Up'!$O$16,(G9-'[2]Set Up'!$J$17)*'[2]Set Up'!$N$18 + SUM('[2]Set Up'!$O$15:'[2]Set Up'!$O$17)))))</f>
        <v>411.44178116557407</v>
      </c>
      <c r="H14" s="28">
        <f>IF(H9="","",IF(H9&lt;'[2]Set Up'!$J$15,H9*'[2]Set Up'!$N$15,IF(H9&lt;'[2]Set Up'!$J$16,(H9-'[2]Set Up'!$J$15)*'[2]Set Up'!$N$16+'[2]Set Up'!$O$15,IF(H9&lt;'[2]Set Up'!$J$17,(H9-'[2]Set Up'!$J$16)*'[2]Set Up'!$N$17+'[2]Set Up'!$O$15+'[2]Set Up'!$O$16,(H9-'[2]Set Up'!$J$17)*'[2]Set Up'!$N$18 + SUM('[2]Set Up'!$O$15:'[2]Set Up'!$O$17)))))</f>
        <v>408.44056011343116</v>
      </c>
      <c r="I14" s="28">
        <f>IF(I9="","",IF(I9&lt;'[2]Set Up'!$J$15,I9*'[2]Set Up'!$N$15,IF(I9&lt;'[2]Set Up'!$J$16,(I9-'[2]Set Up'!$J$15)*'[2]Set Up'!$N$16+'[2]Set Up'!$O$15,IF(I9&lt;'[2]Set Up'!$J$17,(I9-'[2]Set Up'!$J$16)*'[2]Set Up'!$N$17+'[2]Set Up'!$O$15+'[2]Set Up'!$O$16,(I9-'[2]Set Up'!$J$17)*'[2]Set Up'!$N$18 + SUM('[2]Set Up'!$O$15:'[2]Set Up'!$O$17)))))</f>
        <v>405.43933906128825</v>
      </c>
      <c r="J14" s="28">
        <f>IF(J9="","",IF(J9&lt;'[2]Set Up'!$J$15,J9*'[2]Set Up'!$N$15,IF(J9&lt;'[2]Set Up'!$J$16,(J9-'[2]Set Up'!$J$15)*'[2]Set Up'!$N$16+'[2]Set Up'!$O$15,IF(J9&lt;'[2]Set Up'!$J$17,(J9-'[2]Set Up'!$J$16)*'[2]Set Up'!$N$17+'[2]Set Up'!$O$15+'[2]Set Up'!$O$16,(J9-'[2]Set Up'!$J$17)*'[2]Set Up'!$N$18 + SUM('[2]Set Up'!$O$15:'[2]Set Up'!$O$17)))))</f>
        <v>402.4381180091454</v>
      </c>
      <c r="K14" s="28">
        <f>IF(K9="","",IF(K9&lt;'[2]Set Up'!$J$15,K9*'[2]Set Up'!$N$15,IF(K9&lt;'[2]Set Up'!$J$16,(K9-'[2]Set Up'!$J$15)*'[2]Set Up'!$N$16+'[2]Set Up'!$O$15,IF(K9&lt;'[2]Set Up'!$J$17,(K9-'[2]Set Up'!$J$16)*'[2]Set Up'!$N$17+'[2]Set Up'!$O$15+'[2]Set Up'!$O$16,(K9-'[2]Set Up'!$J$17)*'[2]Set Up'!$N$18 + SUM('[2]Set Up'!$O$15:'[2]Set Up'!$O$17)))))</f>
        <v>399.43689695700255</v>
      </c>
      <c r="L14" s="28">
        <f>IF(L9="","",IF(L9&lt;'[2]Set Up'!$J$15,L9*'[2]Set Up'!$N$15,IF(L9&lt;'[2]Set Up'!$J$16,(L9-'[2]Set Up'!$J$15)*'[2]Set Up'!$N$16+'[2]Set Up'!$O$15,IF(L9&lt;'[2]Set Up'!$J$17,(L9-'[2]Set Up'!$J$16)*'[2]Set Up'!$N$17+'[2]Set Up'!$O$15+'[2]Set Up'!$O$16,(L9-'[2]Set Up'!$J$17)*'[2]Set Up'!$N$18 + SUM('[2]Set Up'!$O$15:'[2]Set Up'!$O$17)))))</f>
        <v>396.43567590485964</v>
      </c>
      <c r="M14" s="28">
        <f>IF(M9="","",IF(M9&lt;'[2]Set Up'!$J$15,M9*'[2]Set Up'!$N$15,IF(M9&lt;'[2]Set Up'!$J$16,(M9-'[2]Set Up'!$J$15)*'[2]Set Up'!$N$16+'[2]Set Up'!$O$15,IF(M9&lt;'[2]Set Up'!$J$17,(M9-'[2]Set Up'!$J$16)*'[2]Set Up'!$N$17+'[2]Set Up'!$O$15+'[2]Set Up'!$O$16,(M9-'[2]Set Up'!$J$17)*'[2]Set Up'!$N$18 + SUM('[2]Set Up'!$O$15:'[2]Set Up'!$O$17)))))</f>
        <v>393.43445485271673</v>
      </c>
      <c r="N14" s="28">
        <f>IF(N9="","",IF(N9&lt;'[2]Set Up'!$J$15,N9*'[2]Set Up'!$N$15,IF(N9&lt;'[2]Set Up'!$J$16,(N9-'[2]Set Up'!$J$15)*'[2]Set Up'!$N$16+'[2]Set Up'!$O$15,IF(N9&lt;'[2]Set Up'!$J$17,(N9-'[2]Set Up'!$J$16)*'[2]Set Up'!$N$17+'[2]Set Up'!$O$15+'[2]Set Up'!$O$16,(N9-'[2]Set Up'!$J$17)*'[2]Set Up'!$N$18 + SUM('[2]Set Up'!$O$15:'[2]Set Up'!$O$17)))))</f>
        <v>390.44816524859448</v>
      </c>
      <c r="O14" s="28">
        <f>IF(O9="","",IF(O9&lt;'[2]Set Up'!$J$15,O9*'[2]Set Up'!$N$15,IF(O9&lt;'[2]Set Up'!$J$16,(O9-'[2]Set Up'!$J$15)*'[2]Set Up'!$N$16+'[2]Set Up'!$O$15,IF(O9&lt;'[2]Set Up'!$J$17,(O9-'[2]Set Up'!$J$16)*'[2]Set Up'!$N$17+'[2]Set Up'!$O$15+'[2]Set Up'!$O$16,(O9-'[2]Set Up'!$J$17)*'[2]Set Up'!$N$18 + SUM('[2]Set Up'!$O$15:'[2]Set Up'!$O$17)))))</f>
        <v>387.44694419645157</v>
      </c>
      <c r="P14" s="28">
        <f>IF(P9="","",IF(P9&lt;'[2]Set Up'!$J$15,P9*'[2]Set Up'!$N$15,IF(P9&lt;'[2]Set Up'!$J$16,(P9-'[2]Set Up'!$J$15)*'[2]Set Up'!$N$16+'[2]Set Up'!$O$15,IF(P9&lt;'[2]Set Up'!$J$17,(P9-'[2]Set Up'!$J$16)*'[2]Set Up'!$N$17+'[2]Set Up'!$O$15+'[2]Set Up'!$O$16,(P9-'[2]Set Up'!$J$17)*'[2]Set Up'!$N$18 + SUM('[2]Set Up'!$O$15:'[2]Set Up'!$O$17)))))</f>
        <v>384.44572314430866</v>
      </c>
      <c r="Q14" s="28">
        <f>IF(Q9="","",IF(Q9&lt;'[2]Set Up'!$J$15,Q9*'[2]Set Up'!$N$15,IF(Q9&lt;'[2]Set Up'!$J$16,(Q9-'[2]Set Up'!$J$15)*'[2]Set Up'!$N$16+'[2]Set Up'!$O$15,IF(Q9&lt;'[2]Set Up'!$J$17,(Q9-'[2]Set Up'!$J$16)*'[2]Set Up'!$N$17+'[2]Set Up'!$O$15+'[2]Set Up'!$O$16,(Q9-'[2]Set Up'!$J$17)*'[2]Set Up'!$N$18 + SUM('[2]Set Up'!$O$15:'[2]Set Up'!$O$17)))))</f>
        <v>381.44450209216575</v>
      </c>
      <c r="R14" s="28">
        <f>IF(R9="","",IF(R9&lt;'[2]Set Up'!$J$15,R9*'[2]Set Up'!$N$15,IF(R9&lt;'[2]Set Up'!$J$16,(R9-'[2]Set Up'!$J$15)*'[2]Set Up'!$N$16+'[2]Set Up'!$O$15,IF(R9&lt;'[2]Set Up'!$J$17,(R9-'[2]Set Up'!$J$16)*'[2]Set Up'!$N$17+'[2]Set Up'!$O$15+'[2]Set Up'!$O$16,(R9-'[2]Set Up'!$J$17)*'[2]Set Up'!$N$18 + SUM('[2]Set Up'!$O$15:'[2]Set Up'!$O$17)))))</f>
        <v>378.4432810400229</v>
      </c>
      <c r="S14" s="28">
        <f>IF(S9="","",IF(S9&lt;'[2]Set Up'!$J$15,S9*'[2]Set Up'!$N$15,IF(S9&lt;'[2]Set Up'!$J$16,(S9-'[2]Set Up'!$J$15)*'[2]Set Up'!$N$16+'[2]Set Up'!$O$15,IF(S9&lt;'[2]Set Up'!$J$17,(S9-'[2]Set Up'!$J$16)*'[2]Set Up'!$N$17+'[2]Set Up'!$O$15+'[2]Set Up'!$O$16,(S9-'[2]Set Up'!$J$17)*'[2]Set Up'!$N$18 + SUM('[2]Set Up'!$O$15:'[2]Set Up'!$O$17)))))</f>
        <v>375.44205998787999</v>
      </c>
      <c r="T14" s="28">
        <f>IF(T9="","",IF(T9&lt;'[2]Set Up'!$J$15,T9*'[2]Set Up'!$N$15,IF(T9&lt;'[2]Set Up'!$J$16,(T9-'[2]Set Up'!$J$15)*'[2]Set Up'!$N$16+'[2]Set Up'!$O$15,IF(T9&lt;'[2]Set Up'!$J$17,(T9-'[2]Set Up'!$J$16)*'[2]Set Up'!$N$17+'[2]Set Up'!$O$15+'[2]Set Up'!$O$16,(T9-'[2]Set Up'!$J$17)*'[2]Set Up'!$N$18 + SUM('[2]Set Up'!$O$15:'[2]Set Up'!$O$17)))))</f>
        <v>372.44083893573713</v>
      </c>
      <c r="U14" s="28">
        <f>IF(U9="","",IF(U9&lt;'[2]Set Up'!$J$15,U9*'[2]Set Up'!$N$15,IF(U9&lt;'[2]Set Up'!$J$16,(U9-'[2]Set Up'!$J$15)*'[2]Set Up'!$N$16+'[2]Set Up'!$O$15,IF(U9&lt;'[2]Set Up'!$J$17,(U9-'[2]Set Up'!$J$16)*'[2]Set Up'!$N$17+'[2]Set Up'!$O$15+'[2]Set Up'!$O$16,(U9-'[2]Set Up'!$J$17)*'[2]Set Up'!$N$18 + SUM('[2]Set Up'!$O$15:'[2]Set Up'!$O$17)))))</f>
        <v>369.43961788359422</v>
      </c>
      <c r="V14" s="28">
        <f>IF(V9="","",IF(V9&lt;'[2]Set Up'!$J$15,V9*'[2]Set Up'!$N$15,IF(V9&lt;'[2]Set Up'!$J$16,(V9-'[2]Set Up'!$J$15)*'[2]Set Up'!$N$16+'[2]Set Up'!$O$15,IF(V9&lt;'[2]Set Up'!$J$17,(V9-'[2]Set Up'!$J$16)*'[2]Set Up'!$N$17+'[2]Set Up'!$O$15+'[2]Set Up'!$O$16,(V9-'[2]Set Up'!$J$17)*'[2]Set Up'!$N$18 + SUM('[2]Set Up'!$O$15:'[2]Set Up'!$O$17)))))</f>
        <v>366.43839683145131</v>
      </c>
      <c r="W14" s="28">
        <f>IF(W9="","",IF(W9&lt;'[2]Set Up'!$J$15,W9*'[2]Set Up'!$N$15,IF(W9&lt;'[2]Set Up'!$J$16,(W9-'[2]Set Up'!$J$15)*'[2]Set Up'!$N$16+'[2]Set Up'!$O$15,IF(W9&lt;'[2]Set Up'!$J$17,(W9-'[2]Set Up'!$J$16)*'[2]Set Up'!$N$17+'[2]Set Up'!$O$15+'[2]Set Up'!$O$16,(W9-'[2]Set Up'!$J$17)*'[2]Set Up'!$N$18 + SUM('[2]Set Up'!$O$15:'[2]Set Up'!$O$17)))))</f>
        <v>363.4371757793084</v>
      </c>
      <c r="X14" s="28">
        <f>IF(X9="","",IF(X9&lt;'[2]Set Up'!$J$15,X9*'[2]Set Up'!$N$15,IF(X9&lt;'[2]Set Up'!$J$16,(X9-'[2]Set Up'!$J$15)*'[2]Set Up'!$N$16+'[2]Set Up'!$O$15,IF(X9&lt;'[2]Set Up'!$J$17,(X9-'[2]Set Up'!$J$16)*'[2]Set Up'!$N$17+'[2]Set Up'!$O$15+'[2]Set Up'!$O$16,(X9-'[2]Set Up'!$J$17)*'[2]Set Up'!$N$18 + SUM('[2]Set Up'!$O$15:'[2]Set Up'!$O$17)))))</f>
        <v>360.43595472716555</v>
      </c>
      <c r="Y14" s="28">
        <f>IF(Y9="","",IF(Y9&lt;'[2]Set Up'!$J$15,Y9*'[2]Set Up'!$N$15,IF(Y9&lt;'[2]Set Up'!$J$16,(Y9-'[2]Set Up'!$J$15)*'[2]Set Up'!$N$16+'[2]Set Up'!$O$15,IF(Y9&lt;'[2]Set Up'!$J$17,(Y9-'[2]Set Up'!$J$16)*'[2]Set Up'!$N$17+'[2]Set Up'!$O$15+'[2]Set Up'!$O$16,(Y9-'[2]Set Up'!$J$17)*'[2]Set Up'!$N$18 + SUM('[2]Set Up'!$O$15:'[2]Set Up'!$O$17)))))</f>
        <v>357.43473367502264</v>
      </c>
      <c r="Z14" s="28">
        <f>IF(Z9="","",IF(Z9&lt;'[2]Set Up'!$J$15,Z9*'[2]Set Up'!$N$15,IF(Z9&lt;'[2]Set Up'!$J$16,(Z9-'[2]Set Up'!$J$15)*'[2]Set Up'!$N$16+'[2]Set Up'!$O$15,IF(Z9&lt;'[2]Set Up'!$J$17,(Z9-'[2]Set Up'!$J$16)*'[2]Set Up'!$N$17+'[2]Set Up'!$O$15+'[2]Set Up'!$O$16,(Z9-'[2]Set Up'!$J$17)*'[2]Set Up'!$N$18 + SUM('[2]Set Up'!$O$15:'[2]Set Up'!$O$17)))))</f>
        <v>354.43351262287979</v>
      </c>
      <c r="AA14" s="28">
        <f>IF(AA9="","",IF(AA9&lt;'[2]Set Up'!$J$15,AA9*'[2]Set Up'!$N$15,IF(AA9&lt;'[2]Set Up'!$J$16,(AA9-'[2]Set Up'!$J$15)*'[2]Set Up'!$N$16+'[2]Set Up'!$O$15,IF(AA9&lt;'[2]Set Up'!$J$17,(AA9-'[2]Set Up'!$J$16)*'[2]Set Up'!$N$17+'[2]Set Up'!$O$15+'[2]Set Up'!$O$16,(AA9-'[2]Set Up'!$J$17)*'[2]Set Up'!$N$18 + SUM('[2]Set Up'!$O$15:'[2]Set Up'!$O$17)))))</f>
        <v>351.43229157073688</v>
      </c>
      <c r="AB14" s="28">
        <f>IF(AB9="","",IF(AB9&lt;'[2]Set Up'!$J$15,AB9*'[2]Set Up'!$N$15,IF(AB9&lt;'[2]Set Up'!$J$16,(AB9-'[2]Set Up'!$J$15)*'[2]Set Up'!$N$16+'[2]Set Up'!$O$15,IF(AB9&lt;'[2]Set Up'!$J$17,(AB9-'[2]Set Up'!$J$16)*'[2]Set Up'!$N$17+'[2]Set Up'!$O$15+'[2]Set Up'!$O$16,(AB9-'[2]Set Up'!$J$17)*'[2]Set Up'!$N$18 + SUM('[2]Set Up'!$O$15:'[2]Set Up'!$O$17)))))</f>
        <v>348.43107051859397</v>
      </c>
      <c r="AC14" s="28">
        <f>IF(AC9="","",IF(AC9&lt;'[2]Set Up'!$J$15,AC9*'[2]Set Up'!$N$15,IF(AC9&lt;'[2]Set Up'!$J$16,(AC9-'[2]Set Up'!$J$15)*'[2]Set Up'!$N$16+'[2]Set Up'!$O$15,IF(AC9&lt;'[2]Set Up'!$J$17,(AC9-'[2]Set Up'!$J$16)*'[2]Set Up'!$N$17+'[2]Set Up'!$O$15+'[2]Set Up'!$O$16,(AC9-'[2]Set Up'!$J$17)*'[2]Set Up'!$N$18 + SUM('[2]Set Up'!$O$15:'[2]Set Up'!$O$17)))))</f>
        <v>345.42984946645106</v>
      </c>
      <c r="AD14" s="28">
        <f>IF(AD9="","",IF(AD9&lt;'[2]Set Up'!$J$15,AD9*'[2]Set Up'!$N$15,IF(AD9&lt;'[2]Set Up'!$J$16,(AD9-'[2]Set Up'!$J$15)*'[2]Set Up'!$N$16+'[2]Set Up'!$O$15,IF(AD9&lt;'[2]Set Up'!$J$17,(AD9-'[2]Set Up'!$J$16)*'[2]Set Up'!$N$17+'[2]Set Up'!$O$15+'[2]Set Up'!$O$16,(AD9-'[2]Set Up'!$J$17)*'[2]Set Up'!$N$18 + SUM('[2]Set Up'!$O$15:'[2]Set Up'!$O$17)))))</f>
        <v>342.42862841430821</v>
      </c>
      <c r="AE14" s="28">
        <f>IF(AE9="","",IF(AE9&lt;'[2]Set Up'!$J$15,AE9*'[2]Set Up'!$N$15,IF(AE9&lt;'[2]Set Up'!$J$16,(AE9-'[2]Set Up'!$J$15)*'[2]Set Up'!$N$16+'[2]Set Up'!$O$15,IF(AE9&lt;'[2]Set Up'!$J$17,(AE9-'[2]Set Up'!$J$16)*'[2]Set Up'!$N$17+'[2]Set Up'!$O$15+'[2]Set Up'!$O$16,(AE9-'[2]Set Up'!$J$17)*'[2]Set Up'!$N$18 + SUM('[2]Set Up'!$O$15:'[2]Set Up'!$O$17)))))</f>
        <v>339.4274073621653</v>
      </c>
      <c r="AF14" s="28">
        <f>IF(AF9="","",IF(AF9&lt;'[2]Set Up'!$J$15,AF9*'[2]Set Up'!$N$15,IF(AF9&lt;'[2]Set Up'!$J$16,(AF9-'[2]Set Up'!$J$15)*'[2]Set Up'!$N$16+'[2]Set Up'!$O$15,IF(AF9&lt;'[2]Set Up'!$J$17,(AF9-'[2]Set Up'!$J$16)*'[2]Set Up'!$N$17+'[2]Set Up'!$O$15+'[2]Set Up'!$O$16,(AF9-'[2]Set Up'!$J$17)*'[2]Set Up'!$N$18 + SUM('[2]Set Up'!$O$15:'[2]Set Up'!$O$17)))))</f>
        <v>336.42618631002244</v>
      </c>
      <c r="AG14" s="28">
        <f>IF(AG9="","",IF(AG9&lt;'[2]Set Up'!$J$15,AG9*'[2]Set Up'!$N$15,IF(AG9&lt;'[2]Set Up'!$J$16,(AG9-'[2]Set Up'!$J$15)*'[2]Set Up'!$N$16+'[2]Set Up'!$O$15,IF(AG9&lt;'[2]Set Up'!$J$17,(AG9-'[2]Set Up'!$J$16)*'[2]Set Up'!$N$17+'[2]Set Up'!$O$15+'[2]Set Up'!$O$16,(AG9-'[2]Set Up'!$J$17)*'[2]Set Up'!$N$18 + SUM('[2]Set Up'!$O$15:'[2]Set Up'!$O$17)))))</f>
        <v>333.42496525787953</v>
      </c>
      <c r="AH14" s="28">
        <f>IF(AH9="","",IF(AH9&lt;'[2]Set Up'!$J$15,AH9*'[2]Set Up'!$N$15,IF(AH9&lt;'[2]Set Up'!$J$16,(AH9-'[2]Set Up'!$J$15)*'[2]Set Up'!$N$16+'[2]Set Up'!$O$15,IF(AH9&lt;'[2]Set Up'!$J$17,(AH9-'[2]Set Up'!$J$16)*'[2]Set Up'!$N$17+'[2]Set Up'!$O$15+'[2]Set Up'!$O$16,(AH9-'[2]Set Up'!$J$17)*'[2]Set Up'!$N$18 + SUM('[2]Set Up'!$O$15:'[2]Set Up'!$O$17)))))</f>
        <v>330.42374420573663</v>
      </c>
      <c r="AI14" s="28">
        <f>IF(AI9="","",IF(AI9&lt;'[2]Set Up'!$J$15,AI9*'[2]Set Up'!$N$15,IF(AI9&lt;'[2]Set Up'!$J$16,(AI9-'[2]Set Up'!$J$15)*'[2]Set Up'!$N$16+'[2]Set Up'!$O$15,IF(AI9&lt;'[2]Set Up'!$J$17,(AI9-'[2]Set Up'!$J$16)*'[2]Set Up'!$N$17+'[2]Set Up'!$O$15+'[2]Set Up'!$O$16,(AI9-'[2]Set Up'!$J$17)*'[2]Set Up'!$N$18 + SUM('[2]Set Up'!$O$15:'[2]Set Up'!$O$17)))))</f>
        <v>327.42252315359372</v>
      </c>
      <c r="AJ14" s="28">
        <f>IF(AJ9="","",IF(AJ9&lt;'[2]Set Up'!$J$15,AJ9*'[2]Set Up'!$N$15,IF(AJ9&lt;'[2]Set Up'!$J$16,(AJ9-'[2]Set Up'!$J$15)*'[2]Set Up'!$N$16+'[2]Set Up'!$O$15,IF(AJ9&lt;'[2]Set Up'!$J$17,(AJ9-'[2]Set Up'!$J$16)*'[2]Set Up'!$N$17+'[2]Set Up'!$O$15+'[2]Set Up'!$O$16,(AJ9-'[2]Set Up'!$J$17)*'[2]Set Up'!$N$18 + SUM('[2]Set Up'!$O$15:'[2]Set Up'!$O$17)))))</f>
        <v>324.42130210145086</v>
      </c>
      <c r="AK14" s="28">
        <f>IF(AK9="","",IF(AK9&lt;'[2]Set Up'!$J$15,AK9*'[2]Set Up'!$N$15,IF(AK9&lt;'[2]Set Up'!$J$16,(AK9-'[2]Set Up'!$J$15)*'[2]Set Up'!$N$16+'[2]Set Up'!$O$15,IF(AK9&lt;'[2]Set Up'!$J$17,(AK9-'[2]Set Up'!$J$16)*'[2]Set Up'!$N$17+'[2]Set Up'!$O$15+'[2]Set Up'!$O$16,(AK9-'[2]Set Up'!$J$17)*'[2]Set Up'!$N$18 + SUM('[2]Set Up'!$O$15:'[2]Set Up'!$O$17)))))</f>
        <v>321.42008104930795</v>
      </c>
      <c r="AL14" s="28">
        <f>IF(AL9="","",IF(AL9&lt;'[2]Set Up'!$J$15,AL9*'[2]Set Up'!$N$15,IF(AL9&lt;'[2]Set Up'!$J$16,(AL9-'[2]Set Up'!$J$15)*'[2]Set Up'!$N$16+'[2]Set Up'!$O$15,IF(AL9&lt;'[2]Set Up'!$J$17,(AL9-'[2]Set Up'!$J$16)*'[2]Set Up'!$N$17+'[2]Set Up'!$O$15+'[2]Set Up'!$O$16,(AL9-'[2]Set Up'!$J$17)*'[2]Set Up'!$N$18 + SUM('[2]Set Up'!$O$15:'[2]Set Up'!$O$17)))))</f>
        <v>318.4188599971651</v>
      </c>
      <c r="AM14" s="28">
        <f>IF(AM9="","",IF(AM9&lt;'[2]Set Up'!$J$15,AM9*'[2]Set Up'!$N$15,IF(AM9&lt;'[2]Set Up'!$J$16,(AM9-'[2]Set Up'!$J$15)*'[2]Set Up'!$N$16+'[2]Set Up'!$O$15,IF(AM9&lt;'[2]Set Up'!$J$17,(AM9-'[2]Set Up'!$J$16)*'[2]Set Up'!$N$17+'[2]Set Up'!$O$15+'[2]Set Up'!$O$16,(AM9-'[2]Set Up'!$J$17)*'[2]Set Up'!$N$18 + SUM('[2]Set Up'!$O$15:'[2]Set Up'!$O$17)))))</f>
        <v>315.41763894502219</v>
      </c>
      <c r="AN14" s="28">
        <f>IF(AN9="","",IF(AN9&lt;'[2]Set Up'!$J$15,AN9*'[2]Set Up'!$N$15,IF(AN9&lt;'[2]Set Up'!$J$16,(AN9-'[2]Set Up'!$J$15)*'[2]Set Up'!$N$16+'[2]Set Up'!$O$15,IF(AN9&lt;'[2]Set Up'!$J$17,(AN9-'[2]Set Up'!$J$16)*'[2]Set Up'!$N$17+'[2]Set Up'!$O$15+'[2]Set Up'!$O$16,(AN9-'[2]Set Up'!$J$17)*'[2]Set Up'!$N$18 + SUM('[2]Set Up'!$O$15:'[2]Set Up'!$O$17)))))</f>
        <v>312.41641789287928</v>
      </c>
      <c r="AO14" s="28">
        <f>IF(AO9="","",IF(AO9&lt;'[2]Set Up'!$J$15,AO9*'[2]Set Up'!$N$15,IF(AO9&lt;'[2]Set Up'!$J$16,(AO9-'[2]Set Up'!$J$15)*'[2]Set Up'!$N$16+'[2]Set Up'!$O$15,IF(AO9&lt;'[2]Set Up'!$J$17,(AO9-'[2]Set Up'!$J$16)*'[2]Set Up'!$N$17+'[2]Set Up'!$O$15+'[2]Set Up'!$O$16,(AO9-'[2]Set Up'!$J$17)*'[2]Set Up'!$N$18 + SUM('[2]Set Up'!$O$15:'[2]Set Up'!$O$17)))))</f>
        <v>309.41519684073643</v>
      </c>
      <c r="AP14" s="28">
        <f>IF(AP9="","",IF(AP9&lt;'[2]Set Up'!$J$15,AP9*'[2]Set Up'!$N$15,IF(AP9&lt;'[2]Set Up'!$J$16,(AP9-'[2]Set Up'!$J$15)*'[2]Set Up'!$N$16+'[2]Set Up'!$O$15,IF(AP9&lt;'[2]Set Up'!$J$17,(AP9-'[2]Set Up'!$J$16)*'[2]Set Up'!$N$17+'[2]Set Up'!$O$15+'[2]Set Up'!$O$16,(AP9-'[2]Set Up'!$J$17)*'[2]Set Up'!$N$18 + SUM('[2]Set Up'!$O$15:'[2]Set Up'!$O$17)))))</f>
        <v>306.41397578859352</v>
      </c>
      <c r="AQ14" s="28">
        <f>IF(AQ9="","",IF(AQ9&lt;'[2]Set Up'!$J$15,AQ9*'[2]Set Up'!$N$15,IF(AQ9&lt;'[2]Set Up'!$J$16,(AQ9-'[2]Set Up'!$J$15)*'[2]Set Up'!$N$16+'[2]Set Up'!$O$15,IF(AQ9&lt;'[2]Set Up'!$J$17,(AQ9-'[2]Set Up'!$J$16)*'[2]Set Up'!$N$17+'[2]Set Up'!$O$15+'[2]Set Up'!$O$16,(AQ9-'[2]Set Up'!$J$17)*'[2]Set Up'!$N$18 + SUM('[2]Set Up'!$O$15:'[2]Set Up'!$O$17)))))</f>
        <v>303.41275473645061</v>
      </c>
      <c r="AR14" s="28">
        <f>IF(AR9="","",IF(AR9&lt;'[2]Set Up'!$J$15,AR9*'[2]Set Up'!$N$15,IF(AR9&lt;'[2]Set Up'!$J$16,(AR9-'[2]Set Up'!$J$15)*'[2]Set Up'!$N$16+'[2]Set Up'!$O$15,IF(AR9&lt;'[2]Set Up'!$J$17,(AR9-'[2]Set Up'!$J$16)*'[2]Set Up'!$N$17+'[2]Set Up'!$O$15+'[2]Set Up'!$O$16,(AR9-'[2]Set Up'!$J$17)*'[2]Set Up'!$N$18 + SUM('[2]Set Up'!$O$15:'[2]Set Up'!$O$17)))))</f>
        <v>300.41153368430776</v>
      </c>
      <c r="AS14" s="28">
        <f>IF(AS9="","",IF(AS9&lt;'[2]Set Up'!$J$15,AS9*'[2]Set Up'!$N$15,IF(AS9&lt;'[2]Set Up'!$J$16,(AS9-'[2]Set Up'!$J$15)*'[2]Set Up'!$N$16+'[2]Set Up'!$O$15,IF(AS9&lt;'[2]Set Up'!$J$17,(AS9-'[2]Set Up'!$J$16)*'[2]Set Up'!$N$17+'[2]Set Up'!$O$15+'[2]Set Up'!$O$16,(AS9-'[2]Set Up'!$J$17)*'[2]Set Up'!$N$18 + SUM('[2]Set Up'!$O$15:'[2]Set Up'!$O$17)))))</f>
        <v>297.41031263216485</v>
      </c>
      <c r="AT14" s="28">
        <f>IF(AT9="","",IF(AT9&lt;'[2]Set Up'!$J$15,AT9*'[2]Set Up'!$N$15,IF(AT9&lt;'[2]Set Up'!$J$16,(AT9-'[2]Set Up'!$J$15)*'[2]Set Up'!$N$16+'[2]Set Up'!$O$15,IF(AT9&lt;'[2]Set Up'!$J$17,(AT9-'[2]Set Up'!$J$16)*'[2]Set Up'!$N$17+'[2]Set Up'!$O$15+'[2]Set Up'!$O$16,(AT9-'[2]Set Up'!$J$17)*'[2]Set Up'!$N$18 + SUM('[2]Set Up'!$O$15:'[2]Set Up'!$O$17)))))</f>
        <v>294.40909158002194</v>
      </c>
      <c r="AU14" s="28">
        <f>IF(AU9="","",IF(AU9&lt;'[2]Set Up'!$J$15,AU9*'[2]Set Up'!$N$15,IF(AU9&lt;'[2]Set Up'!$J$16,(AU9-'[2]Set Up'!$J$15)*'[2]Set Up'!$N$16+'[2]Set Up'!$O$15,IF(AU9&lt;'[2]Set Up'!$J$17,(AU9-'[2]Set Up'!$J$16)*'[2]Set Up'!$N$17+'[2]Set Up'!$O$15+'[2]Set Up'!$O$16,(AU9-'[2]Set Up'!$J$17)*'[2]Set Up'!$N$18 + SUM('[2]Set Up'!$O$15:'[2]Set Up'!$O$17)))))</f>
        <v>291.42280197589969</v>
      </c>
      <c r="AV14" s="28">
        <f>IF(AV9="","",IF(AV9&lt;'[2]Set Up'!$J$15,AV9*'[2]Set Up'!$N$15,IF(AV9&lt;'[2]Set Up'!$J$16,(AV9-'[2]Set Up'!$J$15)*'[2]Set Up'!$N$16+'[2]Set Up'!$O$15,IF(AV9&lt;'[2]Set Up'!$J$17,(AV9-'[2]Set Up'!$J$16)*'[2]Set Up'!$N$17+'[2]Set Up'!$O$15+'[2]Set Up'!$O$16,(AV9-'[2]Set Up'!$J$17)*'[2]Set Up'!$N$18 + SUM('[2]Set Up'!$O$15:'[2]Set Up'!$O$17)))))</f>
        <v>288.42158092375678</v>
      </c>
      <c r="AW14" s="28">
        <f>IF(AW9="","",IF(AW9&lt;'[2]Set Up'!$J$15,AW9*'[2]Set Up'!$N$15,IF(AW9&lt;'[2]Set Up'!$J$16,(AW9-'[2]Set Up'!$J$15)*'[2]Set Up'!$N$16+'[2]Set Up'!$O$15,IF(AW9&lt;'[2]Set Up'!$J$17,(AW9-'[2]Set Up'!$J$16)*'[2]Set Up'!$N$17+'[2]Set Up'!$O$15+'[2]Set Up'!$O$16,(AW9-'[2]Set Up'!$J$17)*'[2]Set Up'!$N$18 + SUM('[2]Set Up'!$O$15:'[2]Set Up'!$O$17)))))</f>
        <v>285.42035987161387</v>
      </c>
      <c r="AX14" s="28">
        <f>IF(AX9="","",IF(AX9&lt;'[2]Set Up'!$J$15,AX9*'[2]Set Up'!$N$15,IF(AX9&lt;'[2]Set Up'!$J$16,(AX9-'[2]Set Up'!$J$15)*'[2]Set Up'!$N$16+'[2]Set Up'!$O$15,IF(AX9&lt;'[2]Set Up'!$J$17,(AX9-'[2]Set Up'!$J$16)*'[2]Set Up'!$N$17+'[2]Set Up'!$O$15+'[2]Set Up'!$O$16,(AX9-'[2]Set Up'!$J$17)*'[2]Set Up'!$N$18 + SUM('[2]Set Up'!$O$15:'[2]Set Up'!$O$17)))))</f>
        <v>282.41913881947102</v>
      </c>
      <c r="AY14" s="28">
        <f>IF(AY9="","",IF(AY9&lt;'[2]Set Up'!$J$15,AY9*'[2]Set Up'!$N$15,IF(AY9&lt;'[2]Set Up'!$J$16,(AY9-'[2]Set Up'!$J$15)*'[2]Set Up'!$N$16+'[2]Set Up'!$O$15,IF(AY9&lt;'[2]Set Up'!$J$17,(AY9-'[2]Set Up'!$J$16)*'[2]Set Up'!$N$17+'[2]Set Up'!$O$15+'[2]Set Up'!$O$16,(AY9-'[2]Set Up'!$J$17)*'[2]Set Up'!$N$18 + SUM('[2]Set Up'!$O$15:'[2]Set Up'!$O$17)))))</f>
        <v>279.41791776732811</v>
      </c>
      <c r="AZ14" s="28">
        <f>IF(AZ9="","",IF(AZ9&lt;'[2]Set Up'!$J$15,AZ9*'[2]Set Up'!$N$15,IF(AZ9&lt;'[2]Set Up'!$J$16,(AZ9-'[2]Set Up'!$J$15)*'[2]Set Up'!$N$16+'[2]Set Up'!$O$15,IF(AZ9&lt;'[2]Set Up'!$J$17,(AZ9-'[2]Set Up'!$J$16)*'[2]Set Up'!$N$17+'[2]Set Up'!$O$15+'[2]Set Up'!$O$16,(AZ9-'[2]Set Up'!$J$17)*'[2]Set Up'!$N$18 + SUM('[2]Set Up'!$O$15:'[2]Set Up'!$O$17)))))</f>
        <v>276.41669671518525</v>
      </c>
      <c r="BA14" s="28">
        <f>IF(BA9="","",IF(BA9&lt;'[2]Set Up'!$J$15,BA9*'[2]Set Up'!$N$15,IF(BA9&lt;'[2]Set Up'!$J$16,(BA9-'[2]Set Up'!$J$15)*'[2]Set Up'!$N$16+'[2]Set Up'!$O$15,IF(BA9&lt;'[2]Set Up'!$J$17,(BA9-'[2]Set Up'!$J$16)*'[2]Set Up'!$N$17+'[2]Set Up'!$O$15+'[2]Set Up'!$O$16,(BA9-'[2]Set Up'!$J$17)*'[2]Set Up'!$N$18 + SUM('[2]Set Up'!$O$15:'[2]Set Up'!$O$17)))))</f>
        <v>273.41547566304234</v>
      </c>
      <c r="BB14" s="28">
        <f>IF(BB9="","",IF(BB9&lt;'[2]Set Up'!$J$15,BB9*'[2]Set Up'!$N$15,IF(BB9&lt;'[2]Set Up'!$J$16,(BB9-'[2]Set Up'!$J$15)*'[2]Set Up'!$N$16+'[2]Set Up'!$O$15,IF(BB9&lt;'[2]Set Up'!$J$17,(BB9-'[2]Set Up'!$J$16)*'[2]Set Up'!$N$17+'[2]Set Up'!$O$15+'[2]Set Up'!$O$16,(BB9-'[2]Set Up'!$J$17)*'[2]Set Up'!$N$18 + SUM('[2]Set Up'!$O$15:'[2]Set Up'!$O$17)))))</f>
        <v>270.41425461089943</v>
      </c>
      <c r="BC14" s="28">
        <f>IF(BC9="","",IF(BC9&lt;'[2]Set Up'!$J$15,BC9*'[2]Set Up'!$N$15,IF(BC9&lt;'[2]Set Up'!$J$16,(BC9-'[2]Set Up'!$J$15)*'[2]Set Up'!$N$16+'[2]Set Up'!$O$15,IF(BC9&lt;'[2]Set Up'!$J$17,(BC9-'[2]Set Up'!$J$16)*'[2]Set Up'!$N$17+'[2]Set Up'!$O$15+'[2]Set Up'!$O$16,(BC9-'[2]Set Up'!$J$17)*'[2]Set Up'!$N$18 + SUM('[2]Set Up'!$O$15:'[2]Set Up'!$O$17)))))</f>
        <v>267.41303355875658</v>
      </c>
      <c r="BD14" s="28">
        <f>IF(BD9="","",IF(BD9&lt;'[2]Set Up'!$J$15,BD9*'[2]Set Up'!$N$15,IF(BD9&lt;'[2]Set Up'!$J$16,(BD9-'[2]Set Up'!$J$15)*'[2]Set Up'!$N$16+'[2]Set Up'!$O$15,IF(BD9&lt;'[2]Set Up'!$J$17,(BD9-'[2]Set Up'!$J$16)*'[2]Set Up'!$N$17+'[2]Set Up'!$O$15+'[2]Set Up'!$O$16,(BD9-'[2]Set Up'!$J$17)*'[2]Set Up'!$N$18 + SUM('[2]Set Up'!$O$15:'[2]Set Up'!$O$17)))))</f>
        <v>0</v>
      </c>
      <c r="BE14" s="28">
        <f>IF(BE9="","",IF(BE9&lt;'[2]Set Up'!$J$15,BE9*'[2]Set Up'!$N$15,IF(BE9&lt;'[2]Set Up'!$J$16,(BE9-'[2]Set Up'!$J$15)*'[2]Set Up'!$N$16+'[2]Set Up'!$O$15,IF(BE9&lt;'[2]Set Up'!$J$17,(BE9-'[2]Set Up'!$J$16)*'[2]Set Up'!$N$17+'[2]Set Up'!$O$15+'[2]Set Up'!$O$16,(BE9-'[2]Set Up'!$J$17)*'[2]Set Up'!$N$18 + SUM('[2]Set Up'!$O$15:'[2]Set Up'!$O$17)))))</f>
        <v>0</v>
      </c>
      <c r="BF14" s="28">
        <f>IF(BF9="","",IF(BF9&lt;'[2]Set Up'!$J$15,BF9*'[2]Set Up'!$N$15,IF(BF9&lt;'[2]Set Up'!$J$16,(BF9-'[2]Set Up'!$J$15)*'[2]Set Up'!$N$16+'[2]Set Up'!$O$15,IF(BF9&lt;'[2]Set Up'!$J$17,(BF9-'[2]Set Up'!$J$16)*'[2]Set Up'!$N$17+'[2]Set Up'!$O$15+'[2]Set Up'!$O$16,(BF9-'[2]Set Up'!$J$17)*'[2]Set Up'!$N$18 + SUM('[2]Set Up'!$O$15:'[2]Set Up'!$O$17)))))</f>
        <v>0</v>
      </c>
      <c r="BG14" s="28">
        <f>IF(BG9="","",IF(BG9&lt;'[2]Set Up'!$J$15,BG9*'[2]Set Up'!$N$15,IF(BG9&lt;'[2]Set Up'!$J$16,(BG9-'[2]Set Up'!$J$15)*'[2]Set Up'!$N$16+'[2]Set Up'!$O$15,IF(BG9&lt;'[2]Set Up'!$J$17,(BG9-'[2]Set Up'!$J$16)*'[2]Set Up'!$N$17+'[2]Set Up'!$O$15+'[2]Set Up'!$O$16,(BG9-'[2]Set Up'!$J$17)*'[2]Set Up'!$N$18 + SUM('[2]Set Up'!$O$15:'[2]Set Up'!$O$17)))))</f>
        <v>0</v>
      </c>
      <c r="BH14" s="28">
        <f>IF(BH9="","",IF(BH9&lt;'[2]Set Up'!$J$15,BH9*'[2]Set Up'!$N$15,IF(BH9&lt;'[2]Set Up'!$J$16,(BH9-'[2]Set Up'!$J$15)*'[2]Set Up'!$N$16+'[2]Set Up'!$O$15,IF(BH9&lt;'[2]Set Up'!$J$17,(BH9-'[2]Set Up'!$J$16)*'[2]Set Up'!$N$17+'[2]Set Up'!$O$15+'[2]Set Up'!$O$16,(BH9-'[2]Set Up'!$J$17)*'[2]Set Up'!$N$18 + SUM('[2]Set Up'!$O$15:'[2]Set Up'!$O$17)))))</f>
        <v>0</v>
      </c>
      <c r="BI14" s="28">
        <f>IF(BI9="","",IF(BI9&lt;'[2]Set Up'!$J$15,BI9*'[2]Set Up'!$N$15,IF(BI9&lt;'[2]Set Up'!$J$16,(BI9-'[2]Set Up'!$J$15)*'[2]Set Up'!$N$16+'[2]Set Up'!$O$15,IF(BI9&lt;'[2]Set Up'!$J$17,(BI9-'[2]Set Up'!$J$16)*'[2]Set Up'!$N$17+'[2]Set Up'!$O$15+'[2]Set Up'!$O$16,(BI9-'[2]Set Up'!$J$17)*'[2]Set Up'!$N$18 + SUM('[2]Set Up'!$O$15:'[2]Set Up'!$O$17)))))</f>
        <v>0</v>
      </c>
      <c r="BJ14" s="28">
        <f>IF(BJ9="","",IF(BJ9&lt;'[2]Set Up'!$J$15,BJ9*'[2]Set Up'!$N$15,IF(BJ9&lt;'[2]Set Up'!$J$16,(BJ9-'[2]Set Up'!$J$15)*'[2]Set Up'!$N$16+'[2]Set Up'!$O$15,IF(BJ9&lt;'[2]Set Up'!$J$17,(BJ9-'[2]Set Up'!$J$16)*'[2]Set Up'!$N$17+'[2]Set Up'!$O$15+'[2]Set Up'!$O$16,(BJ9-'[2]Set Up'!$J$17)*'[2]Set Up'!$N$18 + SUM('[2]Set Up'!$O$15:'[2]Set Up'!$O$17)))))</f>
        <v>0</v>
      </c>
      <c r="BK14" s="28">
        <f>IF(BK9="","",IF(BK9&lt;'[2]Set Up'!$J$15,BK9*'[2]Set Up'!$N$15,IF(BK9&lt;'[2]Set Up'!$J$16,(BK9-'[2]Set Up'!$J$15)*'[2]Set Up'!$N$16+'[2]Set Up'!$O$15,IF(BK9&lt;'[2]Set Up'!$J$17,(BK9-'[2]Set Up'!$J$16)*'[2]Set Up'!$N$17+'[2]Set Up'!$O$15+'[2]Set Up'!$O$16,(BK9-'[2]Set Up'!$J$17)*'[2]Set Up'!$N$18 + SUM('[2]Set Up'!$O$15:'[2]Set Up'!$O$17)))))</f>
        <v>0</v>
      </c>
      <c r="BL14" s="28">
        <f>IF(BL9="","",IF(BL9&lt;'[2]Set Up'!$J$15,BL9*'[2]Set Up'!$N$15,IF(BL9&lt;'[2]Set Up'!$J$16,(BL9-'[2]Set Up'!$J$15)*'[2]Set Up'!$N$16+'[2]Set Up'!$O$15,IF(BL9&lt;'[2]Set Up'!$J$17,(BL9-'[2]Set Up'!$J$16)*'[2]Set Up'!$N$17+'[2]Set Up'!$O$15+'[2]Set Up'!$O$16,(BL9-'[2]Set Up'!$J$17)*'[2]Set Up'!$N$18 + SUM('[2]Set Up'!$O$15:'[2]Set Up'!$O$17)))))</f>
        <v>0</v>
      </c>
      <c r="BM14" s="28">
        <f>IF(BM9="","",IF(BM9&lt;'[2]Set Up'!$J$15,BM9*'[2]Set Up'!$N$15,IF(BM9&lt;'[2]Set Up'!$J$16,(BM9-'[2]Set Up'!$J$15)*'[2]Set Up'!$N$16+'[2]Set Up'!$O$15,IF(BM9&lt;'[2]Set Up'!$J$17,(BM9-'[2]Set Up'!$J$16)*'[2]Set Up'!$N$17+'[2]Set Up'!$O$15+'[2]Set Up'!$O$16,(BM9-'[2]Set Up'!$J$17)*'[2]Set Up'!$N$18 + SUM('[2]Set Up'!$O$15:'[2]Set Up'!$O$17)))))</f>
        <v>0</v>
      </c>
      <c r="BN14" s="28">
        <f>IF(BN9="","",IF(BN9&lt;'[2]Set Up'!$J$15,BN9*'[2]Set Up'!$N$15,IF(BN9&lt;'[2]Set Up'!$J$16,(BN9-'[2]Set Up'!$J$15)*'[2]Set Up'!$N$16+'[2]Set Up'!$O$15,IF(BN9&lt;'[2]Set Up'!$J$17,(BN9-'[2]Set Up'!$J$16)*'[2]Set Up'!$N$17+'[2]Set Up'!$O$15+'[2]Set Up'!$O$16,(BN9-'[2]Set Up'!$J$17)*'[2]Set Up'!$N$18 + SUM('[2]Set Up'!$O$15:'[2]Set Up'!$O$17)))))</f>
        <v>0</v>
      </c>
      <c r="BO14" s="28">
        <f>IF(BO9="","",IF(BO9&lt;'[2]Set Up'!$J$15,BO9*'[2]Set Up'!$N$15,IF(BO9&lt;'[2]Set Up'!$J$16,(BO9-'[2]Set Up'!$J$15)*'[2]Set Up'!$N$16+'[2]Set Up'!$O$15,IF(BO9&lt;'[2]Set Up'!$J$17,(BO9-'[2]Set Up'!$J$16)*'[2]Set Up'!$N$17+'[2]Set Up'!$O$15+'[2]Set Up'!$O$16,(BO9-'[2]Set Up'!$J$17)*'[2]Set Up'!$N$18 + SUM('[2]Set Up'!$O$15:'[2]Set Up'!$O$17)))))</f>
        <v>0</v>
      </c>
      <c r="BP14" s="28">
        <f>IF(BP9="","",IF(BP9&lt;'[2]Set Up'!$J$15,BP9*'[2]Set Up'!$N$15,IF(BP9&lt;'[2]Set Up'!$J$16,(BP9-'[2]Set Up'!$J$15)*'[2]Set Up'!$N$16+'[2]Set Up'!$O$15,IF(BP9&lt;'[2]Set Up'!$J$17,(BP9-'[2]Set Up'!$J$16)*'[2]Set Up'!$N$17+'[2]Set Up'!$O$15+'[2]Set Up'!$O$16,(BP9-'[2]Set Up'!$J$17)*'[2]Set Up'!$N$18 + SUM('[2]Set Up'!$O$15:'[2]Set Up'!$O$17)))))</f>
        <v>0</v>
      </c>
      <c r="BQ14" s="28">
        <f>IF(BQ9="","",IF(BQ9&lt;'[2]Set Up'!$J$15,BQ9*'[2]Set Up'!$N$15,IF(BQ9&lt;'[2]Set Up'!$J$16,(BQ9-'[2]Set Up'!$J$15)*'[2]Set Up'!$N$16+'[2]Set Up'!$O$15,IF(BQ9&lt;'[2]Set Up'!$J$17,(BQ9-'[2]Set Up'!$J$16)*'[2]Set Up'!$N$17+'[2]Set Up'!$O$15+'[2]Set Up'!$O$16,(BQ9-'[2]Set Up'!$J$17)*'[2]Set Up'!$N$18 + SUM('[2]Set Up'!$O$15:'[2]Set Up'!$O$17)))))</f>
        <v>0</v>
      </c>
      <c r="BR14" s="28">
        <f>IF(BR9="","",IF(BR9&lt;'[2]Set Up'!$J$15,BR9*'[2]Set Up'!$N$15,IF(BR9&lt;'[2]Set Up'!$J$16,(BR9-'[2]Set Up'!$J$15)*'[2]Set Up'!$N$16+'[2]Set Up'!$O$15,IF(BR9&lt;'[2]Set Up'!$J$17,(BR9-'[2]Set Up'!$J$16)*'[2]Set Up'!$N$17+'[2]Set Up'!$O$15+'[2]Set Up'!$O$16,(BR9-'[2]Set Up'!$J$17)*'[2]Set Up'!$N$18 + SUM('[2]Set Up'!$O$15:'[2]Set Up'!$O$17)))))</f>
        <v>0</v>
      </c>
      <c r="BS14" s="28">
        <f>IF(BS9="","",IF(BS9&lt;'[2]Set Up'!$J$15,BS9*'[2]Set Up'!$N$15,IF(BS9&lt;'[2]Set Up'!$J$16,(BS9-'[2]Set Up'!$J$15)*'[2]Set Up'!$N$16+'[2]Set Up'!$O$15,IF(BS9&lt;'[2]Set Up'!$J$17,(BS9-'[2]Set Up'!$J$16)*'[2]Set Up'!$N$17+'[2]Set Up'!$O$15+'[2]Set Up'!$O$16,(BS9-'[2]Set Up'!$J$17)*'[2]Set Up'!$N$18 + SUM('[2]Set Up'!$O$15:'[2]Set Up'!$O$17)))))</f>
        <v>0</v>
      </c>
      <c r="BT14" s="28">
        <f>IF(BT9="","",IF(BT9&lt;'[2]Set Up'!$J$15,BT9*'[2]Set Up'!$N$15,IF(BT9&lt;'[2]Set Up'!$J$16,(BT9-'[2]Set Up'!$J$15)*'[2]Set Up'!$N$16+'[2]Set Up'!$O$15,IF(BT9&lt;'[2]Set Up'!$J$17,(BT9-'[2]Set Up'!$J$16)*'[2]Set Up'!$N$17+'[2]Set Up'!$O$15+'[2]Set Up'!$O$16,(BT9-'[2]Set Up'!$J$17)*'[2]Set Up'!$N$18 + SUM('[2]Set Up'!$O$15:'[2]Set Up'!$O$17)))))</f>
        <v>0</v>
      </c>
      <c r="BU14" s="28">
        <f>IF(BU9="","",IF(BU9&lt;'[2]Set Up'!$J$15,BU9*'[2]Set Up'!$N$15,IF(BU9&lt;'[2]Set Up'!$J$16,(BU9-'[2]Set Up'!$J$15)*'[2]Set Up'!$N$16+'[2]Set Up'!$O$15,IF(BU9&lt;'[2]Set Up'!$J$17,(BU9-'[2]Set Up'!$J$16)*'[2]Set Up'!$N$17+'[2]Set Up'!$O$15+'[2]Set Up'!$O$16,(BU9-'[2]Set Up'!$J$17)*'[2]Set Up'!$N$18 + SUM('[2]Set Up'!$O$15:'[2]Set Up'!$O$17)))))</f>
        <v>0</v>
      </c>
      <c r="BV14" s="28">
        <f>IF(BV9="","",IF(BV9&lt;'[2]Set Up'!$J$15,BV9*'[2]Set Up'!$N$15,IF(BV9&lt;'[2]Set Up'!$J$16,(BV9-'[2]Set Up'!$J$15)*'[2]Set Up'!$N$16+'[2]Set Up'!$O$15,IF(BV9&lt;'[2]Set Up'!$J$17,(BV9-'[2]Set Up'!$J$16)*'[2]Set Up'!$N$17+'[2]Set Up'!$O$15+'[2]Set Up'!$O$16,(BV9-'[2]Set Up'!$J$17)*'[2]Set Up'!$N$18 + SUM('[2]Set Up'!$O$15:'[2]Set Up'!$O$17)))))</f>
        <v>0</v>
      </c>
      <c r="BW14" s="28">
        <f>IF(BW9="","",IF(BW9&lt;'[2]Set Up'!$J$15,BW9*'[2]Set Up'!$N$15,IF(BW9&lt;'[2]Set Up'!$J$16,(BW9-'[2]Set Up'!$J$15)*'[2]Set Up'!$N$16+'[2]Set Up'!$O$15,IF(BW9&lt;'[2]Set Up'!$J$17,(BW9-'[2]Set Up'!$J$16)*'[2]Set Up'!$N$17+'[2]Set Up'!$O$15+'[2]Set Up'!$O$16,(BW9-'[2]Set Up'!$J$17)*'[2]Set Up'!$N$18 + SUM('[2]Set Up'!$O$15:'[2]Set Up'!$O$17)))))</f>
        <v>0</v>
      </c>
      <c r="BX14" s="28">
        <f>IF(BX9="","",IF(BX9&lt;'[2]Set Up'!$J$15,BX9*'[2]Set Up'!$N$15,IF(BX9&lt;'[2]Set Up'!$J$16,(BX9-'[2]Set Up'!$J$15)*'[2]Set Up'!$N$16+'[2]Set Up'!$O$15,IF(BX9&lt;'[2]Set Up'!$J$17,(BX9-'[2]Set Up'!$J$16)*'[2]Set Up'!$N$17+'[2]Set Up'!$O$15+'[2]Set Up'!$O$16,(BX9-'[2]Set Up'!$J$17)*'[2]Set Up'!$N$18 + SUM('[2]Set Up'!$O$15:'[2]Set Up'!$O$17)))))</f>
        <v>0</v>
      </c>
      <c r="BY14" s="28">
        <f>IF(BY9="","",IF(BY9&lt;'[2]Set Up'!$J$15,BY9*'[2]Set Up'!$N$15,IF(BY9&lt;'[2]Set Up'!$J$16,(BY9-'[2]Set Up'!$J$15)*'[2]Set Up'!$N$16+'[2]Set Up'!$O$15,IF(BY9&lt;'[2]Set Up'!$J$17,(BY9-'[2]Set Up'!$J$16)*'[2]Set Up'!$N$17+'[2]Set Up'!$O$15+'[2]Set Up'!$O$16,(BY9-'[2]Set Up'!$J$17)*'[2]Set Up'!$N$18 + SUM('[2]Set Up'!$O$15:'[2]Set Up'!$O$17)))))</f>
        <v>0</v>
      </c>
      <c r="BZ14" s="8"/>
    </row>
    <row r="15" spans="1:78" ht="15" thickBot="1" x14ac:dyDescent="0.4">
      <c r="A15" s="29" t="s">
        <v>22</v>
      </c>
      <c r="B15" s="197"/>
      <c r="C15" s="30">
        <f>IF(C11="","",IF(C11&lt;'[2]Set Up'!$J$15,C11*'[2]Set Up'!$N$15,IF(C11&lt;'[2]Set Up'!$J$16,(C11-'[2]Set Up'!$J$15)*'[2]Set Up'!$N$16+'[2]Set Up'!$O$15,IF(C11&lt;'[2]Set Up'!$J$17,(C11-'[2]Set Up'!$J$16)*'[2]Set Up'!$N$17+'[2]Set Up'!$O$15+'[2]Set Up'!$O$16,(C11-'[2]Set Up'!$J$17)*'[2]Set Up'!$N$18 + SUM('[2]Set Up'!$O$15:'[2]Set Up'!$O$17)))))</f>
        <v>423.73036288653725</v>
      </c>
      <c r="D15" s="30">
        <f>IF(D11="","",IF(D11&lt;'[2]Set Up'!$J$15,D11*'[2]Set Up'!$N$15,IF(D11&lt;'[2]Set Up'!$J$16,(D11-'[2]Set Up'!$J$15)*'[2]Set Up'!$N$16+'[2]Set Up'!$O$15,IF(D11&lt;'[2]Set Up'!$J$17,(D11-'[2]Set Up'!$J$16)*'[2]Set Up'!$N$17+'[2]Set Up'!$O$15+'[2]Set Up'!$O$16,(D11-'[2]Set Up'!$J$17)*'[2]Set Up'!$N$18 + SUM('[2]Set Up'!$O$15:'[2]Set Up'!$O$17)))))</f>
        <v>420.72914183439434</v>
      </c>
      <c r="E15" s="30">
        <f>IF(E11="","",IF(E11&lt;'[2]Set Up'!$J$15,E11*'[2]Set Up'!$N$15,IF(E11&lt;'[2]Set Up'!$J$16,(E11-'[2]Set Up'!$J$15)*'[2]Set Up'!$N$16+'[2]Set Up'!$O$15,IF(E11&lt;'[2]Set Up'!$J$17,(E11-'[2]Set Up'!$J$16)*'[2]Set Up'!$N$17+'[2]Set Up'!$O$15+'[2]Set Up'!$O$16,(E11-'[2]Set Up'!$J$17)*'[2]Set Up'!$N$18 + SUM('[2]Set Up'!$O$15:'[2]Set Up'!$O$17)))))</f>
        <v>417.72792078225143</v>
      </c>
      <c r="F15" s="30">
        <f>IF(F11="","",IF(F11&lt;'[2]Set Up'!$J$15,F11*'[2]Set Up'!$N$15,IF(F11&lt;'[2]Set Up'!$J$16,(F11-'[2]Set Up'!$J$15)*'[2]Set Up'!$N$16+'[2]Set Up'!$O$15,IF(F11&lt;'[2]Set Up'!$J$17,(F11-'[2]Set Up'!$J$16)*'[2]Set Up'!$N$17+'[2]Set Up'!$O$15+'[2]Set Up'!$O$16,(F11-'[2]Set Up'!$J$17)*'[2]Set Up'!$N$18 + SUM('[2]Set Up'!$O$15:'[2]Set Up'!$O$17)))))</f>
        <v>414.72669973010858</v>
      </c>
      <c r="G15" s="30">
        <f>IF(G11="","",IF(G11&lt;'[2]Set Up'!$J$15,G11*'[2]Set Up'!$N$15,IF(G11&lt;'[2]Set Up'!$J$16,(G11-'[2]Set Up'!$J$15)*'[2]Set Up'!$N$16+'[2]Set Up'!$O$15,IF(G11&lt;'[2]Set Up'!$J$17,(G11-'[2]Set Up'!$J$16)*'[2]Set Up'!$N$17+'[2]Set Up'!$O$15+'[2]Set Up'!$O$16,(G11-'[2]Set Up'!$J$17)*'[2]Set Up'!$N$18 + SUM('[2]Set Up'!$O$15:'[2]Set Up'!$O$17)))))</f>
        <v>411.72547867796573</v>
      </c>
      <c r="H15" s="30">
        <f>IF(H11="","",IF(H11&lt;'[2]Set Up'!$J$15,H11*'[2]Set Up'!$N$15,IF(H11&lt;'[2]Set Up'!$J$16,(H11-'[2]Set Up'!$J$15)*'[2]Set Up'!$N$16+'[2]Set Up'!$O$15,IF(H11&lt;'[2]Set Up'!$J$17,(H11-'[2]Set Up'!$J$16)*'[2]Set Up'!$N$17+'[2]Set Up'!$O$15+'[2]Set Up'!$O$16,(H11-'[2]Set Up'!$J$17)*'[2]Set Up'!$N$18 + SUM('[2]Set Up'!$O$15:'[2]Set Up'!$O$17)))))</f>
        <v>408.72425762582282</v>
      </c>
      <c r="I15" s="30">
        <f>IF(I11="","",IF(I11&lt;'[2]Set Up'!$J$15,I11*'[2]Set Up'!$N$15,IF(I11&lt;'[2]Set Up'!$J$16,(I11-'[2]Set Up'!$J$15)*'[2]Set Up'!$N$16+'[2]Set Up'!$O$15,IF(I11&lt;'[2]Set Up'!$J$17,(I11-'[2]Set Up'!$J$16)*'[2]Set Up'!$N$17+'[2]Set Up'!$O$15+'[2]Set Up'!$O$16,(I11-'[2]Set Up'!$J$17)*'[2]Set Up'!$N$18 + SUM('[2]Set Up'!$O$15:'[2]Set Up'!$O$17)))))</f>
        <v>405.72303657367991</v>
      </c>
      <c r="J15" s="30">
        <f>IF(J11="","",IF(J11&lt;'[2]Set Up'!$J$15,J11*'[2]Set Up'!$N$15,IF(J11&lt;'[2]Set Up'!$J$16,(J11-'[2]Set Up'!$J$15)*'[2]Set Up'!$N$16+'[2]Set Up'!$O$15,IF(J11&lt;'[2]Set Up'!$J$17,(J11-'[2]Set Up'!$J$16)*'[2]Set Up'!$N$17+'[2]Set Up'!$O$15+'[2]Set Up'!$O$16,(J11-'[2]Set Up'!$J$17)*'[2]Set Up'!$N$18 + SUM('[2]Set Up'!$O$15:'[2]Set Up'!$O$17)))))</f>
        <v>402.721815521537</v>
      </c>
      <c r="K15" s="30">
        <f>IF(K11="","",IF(K11&lt;'[2]Set Up'!$J$15,K11*'[2]Set Up'!$N$15,IF(K11&lt;'[2]Set Up'!$J$16,(K11-'[2]Set Up'!$J$15)*'[2]Set Up'!$N$16+'[2]Set Up'!$O$15,IF(K11&lt;'[2]Set Up'!$J$17,(K11-'[2]Set Up'!$J$16)*'[2]Set Up'!$N$17+'[2]Set Up'!$O$15+'[2]Set Up'!$O$16,(K11-'[2]Set Up'!$J$17)*'[2]Set Up'!$N$18 + SUM('[2]Set Up'!$O$15:'[2]Set Up'!$O$17)))))</f>
        <v>399.72059446939409</v>
      </c>
      <c r="L15" s="30">
        <f>IF(L11="","",IF(L11&lt;'[2]Set Up'!$J$15,L11*'[2]Set Up'!$N$15,IF(L11&lt;'[2]Set Up'!$J$16,(L11-'[2]Set Up'!$J$15)*'[2]Set Up'!$N$16+'[2]Set Up'!$O$15,IF(L11&lt;'[2]Set Up'!$J$17,(L11-'[2]Set Up'!$J$16)*'[2]Set Up'!$N$17+'[2]Set Up'!$O$15+'[2]Set Up'!$O$16,(L11-'[2]Set Up'!$J$17)*'[2]Set Up'!$N$18 + SUM('[2]Set Up'!$O$15:'[2]Set Up'!$O$17)))))</f>
        <v>396.71937341725123</v>
      </c>
      <c r="M15" s="30">
        <f>IF(M11="","",IF(M11&lt;'[2]Set Up'!$J$15,M11*'[2]Set Up'!$N$15,IF(M11&lt;'[2]Set Up'!$J$16,(M11-'[2]Set Up'!$J$15)*'[2]Set Up'!$N$16+'[2]Set Up'!$O$15,IF(M11&lt;'[2]Set Up'!$J$17,(M11-'[2]Set Up'!$J$16)*'[2]Set Up'!$N$17+'[2]Set Up'!$O$15+'[2]Set Up'!$O$16,(M11-'[2]Set Up'!$J$17)*'[2]Set Up'!$N$18 + SUM('[2]Set Up'!$O$15:'[2]Set Up'!$O$17)))))</f>
        <v>393.71815236510838</v>
      </c>
      <c r="N15" s="30">
        <f>IF(N11="","",IF(N11&lt;'[2]Set Up'!$J$15,N11*'[2]Set Up'!$N$15,IF(N11&lt;'[2]Set Up'!$J$16,(N11-'[2]Set Up'!$J$15)*'[2]Set Up'!$N$16+'[2]Set Up'!$O$15,IF(N11&lt;'[2]Set Up'!$J$17,(N11-'[2]Set Up'!$J$16)*'[2]Set Up'!$N$17+'[2]Set Up'!$O$15+'[2]Set Up'!$O$16,(N11-'[2]Set Up'!$J$17)*'[2]Set Up'!$N$18 + SUM('[2]Set Up'!$O$15:'[2]Set Up'!$O$17)))))</f>
        <v>390.73186276098608</v>
      </c>
      <c r="O15" s="30">
        <f>IF(O11="","",IF(O11&lt;'[2]Set Up'!$J$15,O11*'[2]Set Up'!$N$15,IF(O11&lt;'[2]Set Up'!$J$16,(O11-'[2]Set Up'!$J$15)*'[2]Set Up'!$N$16+'[2]Set Up'!$O$15,IF(O11&lt;'[2]Set Up'!$J$17,(O11-'[2]Set Up'!$J$16)*'[2]Set Up'!$N$17+'[2]Set Up'!$O$15+'[2]Set Up'!$O$16,(O11-'[2]Set Up'!$J$17)*'[2]Set Up'!$N$18 + SUM('[2]Set Up'!$O$15:'[2]Set Up'!$O$17)))))</f>
        <v>387.73064170884317</v>
      </c>
      <c r="P15" s="30">
        <f>IF(P11="","",IF(P11&lt;'[2]Set Up'!$J$15,P11*'[2]Set Up'!$N$15,IF(P11&lt;'[2]Set Up'!$J$16,(P11-'[2]Set Up'!$J$15)*'[2]Set Up'!$N$16+'[2]Set Up'!$O$15,IF(P11&lt;'[2]Set Up'!$J$17,(P11-'[2]Set Up'!$J$16)*'[2]Set Up'!$N$17+'[2]Set Up'!$O$15+'[2]Set Up'!$O$16,(P11-'[2]Set Up'!$J$17)*'[2]Set Up'!$N$18 + SUM('[2]Set Up'!$O$15:'[2]Set Up'!$O$17)))))</f>
        <v>384.72942065670031</v>
      </c>
      <c r="Q15" s="30">
        <f>IF(Q11="","",IF(Q11&lt;'[2]Set Up'!$J$15,Q11*'[2]Set Up'!$N$15,IF(Q11&lt;'[2]Set Up'!$J$16,(Q11-'[2]Set Up'!$J$15)*'[2]Set Up'!$N$16+'[2]Set Up'!$O$15,IF(Q11&lt;'[2]Set Up'!$J$17,(Q11-'[2]Set Up'!$J$16)*'[2]Set Up'!$N$17+'[2]Set Up'!$O$15+'[2]Set Up'!$O$16,(Q11-'[2]Set Up'!$J$17)*'[2]Set Up'!$N$18 + SUM('[2]Set Up'!$O$15:'[2]Set Up'!$O$17)))))</f>
        <v>381.7281996045574</v>
      </c>
      <c r="R15" s="30">
        <f>IF(R11="","",IF(R11&lt;'[2]Set Up'!$J$15,R11*'[2]Set Up'!$N$15,IF(R11&lt;'[2]Set Up'!$J$16,(R11-'[2]Set Up'!$J$15)*'[2]Set Up'!$N$16+'[2]Set Up'!$O$15,IF(R11&lt;'[2]Set Up'!$J$17,(R11-'[2]Set Up'!$J$16)*'[2]Set Up'!$N$17+'[2]Set Up'!$O$15+'[2]Set Up'!$O$16,(R11-'[2]Set Up'!$J$17)*'[2]Set Up'!$N$18 + SUM('[2]Set Up'!$O$15:'[2]Set Up'!$O$17)))))</f>
        <v>378.72697855241449</v>
      </c>
      <c r="S15" s="30">
        <f>IF(S11="","",IF(S11&lt;'[2]Set Up'!$J$15,S11*'[2]Set Up'!$N$15,IF(S11&lt;'[2]Set Up'!$J$16,(S11-'[2]Set Up'!$J$15)*'[2]Set Up'!$N$16+'[2]Set Up'!$O$15,IF(S11&lt;'[2]Set Up'!$J$17,(S11-'[2]Set Up'!$J$16)*'[2]Set Up'!$N$17+'[2]Set Up'!$O$15+'[2]Set Up'!$O$16,(S11-'[2]Set Up'!$J$17)*'[2]Set Up'!$N$18 + SUM('[2]Set Up'!$O$15:'[2]Set Up'!$O$17)))))</f>
        <v>375.72575750027158</v>
      </c>
      <c r="T15" s="30">
        <f>IF(T11="","",IF(T11&lt;'[2]Set Up'!$J$15,T11*'[2]Set Up'!$N$15,IF(T11&lt;'[2]Set Up'!$J$16,(T11-'[2]Set Up'!$J$15)*'[2]Set Up'!$N$16+'[2]Set Up'!$O$15,IF(T11&lt;'[2]Set Up'!$J$17,(T11-'[2]Set Up'!$J$16)*'[2]Set Up'!$N$17+'[2]Set Up'!$O$15+'[2]Set Up'!$O$16,(T11-'[2]Set Up'!$J$17)*'[2]Set Up'!$N$18 + SUM('[2]Set Up'!$O$15:'[2]Set Up'!$O$17)))))</f>
        <v>372.72453644812873</v>
      </c>
      <c r="U15" s="30">
        <f>IF(U11="","",IF(U11&lt;'[2]Set Up'!$J$15,U11*'[2]Set Up'!$N$15,IF(U11&lt;'[2]Set Up'!$J$16,(U11-'[2]Set Up'!$J$15)*'[2]Set Up'!$N$16+'[2]Set Up'!$O$15,IF(U11&lt;'[2]Set Up'!$J$17,(U11-'[2]Set Up'!$J$16)*'[2]Set Up'!$N$17+'[2]Set Up'!$O$15+'[2]Set Up'!$O$16,(U11-'[2]Set Up'!$J$17)*'[2]Set Up'!$N$18 + SUM('[2]Set Up'!$O$15:'[2]Set Up'!$O$17)))))</f>
        <v>369.72331539598582</v>
      </c>
      <c r="V15" s="30">
        <f>IF(V11="","",IF(V11&lt;'[2]Set Up'!$J$15,V11*'[2]Set Up'!$N$15,IF(V11&lt;'[2]Set Up'!$J$16,(V11-'[2]Set Up'!$J$15)*'[2]Set Up'!$N$16+'[2]Set Up'!$O$15,IF(V11&lt;'[2]Set Up'!$J$17,(V11-'[2]Set Up'!$J$16)*'[2]Set Up'!$N$17+'[2]Set Up'!$O$15+'[2]Set Up'!$O$16,(V11-'[2]Set Up'!$J$17)*'[2]Set Up'!$N$18 + SUM('[2]Set Up'!$O$15:'[2]Set Up'!$O$17)))))</f>
        <v>366.72209434384297</v>
      </c>
      <c r="W15" s="30">
        <f>IF(W11="","",IF(W11&lt;'[2]Set Up'!$J$15,W11*'[2]Set Up'!$N$15,IF(W11&lt;'[2]Set Up'!$J$16,(W11-'[2]Set Up'!$J$15)*'[2]Set Up'!$N$16+'[2]Set Up'!$O$15,IF(W11&lt;'[2]Set Up'!$J$17,(W11-'[2]Set Up'!$J$16)*'[2]Set Up'!$N$17+'[2]Set Up'!$O$15+'[2]Set Up'!$O$16,(W11-'[2]Set Up'!$J$17)*'[2]Set Up'!$N$18 + SUM('[2]Set Up'!$O$15:'[2]Set Up'!$O$17)))))</f>
        <v>363.72087329170006</v>
      </c>
      <c r="X15" s="30">
        <f>IF(X11="","",IF(X11&lt;'[2]Set Up'!$J$15,X11*'[2]Set Up'!$N$15,IF(X11&lt;'[2]Set Up'!$J$16,(X11-'[2]Set Up'!$J$15)*'[2]Set Up'!$N$16+'[2]Set Up'!$O$15,IF(X11&lt;'[2]Set Up'!$J$17,(X11-'[2]Set Up'!$J$16)*'[2]Set Up'!$N$17+'[2]Set Up'!$O$15+'[2]Set Up'!$O$16,(X11-'[2]Set Up'!$J$17)*'[2]Set Up'!$N$18 + SUM('[2]Set Up'!$O$15:'[2]Set Up'!$O$17)))))</f>
        <v>360.71965223955715</v>
      </c>
      <c r="Y15" s="30">
        <f>IF(Y11="","",IF(Y11&lt;'[2]Set Up'!$J$15,Y11*'[2]Set Up'!$N$15,IF(Y11&lt;'[2]Set Up'!$J$16,(Y11-'[2]Set Up'!$J$15)*'[2]Set Up'!$N$16+'[2]Set Up'!$O$15,IF(Y11&lt;'[2]Set Up'!$J$17,(Y11-'[2]Set Up'!$J$16)*'[2]Set Up'!$N$17+'[2]Set Up'!$O$15+'[2]Set Up'!$O$16,(Y11-'[2]Set Up'!$J$17)*'[2]Set Up'!$N$18 + SUM('[2]Set Up'!$O$15:'[2]Set Up'!$O$17)))))</f>
        <v>357.71843118741424</v>
      </c>
      <c r="Z15" s="30">
        <f>IF(Z11="","",IF(Z11&lt;'[2]Set Up'!$J$15,Z11*'[2]Set Up'!$N$15,IF(Z11&lt;'[2]Set Up'!$J$16,(Z11-'[2]Set Up'!$J$15)*'[2]Set Up'!$N$16+'[2]Set Up'!$O$15,IF(Z11&lt;'[2]Set Up'!$J$17,(Z11-'[2]Set Up'!$J$16)*'[2]Set Up'!$N$17+'[2]Set Up'!$O$15+'[2]Set Up'!$O$16,(Z11-'[2]Set Up'!$J$17)*'[2]Set Up'!$N$18 + SUM('[2]Set Up'!$O$15:'[2]Set Up'!$O$17)))))</f>
        <v>354.71721013527139</v>
      </c>
      <c r="AA15" s="30">
        <f>IF(AA11="","",IF(AA11&lt;'[2]Set Up'!$J$15,AA11*'[2]Set Up'!$N$15,IF(AA11&lt;'[2]Set Up'!$J$16,(AA11-'[2]Set Up'!$J$15)*'[2]Set Up'!$N$16+'[2]Set Up'!$O$15,IF(AA11&lt;'[2]Set Up'!$J$17,(AA11-'[2]Set Up'!$J$16)*'[2]Set Up'!$N$17+'[2]Set Up'!$O$15+'[2]Set Up'!$O$16,(AA11-'[2]Set Up'!$J$17)*'[2]Set Up'!$N$18 + SUM('[2]Set Up'!$O$15:'[2]Set Up'!$O$17)))))</f>
        <v>351.71598908312848</v>
      </c>
      <c r="AB15" s="30">
        <f>IF(AB11="","",IF(AB11&lt;'[2]Set Up'!$J$15,AB11*'[2]Set Up'!$N$15,IF(AB11&lt;'[2]Set Up'!$J$16,(AB11-'[2]Set Up'!$J$15)*'[2]Set Up'!$N$16+'[2]Set Up'!$O$15,IF(AB11&lt;'[2]Set Up'!$J$17,(AB11-'[2]Set Up'!$J$16)*'[2]Set Up'!$N$17+'[2]Set Up'!$O$15+'[2]Set Up'!$O$16,(AB11-'[2]Set Up'!$J$17)*'[2]Set Up'!$N$18 + SUM('[2]Set Up'!$O$15:'[2]Set Up'!$O$17)))))</f>
        <v>348.71476803098562</v>
      </c>
      <c r="AC15" s="30">
        <f>IF(AC11="","",IF(AC11&lt;'[2]Set Up'!$J$15,AC11*'[2]Set Up'!$N$15,IF(AC11&lt;'[2]Set Up'!$J$16,(AC11-'[2]Set Up'!$J$15)*'[2]Set Up'!$N$16+'[2]Set Up'!$O$15,IF(AC11&lt;'[2]Set Up'!$J$17,(AC11-'[2]Set Up'!$J$16)*'[2]Set Up'!$N$17+'[2]Set Up'!$O$15+'[2]Set Up'!$O$16,(AC11-'[2]Set Up'!$J$17)*'[2]Set Up'!$N$18 + SUM('[2]Set Up'!$O$15:'[2]Set Up'!$O$17)))))</f>
        <v>345.71354697884271</v>
      </c>
      <c r="AD15" s="30">
        <f>IF(AD11="","",IF(AD11&lt;'[2]Set Up'!$J$15,AD11*'[2]Set Up'!$N$15,IF(AD11&lt;'[2]Set Up'!$J$16,(AD11-'[2]Set Up'!$J$15)*'[2]Set Up'!$N$16+'[2]Set Up'!$O$15,IF(AD11&lt;'[2]Set Up'!$J$17,(AD11-'[2]Set Up'!$J$16)*'[2]Set Up'!$N$17+'[2]Set Up'!$O$15+'[2]Set Up'!$O$16,(AD11-'[2]Set Up'!$J$17)*'[2]Set Up'!$N$18 + SUM('[2]Set Up'!$O$15:'[2]Set Up'!$O$17)))))</f>
        <v>342.7123259266998</v>
      </c>
      <c r="AE15" s="30">
        <f>IF(AE11="","",IF(AE11&lt;'[2]Set Up'!$J$15,AE11*'[2]Set Up'!$N$15,IF(AE11&lt;'[2]Set Up'!$J$16,(AE11-'[2]Set Up'!$J$15)*'[2]Set Up'!$N$16+'[2]Set Up'!$O$15,IF(AE11&lt;'[2]Set Up'!$J$17,(AE11-'[2]Set Up'!$J$16)*'[2]Set Up'!$N$17+'[2]Set Up'!$O$15+'[2]Set Up'!$O$16,(AE11-'[2]Set Up'!$J$17)*'[2]Set Up'!$N$18 + SUM('[2]Set Up'!$O$15:'[2]Set Up'!$O$17)))))</f>
        <v>339.7111048745569</v>
      </c>
      <c r="AF15" s="30">
        <f>IF(AF11="","",IF(AF11&lt;'[2]Set Up'!$J$15,AF11*'[2]Set Up'!$N$15,IF(AF11&lt;'[2]Set Up'!$J$16,(AF11-'[2]Set Up'!$J$15)*'[2]Set Up'!$N$16+'[2]Set Up'!$O$15,IF(AF11&lt;'[2]Set Up'!$J$17,(AF11-'[2]Set Up'!$J$16)*'[2]Set Up'!$N$17+'[2]Set Up'!$O$15+'[2]Set Up'!$O$16,(AF11-'[2]Set Up'!$J$17)*'[2]Set Up'!$N$18 + SUM('[2]Set Up'!$O$15:'[2]Set Up'!$O$17)))))</f>
        <v>336.70988382241404</v>
      </c>
      <c r="AG15" s="30">
        <f>IF(AG11="","",IF(AG11&lt;'[2]Set Up'!$J$15,AG11*'[2]Set Up'!$N$15,IF(AG11&lt;'[2]Set Up'!$J$16,(AG11-'[2]Set Up'!$J$15)*'[2]Set Up'!$N$16+'[2]Set Up'!$O$15,IF(AG11&lt;'[2]Set Up'!$J$17,(AG11-'[2]Set Up'!$J$16)*'[2]Set Up'!$N$17+'[2]Set Up'!$O$15+'[2]Set Up'!$O$16,(AG11-'[2]Set Up'!$J$17)*'[2]Set Up'!$N$18 + SUM('[2]Set Up'!$O$15:'[2]Set Up'!$O$17)))))</f>
        <v>333.70866277027113</v>
      </c>
      <c r="AH15" s="30">
        <f>IF(AH11="","",IF(AH11&lt;'[2]Set Up'!$J$15,AH11*'[2]Set Up'!$N$15,IF(AH11&lt;'[2]Set Up'!$J$16,(AH11-'[2]Set Up'!$J$15)*'[2]Set Up'!$N$16+'[2]Set Up'!$O$15,IF(AH11&lt;'[2]Set Up'!$J$17,(AH11-'[2]Set Up'!$J$16)*'[2]Set Up'!$N$17+'[2]Set Up'!$O$15+'[2]Set Up'!$O$16,(AH11-'[2]Set Up'!$J$17)*'[2]Set Up'!$N$18 + SUM('[2]Set Up'!$O$15:'[2]Set Up'!$O$17)))))</f>
        <v>330.70744171812828</v>
      </c>
      <c r="AI15" s="30">
        <f>IF(AI11="","",IF(AI11&lt;'[2]Set Up'!$J$15,AI11*'[2]Set Up'!$N$15,IF(AI11&lt;'[2]Set Up'!$J$16,(AI11-'[2]Set Up'!$J$15)*'[2]Set Up'!$N$16+'[2]Set Up'!$O$15,IF(AI11&lt;'[2]Set Up'!$J$17,(AI11-'[2]Set Up'!$J$16)*'[2]Set Up'!$N$17+'[2]Set Up'!$O$15+'[2]Set Up'!$O$16,(AI11-'[2]Set Up'!$J$17)*'[2]Set Up'!$N$18 + SUM('[2]Set Up'!$O$15:'[2]Set Up'!$O$17)))))</f>
        <v>327.70622066598537</v>
      </c>
      <c r="AJ15" s="30">
        <f>IF(AJ11="","",IF(AJ11&lt;'[2]Set Up'!$J$15,AJ11*'[2]Set Up'!$N$15,IF(AJ11&lt;'[2]Set Up'!$J$16,(AJ11-'[2]Set Up'!$J$15)*'[2]Set Up'!$N$16+'[2]Set Up'!$O$15,IF(AJ11&lt;'[2]Set Up'!$J$17,(AJ11-'[2]Set Up'!$J$16)*'[2]Set Up'!$N$17+'[2]Set Up'!$O$15+'[2]Set Up'!$O$16,(AJ11-'[2]Set Up'!$J$17)*'[2]Set Up'!$N$18 + SUM('[2]Set Up'!$O$15:'[2]Set Up'!$O$17)))))</f>
        <v>324.70499961384246</v>
      </c>
      <c r="AK15" s="30">
        <f>IF(AK11="","",IF(AK11&lt;'[2]Set Up'!$J$15,AK11*'[2]Set Up'!$N$15,IF(AK11&lt;'[2]Set Up'!$J$16,(AK11-'[2]Set Up'!$J$15)*'[2]Set Up'!$N$16+'[2]Set Up'!$O$15,IF(AK11&lt;'[2]Set Up'!$J$17,(AK11-'[2]Set Up'!$J$16)*'[2]Set Up'!$N$17+'[2]Set Up'!$O$15+'[2]Set Up'!$O$16,(AK11-'[2]Set Up'!$J$17)*'[2]Set Up'!$N$18 + SUM('[2]Set Up'!$O$15:'[2]Set Up'!$O$17)))))</f>
        <v>321.70377856169955</v>
      </c>
      <c r="AL15" s="30">
        <f>IF(AL11="","",IF(AL11&lt;'[2]Set Up'!$J$15,AL11*'[2]Set Up'!$N$15,IF(AL11&lt;'[2]Set Up'!$J$16,(AL11-'[2]Set Up'!$J$15)*'[2]Set Up'!$N$16+'[2]Set Up'!$O$15,IF(AL11&lt;'[2]Set Up'!$J$17,(AL11-'[2]Set Up'!$J$16)*'[2]Set Up'!$N$17+'[2]Set Up'!$O$15+'[2]Set Up'!$O$16,(AL11-'[2]Set Up'!$J$17)*'[2]Set Up'!$N$18 + SUM('[2]Set Up'!$O$15:'[2]Set Up'!$O$17)))))</f>
        <v>318.7025575095567</v>
      </c>
      <c r="AM15" s="30">
        <f>IF(AM11="","",IF(AM11&lt;'[2]Set Up'!$J$15,AM11*'[2]Set Up'!$N$15,IF(AM11&lt;'[2]Set Up'!$J$16,(AM11-'[2]Set Up'!$J$15)*'[2]Set Up'!$N$16+'[2]Set Up'!$O$15,IF(AM11&lt;'[2]Set Up'!$J$17,(AM11-'[2]Set Up'!$J$16)*'[2]Set Up'!$N$17+'[2]Set Up'!$O$15+'[2]Set Up'!$O$16,(AM11-'[2]Set Up'!$J$17)*'[2]Set Up'!$N$18 + SUM('[2]Set Up'!$O$15:'[2]Set Up'!$O$17)))))</f>
        <v>315.70133645741379</v>
      </c>
      <c r="AN15" s="30">
        <f>IF(AN11="","",IF(AN11&lt;'[2]Set Up'!$J$15,AN11*'[2]Set Up'!$N$15,IF(AN11&lt;'[2]Set Up'!$J$16,(AN11-'[2]Set Up'!$J$15)*'[2]Set Up'!$N$16+'[2]Set Up'!$O$15,IF(AN11&lt;'[2]Set Up'!$J$17,(AN11-'[2]Set Up'!$J$16)*'[2]Set Up'!$N$17+'[2]Set Up'!$O$15+'[2]Set Up'!$O$16,(AN11-'[2]Set Up'!$J$17)*'[2]Set Up'!$N$18 + SUM('[2]Set Up'!$O$15:'[2]Set Up'!$O$17)))))</f>
        <v>312.70011540527094</v>
      </c>
      <c r="AO15" s="30">
        <f>IF(AO11="","",IF(AO11&lt;'[2]Set Up'!$J$15,AO11*'[2]Set Up'!$N$15,IF(AO11&lt;'[2]Set Up'!$J$16,(AO11-'[2]Set Up'!$J$15)*'[2]Set Up'!$N$16+'[2]Set Up'!$O$15,IF(AO11&lt;'[2]Set Up'!$J$17,(AO11-'[2]Set Up'!$J$16)*'[2]Set Up'!$N$17+'[2]Set Up'!$O$15+'[2]Set Up'!$O$16,(AO11-'[2]Set Up'!$J$17)*'[2]Set Up'!$N$18 + SUM('[2]Set Up'!$O$15:'[2]Set Up'!$O$17)))))</f>
        <v>309.69889435312803</v>
      </c>
      <c r="AP15" s="30">
        <f>IF(AP11="","",IF(AP11&lt;'[2]Set Up'!$J$15,AP11*'[2]Set Up'!$N$15,IF(AP11&lt;'[2]Set Up'!$J$16,(AP11-'[2]Set Up'!$J$15)*'[2]Set Up'!$N$16+'[2]Set Up'!$O$15,IF(AP11&lt;'[2]Set Up'!$J$17,(AP11-'[2]Set Up'!$J$16)*'[2]Set Up'!$N$17+'[2]Set Up'!$O$15+'[2]Set Up'!$O$16,(AP11-'[2]Set Up'!$J$17)*'[2]Set Up'!$N$18 + SUM('[2]Set Up'!$O$15:'[2]Set Up'!$O$17)))))</f>
        <v>306.69767330098512</v>
      </c>
      <c r="AQ15" s="30">
        <f>IF(AQ11="","",IF(AQ11&lt;'[2]Set Up'!$J$15,AQ11*'[2]Set Up'!$N$15,IF(AQ11&lt;'[2]Set Up'!$J$16,(AQ11-'[2]Set Up'!$J$15)*'[2]Set Up'!$N$16+'[2]Set Up'!$O$15,IF(AQ11&lt;'[2]Set Up'!$J$17,(AQ11-'[2]Set Up'!$J$16)*'[2]Set Up'!$N$17+'[2]Set Up'!$O$15+'[2]Set Up'!$O$16,(AQ11-'[2]Set Up'!$J$17)*'[2]Set Up'!$N$18 + SUM('[2]Set Up'!$O$15:'[2]Set Up'!$O$17)))))</f>
        <v>303.69645224884226</v>
      </c>
      <c r="AR15" s="30">
        <f>IF(AR11="","",IF(AR11&lt;'[2]Set Up'!$J$15,AR11*'[2]Set Up'!$N$15,IF(AR11&lt;'[2]Set Up'!$J$16,(AR11-'[2]Set Up'!$J$15)*'[2]Set Up'!$N$16+'[2]Set Up'!$O$15,IF(AR11&lt;'[2]Set Up'!$J$17,(AR11-'[2]Set Up'!$J$16)*'[2]Set Up'!$N$17+'[2]Set Up'!$O$15+'[2]Set Up'!$O$16,(AR11-'[2]Set Up'!$J$17)*'[2]Set Up'!$N$18 + SUM('[2]Set Up'!$O$15:'[2]Set Up'!$O$17)))))</f>
        <v>300.69523119669935</v>
      </c>
      <c r="AS15" s="30">
        <f>IF(AS11="","",IF(AS11&lt;'[2]Set Up'!$J$15,AS11*'[2]Set Up'!$N$15,IF(AS11&lt;'[2]Set Up'!$J$16,(AS11-'[2]Set Up'!$J$15)*'[2]Set Up'!$N$16+'[2]Set Up'!$O$15,IF(AS11&lt;'[2]Set Up'!$J$17,(AS11-'[2]Set Up'!$J$16)*'[2]Set Up'!$N$17+'[2]Set Up'!$O$15+'[2]Set Up'!$O$16,(AS11-'[2]Set Up'!$J$17)*'[2]Set Up'!$N$18 + SUM('[2]Set Up'!$O$15:'[2]Set Up'!$O$17)))))</f>
        <v>297.69401014455644</v>
      </c>
      <c r="AT15" s="30">
        <f>IF(AT11="","",IF(AT11&lt;'[2]Set Up'!$J$15,AT11*'[2]Set Up'!$N$15,IF(AT11&lt;'[2]Set Up'!$J$16,(AT11-'[2]Set Up'!$J$15)*'[2]Set Up'!$N$16+'[2]Set Up'!$O$15,IF(AT11&lt;'[2]Set Up'!$J$17,(AT11-'[2]Set Up'!$J$16)*'[2]Set Up'!$N$17+'[2]Set Up'!$O$15+'[2]Set Up'!$O$16,(AT11-'[2]Set Up'!$J$17)*'[2]Set Up'!$N$18 + SUM('[2]Set Up'!$O$15:'[2]Set Up'!$O$17)))))</f>
        <v>294.69278909241359</v>
      </c>
      <c r="AU15" s="30">
        <f>IF(AU11="","",IF(AU11&lt;'[2]Set Up'!$J$15,AU11*'[2]Set Up'!$N$15,IF(AU11&lt;'[2]Set Up'!$J$16,(AU11-'[2]Set Up'!$J$15)*'[2]Set Up'!$N$16+'[2]Set Up'!$O$15,IF(AU11&lt;'[2]Set Up'!$J$17,(AU11-'[2]Set Up'!$J$16)*'[2]Set Up'!$N$17+'[2]Set Up'!$O$15+'[2]Set Up'!$O$16,(AU11-'[2]Set Up'!$J$17)*'[2]Set Up'!$N$18 + SUM('[2]Set Up'!$O$15:'[2]Set Up'!$O$17)))))</f>
        <v>291.70649948829129</v>
      </c>
      <c r="AV15" s="30">
        <f>IF(AV11="","",IF(AV11&lt;'[2]Set Up'!$J$15,AV11*'[2]Set Up'!$N$15,IF(AV11&lt;'[2]Set Up'!$J$16,(AV11-'[2]Set Up'!$J$15)*'[2]Set Up'!$N$16+'[2]Set Up'!$O$15,IF(AV11&lt;'[2]Set Up'!$J$17,(AV11-'[2]Set Up'!$J$16)*'[2]Set Up'!$N$17+'[2]Set Up'!$O$15+'[2]Set Up'!$O$16,(AV11-'[2]Set Up'!$J$17)*'[2]Set Up'!$N$18 + SUM('[2]Set Up'!$O$15:'[2]Set Up'!$O$17)))))</f>
        <v>288.70527843614843</v>
      </c>
      <c r="AW15" s="30">
        <f>IF(AW11="","",IF(AW11&lt;'[2]Set Up'!$J$15,AW11*'[2]Set Up'!$N$15,IF(AW11&lt;'[2]Set Up'!$J$16,(AW11-'[2]Set Up'!$J$15)*'[2]Set Up'!$N$16+'[2]Set Up'!$O$15,IF(AW11&lt;'[2]Set Up'!$J$17,(AW11-'[2]Set Up'!$J$16)*'[2]Set Up'!$N$17+'[2]Set Up'!$O$15+'[2]Set Up'!$O$16,(AW11-'[2]Set Up'!$J$17)*'[2]Set Up'!$N$18 + SUM('[2]Set Up'!$O$15:'[2]Set Up'!$O$17)))))</f>
        <v>285.70405738400552</v>
      </c>
      <c r="AX15" s="30">
        <f>IF(AX11="","",IF(AX11&lt;'[2]Set Up'!$J$15,AX11*'[2]Set Up'!$N$15,IF(AX11&lt;'[2]Set Up'!$J$16,(AX11-'[2]Set Up'!$J$15)*'[2]Set Up'!$N$16+'[2]Set Up'!$O$15,IF(AX11&lt;'[2]Set Up'!$J$17,(AX11-'[2]Set Up'!$J$16)*'[2]Set Up'!$N$17+'[2]Set Up'!$O$15+'[2]Set Up'!$O$16,(AX11-'[2]Set Up'!$J$17)*'[2]Set Up'!$N$18 + SUM('[2]Set Up'!$O$15:'[2]Set Up'!$O$17)))))</f>
        <v>282.70283633186261</v>
      </c>
      <c r="AY15" s="30">
        <f>IF(AY11="","",IF(AY11&lt;'[2]Set Up'!$J$15,AY11*'[2]Set Up'!$N$15,IF(AY11&lt;'[2]Set Up'!$J$16,(AY11-'[2]Set Up'!$J$15)*'[2]Set Up'!$N$16+'[2]Set Up'!$O$15,IF(AY11&lt;'[2]Set Up'!$J$17,(AY11-'[2]Set Up'!$J$16)*'[2]Set Up'!$N$17+'[2]Set Up'!$O$15+'[2]Set Up'!$O$16,(AY11-'[2]Set Up'!$J$17)*'[2]Set Up'!$N$18 + SUM('[2]Set Up'!$O$15:'[2]Set Up'!$O$17)))))</f>
        <v>279.7016152797197</v>
      </c>
      <c r="AZ15" s="30">
        <f>IF(AZ11="","",IF(AZ11&lt;'[2]Set Up'!$J$15,AZ11*'[2]Set Up'!$N$15,IF(AZ11&lt;'[2]Set Up'!$J$16,(AZ11-'[2]Set Up'!$J$15)*'[2]Set Up'!$N$16+'[2]Set Up'!$O$15,IF(AZ11&lt;'[2]Set Up'!$J$17,(AZ11-'[2]Set Up'!$J$16)*'[2]Set Up'!$N$17+'[2]Set Up'!$O$15+'[2]Set Up'!$O$16,(AZ11-'[2]Set Up'!$J$17)*'[2]Set Up'!$N$18 + SUM('[2]Set Up'!$O$15:'[2]Set Up'!$O$17)))))</f>
        <v>276.70039422757685</v>
      </c>
      <c r="BA15" s="30">
        <f>IF(BA11="","",IF(BA11&lt;'[2]Set Up'!$J$15,BA11*'[2]Set Up'!$N$15,IF(BA11&lt;'[2]Set Up'!$J$16,(BA11-'[2]Set Up'!$J$15)*'[2]Set Up'!$N$16+'[2]Set Up'!$O$15,IF(BA11&lt;'[2]Set Up'!$J$17,(BA11-'[2]Set Up'!$J$16)*'[2]Set Up'!$N$17+'[2]Set Up'!$O$15+'[2]Set Up'!$O$16,(BA11-'[2]Set Up'!$J$17)*'[2]Set Up'!$N$18 + SUM('[2]Set Up'!$O$15:'[2]Set Up'!$O$17)))))</f>
        <v>273.69917317543394</v>
      </c>
      <c r="BB15" s="30">
        <f>IF(BB11="","",IF(BB11&lt;'[2]Set Up'!$J$15,BB11*'[2]Set Up'!$N$15,IF(BB11&lt;'[2]Set Up'!$J$16,(BB11-'[2]Set Up'!$J$15)*'[2]Set Up'!$N$16+'[2]Set Up'!$O$15,IF(BB11&lt;'[2]Set Up'!$J$17,(BB11-'[2]Set Up'!$J$16)*'[2]Set Up'!$N$17+'[2]Set Up'!$O$15+'[2]Set Up'!$O$16,(BB11-'[2]Set Up'!$J$17)*'[2]Set Up'!$N$18 + SUM('[2]Set Up'!$O$15:'[2]Set Up'!$O$17)))))</f>
        <v>270.69795212329109</v>
      </c>
      <c r="BC15" s="30">
        <f>IF(BC11="","",IF(BC11&lt;'[2]Set Up'!$J$15,BC11*'[2]Set Up'!$N$15,IF(BC11&lt;'[2]Set Up'!$J$16,(BC11-'[2]Set Up'!$J$15)*'[2]Set Up'!$N$16+'[2]Set Up'!$O$15,IF(BC11&lt;'[2]Set Up'!$J$17,(BC11-'[2]Set Up'!$J$16)*'[2]Set Up'!$N$17+'[2]Set Up'!$O$15+'[2]Set Up'!$O$16,(BC11-'[2]Set Up'!$J$17)*'[2]Set Up'!$N$18 + SUM('[2]Set Up'!$O$15:'[2]Set Up'!$O$17)))))</f>
        <v>267.69673107114818</v>
      </c>
      <c r="BD15" s="30">
        <f>IF(BD11="","",IF(BD11&lt;'[2]Set Up'!$J$15,BD11*'[2]Set Up'!$N$15,IF(BD11&lt;'[2]Set Up'!$J$16,(BD11-'[2]Set Up'!$J$15)*'[2]Set Up'!$N$16+'[2]Set Up'!$O$15,IF(BD11&lt;'[2]Set Up'!$J$17,(BD11-'[2]Set Up'!$J$16)*'[2]Set Up'!$N$17+'[2]Set Up'!$O$15+'[2]Set Up'!$O$16,(BD11-'[2]Set Up'!$J$17)*'[2]Set Up'!$N$18 + SUM('[2]Set Up'!$O$15:'[2]Set Up'!$O$17)))))</f>
        <v>0</v>
      </c>
      <c r="BE15" s="30">
        <f>IF(BE11="","",IF(BE11&lt;'[2]Set Up'!$J$15,BE11*'[2]Set Up'!$N$15,IF(BE11&lt;'[2]Set Up'!$J$16,(BE11-'[2]Set Up'!$J$15)*'[2]Set Up'!$N$16+'[2]Set Up'!$O$15,IF(BE11&lt;'[2]Set Up'!$J$17,(BE11-'[2]Set Up'!$J$16)*'[2]Set Up'!$N$17+'[2]Set Up'!$O$15+'[2]Set Up'!$O$16,(BE11-'[2]Set Up'!$J$17)*'[2]Set Up'!$N$18 + SUM('[2]Set Up'!$O$15:'[2]Set Up'!$O$17)))))</f>
        <v>0</v>
      </c>
      <c r="BF15" s="30">
        <f>IF(BF11="","",IF(BF11&lt;'[2]Set Up'!$J$15,BF11*'[2]Set Up'!$N$15,IF(BF11&lt;'[2]Set Up'!$J$16,(BF11-'[2]Set Up'!$J$15)*'[2]Set Up'!$N$16+'[2]Set Up'!$O$15,IF(BF11&lt;'[2]Set Up'!$J$17,(BF11-'[2]Set Up'!$J$16)*'[2]Set Up'!$N$17+'[2]Set Up'!$O$15+'[2]Set Up'!$O$16,(BF11-'[2]Set Up'!$J$17)*'[2]Set Up'!$N$18 + SUM('[2]Set Up'!$O$15:'[2]Set Up'!$O$17)))))</f>
        <v>0</v>
      </c>
      <c r="BG15" s="30">
        <f>IF(BG11="","",IF(BG11&lt;'[2]Set Up'!$J$15,BG11*'[2]Set Up'!$N$15,IF(BG11&lt;'[2]Set Up'!$J$16,(BG11-'[2]Set Up'!$J$15)*'[2]Set Up'!$N$16+'[2]Set Up'!$O$15,IF(BG11&lt;'[2]Set Up'!$J$17,(BG11-'[2]Set Up'!$J$16)*'[2]Set Up'!$N$17+'[2]Set Up'!$O$15+'[2]Set Up'!$O$16,(BG11-'[2]Set Up'!$J$17)*'[2]Set Up'!$N$18 + SUM('[2]Set Up'!$O$15:'[2]Set Up'!$O$17)))))</f>
        <v>0</v>
      </c>
      <c r="BH15" s="30">
        <f>IF(BH11="","",IF(BH11&lt;'[2]Set Up'!$J$15,BH11*'[2]Set Up'!$N$15,IF(BH11&lt;'[2]Set Up'!$J$16,(BH11-'[2]Set Up'!$J$15)*'[2]Set Up'!$N$16+'[2]Set Up'!$O$15,IF(BH11&lt;'[2]Set Up'!$J$17,(BH11-'[2]Set Up'!$J$16)*'[2]Set Up'!$N$17+'[2]Set Up'!$O$15+'[2]Set Up'!$O$16,(BH11-'[2]Set Up'!$J$17)*'[2]Set Up'!$N$18 + SUM('[2]Set Up'!$O$15:'[2]Set Up'!$O$17)))))</f>
        <v>0</v>
      </c>
      <c r="BI15" s="30">
        <f>IF(BI11="","",IF(BI11&lt;'[2]Set Up'!$J$15,BI11*'[2]Set Up'!$N$15,IF(BI11&lt;'[2]Set Up'!$J$16,(BI11-'[2]Set Up'!$J$15)*'[2]Set Up'!$N$16+'[2]Set Up'!$O$15,IF(BI11&lt;'[2]Set Up'!$J$17,(BI11-'[2]Set Up'!$J$16)*'[2]Set Up'!$N$17+'[2]Set Up'!$O$15+'[2]Set Up'!$O$16,(BI11-'[2]Set Up'!$J$17)*'[2]Set Up'!$N$18 + SUM('[2]Set Up'!$O$15:'[2]Set Up'!$O$17)))))</f>
        <v>0</v>
      </c>
      <c r="BJ15" s="30">
        <f>IF(BJ11="","",IF(BJ11&lt;'[2]Set Up'!$J$15,BJ11*'[2]Set Up'!$N$15,IF(BJ11&lt;'[2]Set Up'!$J$16,(BJ11-'[2]Set Up'!$J$15)*'[2]Set Up'!$N$16+'[2]Set Up'!$O$15,IF(BJ11&lt;'[2]Set Up'!$J$17,(BJ11-'[2]Set Up'!$J$16)*'[2]Set Up'!$N$17+'[2]Set Up'!$O$15+'[2]Set Up'!$O$16,(BJ11-'[2]Set Up'!$J$17)*'[2]Set Up'!$N$18 + SUM('[2]Set Up'!$O$15:'[2]Set Up'!$O$17)))))</f>
        <v>0</v>
      </c>
      <c r="BK15" s="30">
        <f>IF(BK11="","",IF(BK11&lt;'[2]Set Up'!$J$15,BK11*'[2]Set Up'!$N$15,IF(BK11&lt;'[2]Set Up'!$J$16,(BK11-'[2]Set Up'!$J$15)*'[2]Set Up'!$N$16+'[2]Set Up'!$O$15,IF(BK11&lt;'[2]Set Up'!$J$17,(BK11-'[2]Set Up'!$J$16)*'[2]Set Up'!$N$17+'[2]Set Up'!$O$15+'[2]Set Up'!$O$16,(BK11-'[2]Set Up'!$J$17)*'[2]Set Up'!$N$18 + SUM('[2]Set Up'!$O$15:'[2]Set Up'!$O$17)))))</f>
        <v>0</v>
      </c>
      <c r="BL15" s="30">
        <f>IF(BL11="","",IF(BL11&lt;'[2]Set Up'!$J$15,BL11*'[2]Set Up'!$N$15,IF(BL11&lt;'[2]Set Up'!$J$16,(BL11-'[2]Set Up'!$J$15)*'[2]Set Up'!$N$16+'[2]Set Up'!$O$15,IF(BL11&lt;'[2]Set Up'!$J$17,(BL11-'[2]Set Up'!$J$16)*'[2]Set Up'!$N$17+'[2]Set Up'!$O$15+'[2]Set Up'!$O$16,(BL11-'[2]Set Up'!$J$17)*'[2]Set Up'!$N$18 + SUM('[2]Set Up'!$O$15:'[2]Set Up'!$O$17)))))</f>
        <v>0</v>
      </c>
      <c r="BM15" s="30">
        <f>IF(BM11="","",IF(BM11&lt;'[2]Set Up'!$J$15,BM11*'[2]Set Up'!$N$15,IF(BM11&lt;'[2]Set Up'!$J$16,(BM11-'[2]Set Up'!$J$15)*'[2]Set Up'!$N$16+'[2]Set Up'!$O$15,IF(BM11&lt;'[2]Set Up'!$J$17,(BM11-'[2]Set Up'!$J$16)*'[2]Set Up'!$N$17+'[2]Set Up'!$O$15+'[2]Set Up'!$O$16,(BM11-'[2]Set Up'!$J$17)*'[2]Set Up'!$N$18 + SUM('[2]Set Up'!$O$15:'[2]Set Up'!$O$17)))))</f>
        <v>0</v>
      </c>
      <c r="BN15" s="30">
        <f>IF(BN11="","",IF(BN11&lt;'[2]Set Up'!$J$15,BN11*'[2]Set Up'!$N$15,IF(BN11&lt;'[2]Set Up'!$J$16,(BN11-'[2]Set Up'!$J$15)*'[2]Set Up'!$N$16+'[2]Set Up'!$O$15,IF(BN11&lt;'[2]Set Up'!$J$17,(BN11-'[2]Set Up'!$J$16)*'[2]Set Up'!$N$17+'[2]Set Up'!$O$15+'[2]Set Up'!$O$16,(BN11-'[2]Set Up'!$J$17)*'[2]Set Up'!$N$18 + SUM('[2]Set Up'!$O$15:'[2]Set Up'!$O$17)))))</f>
        <v>0</v>
      </c>
      <c r="BO15" s="30">
        <f>IF(BO11="","",IF(BO11&lt;'[2]Set Up'!$J$15,BO11*'[2]Set Up'!$N$15,IF(BO11&lt;'[2]Set Up'!$J$16,(BO11-'[2]Set Up'!$J$15)*'[2]Set Up'!$N$16+'[2]Set Up'!$O$15,IF(BO11&lt;'[2]Set Up'!$J$17,(BO11-'[2]Set Up'!$J$16)*'[2]Set Up'!$N$17+'[2]Set Up'!$O$15+'[2]Set Up'!$O$16,(BO11-'[2]Set Up'!$J$17)*'[2]Set Up'!$N$18 + SUM('[2]Set Up'!$O$15:'[2]Set Up'!$O$17)))))</f>
        <v>0</v>
      </c>
      <c r="BP15" s="30">
        <f>IF(BP11="","",IF(BP11&lt;'[2]Set Up'!$J$15,BP11*'[2]Set Up'!$N$15,IF(BP11&lt;'[2]Set Up'!$J$16,(BP11-'[2]Set Up'!$J$15)*'[2]Set Up'!$N$16+'[2]Set Up'!$O$15,IF(BP11&lt;'[2]Set Up'!$J$17,(BP11-'[2]Set Up'!$J$16)*'[2]Set Up'!$N$17+'[2]Set Up'!$O$15+'[2]Set Up'!$O$16,(BP11-'[2]Set Up'!$J$17)*'[2]Set Up'!$N$18 + SUM('[2]Set Up'!$O$15:'[2]Set Up'!$O$17)))))</f>
        <v>0</v>
      </c>
      <c r="BQ15" s="30">
        <f>IF(BQ11="","",IF(BQ11&lt;'[2]Set Up'!$J$15,BQ11*'[2]Set Up'!$N$15,IF(BQ11&lt;'[2]Set Up'!$J$16,(BQ11-'[2]Set Up'!$J$15)*'[2]Set Up'!$N$16+'[2]Set Up'!$O$15,IF(BQ11&lt;'[2]Set Up'!$J$17,(BQ11-'[2]Set Up'!$J$16)*'[2]Set Up'!$N$17+'[2]Set Up'!$O$15+'[2]Set Up'!$O$16,(BQ11-'[2]Set Up'!$J$17)*'[2]Set Up'!$N$18 + SUM('[2]Set Up'!$O$15:'[2]Set Up'!$O$17)))))</f>
        <v>0</v>
      </c>
      <c r="BR15" s="30">
        <f>IF(BR11="","",IF(BR11&lt;'[2]Set Up'!$J$15,BR11*'[2]Set Up'!$N$15,IF(BR11&lt;'[2]Set Up'!$J$16,(BR11-'[2]Set Up'!$J$15)*'[2]Set Up'!$N$16+'[2]Set Up'!$O$15,IF(BR11&lt;'[2]Set Up'!$J$17,(BR11-'[2]Set Up'!$J$16)*'[2]Set Up'!$N$17+'[2]Set Up'!$O$15+'[2]Set Up'!$O$16,(BR11-'[2]Set Up'!$J$17)*'[2]Set Up'!$N$18 + SUM('[2]Set Up'!$O$15:'[2]Set Up'!$O$17)))))</f>
        <v>0</v>
      </c>
      <c r="BS15" s="30">
        <f>IF(BS11="","",IF(BS11&lt;'[2]Set Up'!$J$15,BS11*'[2]Set Up'!$N$15,IF(BS11&lt;'[2]Set Up'!$J$16,(BS11-'[2]Set Up'!$J$15)*'[2]Set Up'!$N$16+'[2]Set Up'!$O$15,IF(BS11&lt;'[2]Set Up'!$J$17,(BS11-'[2]Set Up'!$J$16)*'[2]Set Up'!$N$17+'[2]Set Up'!$O$15+'[2]Set Up'!$O$16,(BS11-'[2]Set Up'!$J$17)*'[2]Set Up'!$N$18 + SUM('[2]Set Up'!$O$15:'[2]Set Up'!$O$17)))))</f>
        <v>0</v>
      </c>
      <c r="BT15" s="30">
        <f>IF(BT11="","",IF(BT11&lt;'[2]Set Up'!$J$15,BT11*'[2]Set Up'!$N$15,IF(BT11&lt;'[2]Set Up'!$J$16,(BT11-'[2]Set Up'!$J$15)*'[2]Set Up'!$N$16+'[2]Set Up'!$O$15,IF(BT11&lt;'[2]Set Up'!$J$17,(BT11-'[2]Set Up'!$J$16)*'[2]Set Up'!$N$17+'[2]Set Up'!$O$15+'[2]Set Up'!$O$16,(BT11-'[2]Set Up'!$J$17)*'[2]Set Up'!$N$18 + SUM('[2]Set Up'!$O$15:'[2]Set Up'!$O$17)))))</f>
        <v>0</v>
      </c>
      <c r="BU15" s="30">
        <f>IF(BU11="","",IF(BU11&lt;'[2]Set Up'!$J$15,BU11*'[2]Set Up'!$N$15,IF(BU11&lt;'[2]Set Up'!$J$16,(BU11-'[2]Set Up'!$J$15)*'[2]Set Up'!$N$16+'[2]Set Up'!$O$15,IF(BU11&lt;'[2]Set Up'!$J$17,(BU11-'[2]Set Up'!$J$16)*'[2]Set Up'!$N$17+'[2]Set Up'!$O$15+'[2]Set Up'!$O$16,(BU11-'[2]Set Up'!$J$17)*'[2]Set Up'!$N$18 + SUM('[2]Set Up'!$O$15:'[2]Set Up'!$O$17)))))</f>
        <v>0</v>
      </c>
      <c r="BV15" s="30">
        <f>IF(BV11="","",IF(BV11&lt;'[2]Set Up'!$J$15,BV11*'[2]Set Up'!$N$15,IF(BV11&lt;'[2]Set Up'!$J$16,(BV11-'[2]Set Up'!$J$15)*'[2]Set Up'!$N$16+'[2]Set Up'!$O$15,IF(BV11&lt;'[2]Set Up'!$J$17,(BV11-'[2]Set Up'!$J$16)*'[2]Set Up'!$N$17+'[2]Set Up'!$O$15+'[2]Set Up'!$O$16,(BV11-'[2]Set Up'!$J$17)*'[2]Set Up'!$N$18 + SUM('[2]Set Up'!$O$15:'[2]Set Up'!$O$17)))))</f>
        <v>0</v>
      </c>
      <c r="BW15" s="30">
        <f>IF(BW11="","",IF(BW11&lt;'[2]Set Up'!$J$15,BW11*'[2]Set Up'!$N$15,IF(BW11&lt;'[2]Set Up'!$J$16,(BW11-'[2]Set Up'!$J$15)*'[2]Set Up'!$N$16+'[2]Set Up'!$O$15,IF(BW11&lt;'[2]Set Up'!$J$17,(BW11-'[2]Set Up'!$J$16)*'[2]Set Up'!$N$17+'[2]Set Up'!$O$15+'[2]Set Up'!$O$16,(BW11-'[2]Set Up'!$J$17)*'[2]Set Up'!$N$18 + SUM('[2]Set Up'!$O$15:'[2]Set Up'!$O$17)))))</f>
        <v>0</v>
      </c>
      <c r="BX15" s="30">
        <f>IF(BX11="","",IF(BX11&lt;'[2]Set Up'!$J$15,BX11*'[2]Set Up'!$N$15,IF(BX11&lt;'[2]Set Up'!$J$16,(BX11-'[2]Set Up'!$J$15)*'[2]Set Up'!$N$16+'[2]Set Up'!$O$15,IF(BX11&lt;'[2]Set Up'!$J$17,(BX11-'[2]Set Up'!$J$16)*'[2]Set Up'!$N$17+'[2]Set Up'!$O$15+'[2]Set Up'!$O$16,(BX11-'[2]Set Up'!$J$17)*'[2]Set Up'!$N$18 + SUM('[2]Set Up'!$O$15:'[2]Set Up'!$O$17)))))</f>
        <v>0</v>
      </c>
      <c r="BY15" s="30">
        <f>IF(BY11="","",IF(BY11&lt;'[2]Set Up'!$J$15,BY11*'[2]Set Up'!$N$15,IF(BY11&lt;'[2]Set Up'!$J$16,(BY11-'[2]Set Up'!$J$15)*'[2]Set Up'!$N$16+'[2]Set Up'!$O$15,IF(BY11&lt;'[2]Set Up'!$J$17,(BY11-'[2]Set Up'!$J$16)*'[2]Set Up'!$N$17+'[2]Set Up'!$O$15+'[2]Set Up'!$O$16,(BY11-'[2]Set Up'!$J$17)*'[2]Set Up'!$N$18 + SUM('[2]Set Up'!$O$15:'[2]Set Up'!$O$17)))))</f>
        <v>0</v>
      </c>
      <c r="BZ15" s="8"/>
    </row>
    <row r="16" spans="1:78" ht="15" thickBot="1" x14ac:dyDescent="0.4">
      <c r="A16" s="31"/>
      <c r="B16" s="32"/>
      <c r="C16" s="183" t="s">
        <v>23</v>
      </c>
      <c r="D16" s="184"/>
      <c r="E16" s="184"/>
      <c r="F16" s="184"/>
      <c r="G16" s="184"/>
      <c r="H16" s="184"/>
      <c r="I16" s="185"/>
      <c r="J16" s="32"/>
      <c r="K16" s="32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8"/>
    </row>
    <row r="17" spans="1:78" x14ac:dyDescent="0.35">
      <c r="A17" s="34" t="s">
        <v>24</v>
      </c>
      <c r="B17" s="35" t="s">
        <v>11</v>
      </c>
      <c r="C17" s="36">
        <v>43244</v>
      </c>
      <c r="D17" s="36">
        <v>43244</v>
      </c>
      <c r="E17" s="36">
        <v>43245</v>
      </c>
      <c r="F17" s="36">
        <v>43245</v>
      </c>
      <c r="G17" s="36">
        <v>43246</v>
      </c>
      <c r="H17" s="36">
        <v>43246</v>
      </c>
      <c r="I17" s="36">
        <v>43246</v>
      </c>
      <c r="J17" s="36">
        <v>43247</v>
      </c>
      <c r="K17" s="36">
        <v>43247</v>
      </c>
      <c r="L17" s="36">
        <v>43247</v>
      </c>
      <c r="M17" s="36">
        <v>43248</v>
      </c>
      <c r="N17" s="36">
        <v>43248</v>
      </c>
      <c r="O17" s="36">
        <v>43248</v>
      </c>
      <c r="P17" s="36">
        <v>43249</v>
      </c>
      <c r="Q17" s="36">
        <v>43249</v>
      </c>
      <c r="R17" s="36">
        <v>43249</v>
      </c>
      <c r="S17" s="36">
        <v>43250</v>
      </c>
      <c r="T17" s="36">
        <v>43250</v>
      </c>
      <c r="U17" s="36">
        <v>43251</v>
      </c>
      <c r="V17" s="36">
        <v>43251</v>
      </c>
      <c r="W17" s="36">
        <v>43251</v>
      </c>
      <c r="X17" s="36">
        <v>43251</v>
      </c>
      <c r="Y17" s="36">
        <v>43252</v>
      </c>
      <c r="Z17" s="36">
        <v>43253</v>
      </c>
      <c r="AA17" s="36">
        <v>43253</v>
      </c>
      <c r="AB17" s="36">
        <v>43253</v>
      </c>
      <c r="AC17" s="36">
        <v>43253</v>
      </c>
      <c r="AD17" s="36">
        <v>43254</v>
      </c>
      <c r="AE17" s="36">
        <v>43254</v>
      </c>
      <c r="AF17" s="36">
        <v>43254</v>
      </c>
      <c r="AG17" s="36">
        <v>43255</v>
      </c>
      <c r="AH17" s="36">
        <v>43255</v>
      </c>
      <c r="AI17" s="36">
        <v>43255</v>
      </c>
      <c r="AJ17" s="36">
        <v>43256</v>
      </c>
      <c r="AK17" s="36">
        <v>43256</v>
      </c>
      <c r="AL17" s="36">
        <v>43256</v>
      </c>
      <c r="AM17" s="36">
        <v>43256</v>
      </c>
      <c r="AN17" s="36">
        <v>43257</v>
      </c>
      <c r="AO17" s="36">
        <v>43257</v>
      </c>
      <c r="AP17" s="36">
        <v>43257</v>
      </c>
      <c r="AQ17" s="36">
        <v>43258</v>
      </c>
      <c r="AR17" s="36">
        <v>43258</v>
      </c>
      <c r="AS17" s="36">
        <v>43258</v>
      </c>
      <c r="AT17" s="36">
        <v>43258</v>
      </c>
      <c r="AU17" s="36">
        <v>43259</v>
      </c>
      <c r="AV17" s="36">
        <v>43259</v>
      </c>
      <c r="AW17" s="36">
        <v>43259</v>
      </c>
      <c r="AX17" s="36">
        <v>43259</v>
      </c>
      <c r="AY17" s="36">
        <v>43260</v>
      </c>
      <c r="AZ17" s="36">
        <v>43260</v>
      </c>
      <c r="BA17" s="36">
        <v>43260</v>
      </c>
      <c r="BB17" s="36">
        <v>43260</v>
      </c>
      <c r="BC17" s="36">
        <v>43283</v>
      </c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7"/>
    </row>
    <row r="18" spans="1:78" x14ac:dyDescent="0.35">
      <c r="A18" s="38" t="s">
        <v>25</v>
      </c>
      <c r="B18" s="39">
        <f>IF(C18="","",AVERAGE(C18:BY18))</f>
        <v>5172.8301886792451</v>
      </c>
      <c r="C18" s="40">
        <v>4740</v>
      </c>
      <c r="D18" s="40">
        <v>4920</v>
      </c>
      <c r="E18" s="41">
        <v>4910</v>
      </c>
      <c r="F18" s="41">
        <v>4810</v>
      </c>
      <c r="G18" s="41">
        <v>4960</v>
      </c>
      <c r="H18" s="41">
        <v>5020</v>
      </c>
      <c r="I18" s="41">
        <v>5090</v>
      </c>
      <c r="J18" s="41">
        <v>5130</v>
      </c>
      <c r="K18" s="41">
        <v>5250</v>
      </c>
      <c r="L18" s="41">
        <v>5180</v>
      </c>
      <c r="M18" s="41">
        <v>5060</v>
      </c>
      <c r="N18" s="41">
        <v>5210</v>
      </c>
      <c r="O18" s="41">
        <v>5170</v>
      </c>
      <c r="P18" s="41">
        <v>5310</v>
      </c>
      <c r="Q18" s="41">
        <v>5320</v>
      </c>
      <c r="R18" s="41">
        <v>5190</v>
      </c>
      <c r="S18" s="41">
        <v>5010</v>
      </c>
      <c r="T18" s="41">
        <v>5170</v>
      </c>
      <c r="U18" s="41">
        <v>5260</v>
      </c>
      <c r="V18" s="41">
        <v>5200</v>
      </c>
      <c r="W18" s="41">
        <v>5220</v>
      </c>
      <c r="X18" s="41">
        <v>5270</v>
      </c>
      <c r="Y18" s="41">
        <v>5110</v>
      </c>
      <c r="Z18" s="41">
        <v>5220</v>
      </c>
      <c r="AA18" s="41">
        <v>5160</v>
      </c>
      <c r="AB18" s="41">
        <v>5340</v>
      </c>
      <c r="AC18" s="41">
        <v>5130</v>
      </c>
      <c r="AD18" s="41">
        <v>5190</v>
      </c>
      <c r="AE18" s="41">
        <v>5230</v>
      </c>
      <c r="AF18" s="41">
        <v>5140</v>
      </c>
      <c r="AG18" s="41">
        <v>5120</v>
      </c>
      <c r="AH18" s="41">
        <v>5120</v>
      </c>
      <c r="AI18" s="41">
        <v>5130</v>
      </c>
      <c r="AJ18" s="41">
        <v>5130</v>
      </c>
      <c r="AK18" s="41">
        <v>5420</v>
      </c>
      <c r="AL18" s="41">
        <v>5300</v>
      </c>
      <c r="AM18" s="41">
        <v>5280</v>
      </c>
      <c r="AN18" s="41">
        <v>5990</v>
      </c>
      <c r="AO18" s="41">
        <v>5320</v>
      </c>
      <c r="AP18" s="41">
        <v>5230</v>
      </c>
      <c r="AQ18" s="41">
        <v>5380</v>
      </c>
      <c r="AR18" s="41">
        <v>5260</v>
      </c>
      <c r="AS18" s="41">
        <v>5060</v>
      </c>
      <c r="AT18" s="41">
        <v>5010</v>
      </c>
      <c r="AU18" s="41">
        <v>5050</v>
      </c>
      <c r="AV18" s="41">
        <v>5220</v>
      </c>
      <c r="AW18" s="41">
        <v>5230</v>
      </c>
      <c r="AX18" s="41">
        <v>5180</v>
      </c>
      <c r="AY18" s="41">
        <v>5200</v>
      </c>
      <c r="AZ18" s="41">
        <v>5240</v>
      </c>
      <c r="BA18" s="41">
        <v>5230</v>
      </c>
      <c r="BB18" s="41">
        <v>5130</v>
      </c>
      <c r="BC18" s="41">
        <v>5010</v>
      </c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2"/>
    </row>
    <row r="19" spans="1:78" ht="15" thickBot="1" x14ac:dyDescent="0.4">
      <c r="A19" s="43" t="s">
        <v>26</v>
      </c>
      <c r="B19" s="44">
        <f>IF(C19="","",AVERAGE(C19:BY19))</f>
        <v>8461.5094339622647</v>
      </c>
      <c r="C19" s="45">
        <v>10580</v>
      </c>
      <c r="D19" s="46">
        <v>7920</v>
      </c>
      <c r="E19" s="46">
        <v>8760</v>
      </c>
      <c r="F19" s="46">
        <v>10120</v>
      </c>
      <c r="G19" s="46">
        <v>9560</v>
      </c>
      <c r="H19" s="46">
        <v>9030</v>
      </c>
      <c r="I19" s="46">
        <v>9480</v>
      </c>
      <c r="J19" s="46">
        <v>8890</v>
      </c>
      <c r="K19" s="46">
        <v>9520</v>
      </c>
      <c r="L19" s="46">
        <v>8500</v>
      </c>
      <c r="M19" s="46">
        <v>9080</v>
      </c>
      <c r="N19" s="46">
        <v>8830</v>
      </c>
      <c r="O19" s="46">
        <v>9760</v>
      </c>
      <c r="P19" s="46">
        <v>9070</v>
      </c>
      <c r="Q19" s="46">
        <v>8920</v>
      </c>
      <c r="R19" s="46">
        <v>9550</v>
      </c>
      <c r="S19" s="46">
        <v>9200</v>
      </c>
      <c r="T19" s="46">
        <v>10160</v>
      </c>
      <c r="U19" s="46">
        <v>10000</v>
      </c>
      <c r="V19" s="46">
        <v>10350</v>
      </c>
      <c r="W19" s="46">
        <v>9720</v>
      </c>
      <c r="X19" s="46">
        <v>9550</v>
      </c>
      <c r="Y19" s="46">
        <v>9660</v>
      </c>
      <c r="Z19" s="46">
        <v>9030</v>
      </c>
      <c r="AA19" s="46">
        <v>9360</v>
      </c>
      <c r="AB19" s="46">
        <v>8720</v>
      </c>
      <c r="AC19" s="46">
        <v>10240</v>
      </c>
      <c r="AD19" s="46">
        <v>10910</v>
      </c>
      <c r="AE19" s="46">
        <v>7520</v>
      </c>
      <c r="AF19" s="46">
        <v>9960</v>
      </c>
      <c r="AG19" s="46">
        <v>8630</v>
      </c>
      <c r="AH19" s="46">
        <v>8090</v>
      </c>
      <c r="AI19" s="46">
        <v>8950</v>
      </c>
      <c r="AJ19" s="46">
        <v>8770</v>
      </c>
      <c r="AK19" s="46">
        <v>7630</v>
      </c>
      <c r="AL19" s="46">
        <v>8150</v>
      </c>
      <c r="AM19" s="46">
        <v>8820</v>
      </c>
      <c r="AN19" s="46">
        <v>7560</v>
      </c>
      <c r="AO19" s="46">
        <v>7250</v>
      </c>
      <c r="AP19" s="46">
        <v>8610</v>
      </c>
      <c r="AQ19" s="46">
        <v>7540</v>
      </c>
      <c r="AR19" s="46">
        <v>7370</v>
      </c>
      <c r="AS19" s="46">
        <v>7420</v>
      </c>
      <c r="AT19" s="46">
        <v>6690</v>
      </c>
      <c r="AU19" s="46">
        <v>7170</v>
      </c>
      <c r="AV19" s="46">
        <v>6670</v>
      </c>
      <c r="AW19" s="46">
        <v>6350</v>
      </c>
      <c r="AX19" s="46">
        <v>7510</v>
      </c>
      <c r="AY19" s="46">
        <v>0</v>
      </c>
      <c r="AZ19" s="46">
        <v>6940</v>
      </c>
      <c r="BA19" s="46">
        <v>6720</v>
      </c>
      <c r="BB19" s="46">
        <v>6830</v>
      </c>
      <c r="BC19" s="46">
        <v>6840</v>
      </c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7"/>
    </row>
    <row r="20" spans="1:78" x14ac:dyDescent="0.35">
      <c r="A20" s="48" t="s">
        <v>27</v>
      </c>
      <c r="B20" s="49"/>
      <c r="C20" s="50">
        <v>0.5180555555555556</v>
      </c>
      <c r="D20" s="51">
        <v>0.94374999999999998</v>
      </c>
      <c r="E20" s="51">
        <v>0.33749999999999997</v>
      </c>
      <c r="F20" s="51">
        <v>0.71944444444444444</v>
      </c>
      <c r="G20" s="51">
        <v>7.7777777777777779E-2</v>
      </c>
      <c r="H20" s="51">
        <v>0.41875000000000001</v>
      </c>
      <c r="I20" s="51">
        <v>0.80694444444444446</v>
      </c>
      <c r="J20" s="51">
        <v>0.17569444444444446</v>
      </c>
      <c r="K20" s="51">
        <v>0.49305555555555558</v>
      </c>
      <c r="L20" s="51">
        <v>0.84027777777777779</v>
      </c>
      <c r="M20" s="51">
        <v>0.3215277777777778</v>
      </c>
      <c r="N20" s="51">
        <v>0.62291666666666667</v>
      </c>
      <c r="O20" s="51">
        <v>0.99722222222222223</v>
      </c>
      <c r="P20" s="51">
        <v>0.29166666666666669</v>
      </c>
      <c r="Q20" s="51">
        <v>0.58263888888888882</v>
      </c>
      <c r="R20" s="51">
        <v>0.83333333333333337</v>
      </c>
      <c r="S20" s="51">
        <v>0.49374999999999997</v>
      </c>
      <c r="T20" s="51">
        <v>0.77916666666666667</v>
      </c>
      <c r="U20" s="51">
        <v>7.9861111111111105E-2</v>
      </c>
      <c r="V20" s="51">
        <v>0.37986111111111115</v>
      </c>
      <c r="W20" s="51">
        <v>0.65833333333333333</v>
      </c>
      <c r="X20" s="51">
        <v>0.9916666666666667</v>
      </c>
      <c r="Y20" s="51">
        <v>0.63402777777777775</v>
      </c>
      <c r="Z20" s="51">
        <v>0.90902777777777777</v>
      </c>
      <c r="AA20" s="51">
        <v>0.19513888888888889</v>
      </c>
      <c r="AB20" s="51">
        <v>0.4513888888888889</v>
      </c>
      <c r="AC20" s="51">
        <v>0.73333333333333339</v>
      </c>
      <c r="AD20" s="51">
        <v>4.1666666666666664E-2</v>
      </c>
      <c r="AE20" s="51">
        <v>0.32916666666666666</v>
      </c>
      <c r="AF20" s="51">
        <v>0.58958333333333335</v>
      </c>
      <c r="AG20" s="51">
        <v>0.87222222222222223</v>
      </c>
      <c r="AH20" s="51">
        <v>0.2902777777777778</v>
      </c>
      <c r="AI20" s="51">
        <v>0.57361111111111118</v>
      </c>
      <c r="AJ20" s="51">
        <v>0.88124999999999998</v>
      </c>
      <c r="AK20" s="51">
        <v>0.23055555555555554</v>
      </c>
      <c r="AL20" s="51">
        <v>0.48125000000000001</v>
      </c>
      <c r="AM20" s="51">
        <v>0.77083333333333337</v>
      </c>
      <c r="AN20" s="51">
        <v>1.7361111111111112E-2</v>
      </c>
      <c r="AO20" s="51">
        <v>0.27152777777777776</v>
      </c>
      <c r="AP20" s="51">
        <v>0.53888888888888886</v>
      </c>
      <c r="AQ20" s="51">
        <v>0.78680555555555554</v>
      </c>
      <c r="AR20" s="51">
        <v>5.6944444444444443E-2</v>
      </c>
      <c r="AS20" s="51">
        <v>0.31180555555555556</v>
      </c>
      <c r="AT20" s="51">
        <v>0.58958333333333335</v>
      </c>
      <c r="AU20" s="51">
        <v>0.84166666666666667</v>
      </c>
      <c r="AV20" s="51">
        <v>0.10277777777777779</v>
      </c>
      <c r="AW20" s="51">
        <v>0.37361111111111112</v>
      </c>
      <c r="AX20" s="51">
        <v>0.60277777777777775</v>
      </c>
      <c r="AY20" s="51">
        <v>0.90277777777777779</v>
      </c>
      <c r="AZ20" s="51">
        <v>0.18263888888888891</v>
      </c>
      <c r="BA20" s="51">
        <v>0.41736111111111113</v>
      </c>
      <c r="BB20" s="51">
        <v>0.66111111111111109</v>
      </c>
      <c r="BC20" s="51">
        <v>4.1666666666666666E-3</v>
      </c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52"/>
    </row>
    <row r="21" spans="1:78" x14ac:dyDescent="0.35">
      <c r="A21" s="53" t="s">
        <v>28</v>
      </c>
      <c r="B21" s="54"/>
      <c r="C21" s="55">
        <v>0.67847222222222225</v>
      </c>
      <c r="D21" s="54">
        <v>7.2916666666666671E-2</v>
      </c>
      <c r="E21" s="54">
        <v>0.46458333333333335</v>
      </c>
      <c r="F21" s="54">
        <v>0.85972222222222217</v>
      </c>
      <c r="G21" s="54">
        <v>0.2298611111111111</v>
      </c>
      <c r="H21" s="54">
        <v>0.56736111111111109</v>
      </c>
      <c r="I21" s="54">
        <v>0.98333333333333339</v>
      </c>
      <c r="J21" s="54">
        <v>0.32222222222222224</v>
      </c>
      <c r="K21" s="54">
        <v>0.6430555555555556</v>
      </c>
      <c r="L21" s="54">
        <v>0.9868055555555556</v>
      </c>
      <c r="M21" s="54">
        <v>0.46388888888888885</v>
      </c>
      <c r="N21" s="54">
        <v>0.76458333333333339</v>
      </c>
      <c r="O21" s="54">
        <v>0.14027777777777778</v>
      </c>
      <c r="P21" s="54">
        <v>0.4381944444444445</v>
      </c>
      <c r="Q21" s="54">
        <v>0.75</v>
      </c>
      <c r="R21" s="54">
        <v>5.8333333333333327E-2</v>
      </c>
      <c r="S21" s="54">
        <v>0.64097222222222217</v>
      </c>
      <c r="T21" s="54">
        <v>0.92569444444444438</v>
      </c>
      <c r="U21" s="54">
        <v>0.23124999999999998</v>
      </c>
      <c r="V21" s="54">
        <v>0.52222222222222225</v>
      </c>
      <c r="W21" s="54">
        <v>0.80694444444444446</v>
      </c>
      <c r="X21" s="54">
        <v>0.18402777777777779</v>
      </c>
      <c r="Y21" s="54">
        <v>0.77986111111111101</v>
      </c>
      <c r="Z21" s="54">
        <v>5.1388888888888894E-2</v>
      </c>
      <c r="AA21" s="54">
        <v>0.32222222222222224</v>
      </c>
      <c r="AB21" s="54">
        <v>0.59166666666666667</v>
      </c>
      <c r="AC21" s="54">
        <v>0.86944444444444446</v>
      </c>
      <c r="AD21" s="54">
        <v>0.19305555555555554</v>
      </c>
      <c r="AE21" s="54">
        <v>0.45416666666666666</v>
      </c>
      <c r="AF21" s="54">
        <v>0.71805555555555556</v>
      </c>
      <c r="AG21" s="54">
        <v>0.17083333333333331</v>
      </c>
      <c r="AH21" s="54">
        <v>0.42986111111111108</v>
      </c>
      <c r="AI21" s="54">
        <v>0.6972222222222223</v>
      </c>
      <c r="AJ21" s="54">
        <v>8.7500000000000008E-2</v>
      </c>
      <c r="AK21" s="54">
        <v>0.35694444444444445</v>
      </c>
      <c r="AL21" s="54">
        <v>0.60972222222222217</v>
      </c>
      <c r="AM21" s="54">
        <v>0.90277777777777779</v>
      </c>
      <c r="AN21" s="54">
        <v>0.14652777777777778</v>
      </c>
      <c r="AO21" s="54">
        <v>0.39513888888888887</v>
      </c>
      <c r="AP21" s="54">
        <v>0.66388888888888886</v>
      </c>
      <c r="AQ21" s="54">
        <v>0.91319444444444453</v>
      </c>
      <c r="AR21" s="54">
        <v>0.1875</v>
      </c>
      <c r="AS21" s="54">
        <v>0.47916666666666669</v>
      </c>
      <c r="AT21" s="54">
        <v>0.72916666666666663</v>
      </c>
      <c r="AU21" s="54">
        <v>0.99305555555555547</v>
      </c>
      <c r="AV21" s="54">
        <v>0.25972222222222224</v>
      </c>
      <c r="AW21" s="54">
        <v>0.49722222222222223</v>
      </c>
      <c r="AX21" s="54">
        <v>0.7319444444444444</v>
      </c>
      <c r="AY21" s="54">
        <v>2.0833333333333332E-2</v>
      </c>
      <c r="AZ21" s="54">
        <v>0.3034722222222222</v>
      </c>
      <c r="BA21" s="54">
        <v>0.53888888888888886</v>
      </c>
      <c r="BB21" s="54">
        <v>0.78333333333333333</v>
      </c>
      <c r="BC21" s="54">
        <v>0.12916666666666668</v>
      </c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2"/>
    </row>
    <row r="22" spans="1:78" ht="15" thickBot="1" x14ac:dyDescent="0.4">
      <c r="A22" s="56" t="s">
        <v>29</v>
      </c>
      <c r="B22" s="57">
        <f t="shared" ref="B22:B31" si="0">IF(C22="","",AVERAGE(C22:BY22))</f>
        <v>0.14591194968553453</v>
      </c>
      <c r="C22" s="58">
        <v>0.16041666666666665</v>
      </c>
      <c r="D22" s="59">
        <v>0.12916666666666665</v>
      </c>
      <c r="E22" s="59">
        <v>0.12708333333333338</v>
      </c>
      <c r="F22" s="59">
        <v>0.14027777777777772</v>
      </c>
      <c r="G22" s="59">
        <v>0.15208333333333332</v>
      </c>
      <c r="H22" s="59">
        <v>0.14861111111111108</v>
      </c>
      <c r="I22" s="59">
        <v>0.17638888888888893</v>
      </c>
      <c r="J22" s="59">
        <v>0.14652777777777778</v>
      </c>
      <c r="K22" s="59">
        <v>0.15000000000000002</v>
      </c>
      <c r="L22" s="59">
        <v>0.14652777777777781</v>
      </c>
      <c r="M22" s="59">
        <v>0.14236111111111105</v>
      </c>
      <c r="N22" s="59">
        <v>0.14166666666666672</v>
      </c>
      <c r="O22" s="59">
        <v>0.14305555555555549</v>
      </c>
      <c r="P22" s="59">
        <v>0.14652777777777781</v>
      </c>
      <c r="Q22" s="59">
        <v>0.16736111111111118</v>
      </c>
      <c r="R22" s="59">
        <v>0.22499999999999998</v>
      </c>
      <c r="S22" s="59">
        <v>0.1472222222222222</v>
      </c>
      <c r="T22" s="59">
        <v>0.1465277777777777</v>
      </c>
      <c r="U22" s="59">
        <v>0.15138888888888888</v>
      </c>
      <c r="V22" s="59">
        <v>0.1423611111111111</v>
      </c>
      <c r="W22" s="59">
        <v>0.14861111111111114</v>
      </c>
      <c r="X22" s="59">
        <v>0.19236111111111109</v>
      </c>
      <c r="Y22" s="59">
        <v>0.14583333333333326</v>
      </c>
      <c r="Z22" s="59">
        <v>0.14236111111111116</v>
      </c>
      <c r="AA22" s="59">
        <v>0.12708333333333335</v>
      </c>
      <c r="AB22" s="59">
        <v>0.14027777777777778</v>
      </c>
      <c r="AC22" s="59">
        <v>0.13611111111111107</v>
      </c>
      <c r="AD22" s="59">
        <v>0.15138888888888888</v>
      </c>
      <c r="AE22" s="59">
        <v>0.125</v>
      </c>
      <c r="AF22" s="59">
        <v>0.12847222222222221</v>
      </c>
      <c r="AG22" s="59">
        <v>0.29861111111111105</v>
      </c>
      <c r="AH22" s="59">
        <v>0.13958333333333328</v>
      </c>
      <c r="AI22" s="59">
        <v>0.12361111111111112</v>
      </c>
      <c r="AJ22" s="59">
        <v>0.20625000000000004</v>
      </c>
      <c r="AK22" s="59">
        <v>0.12638888888888891</v>
      </c>
      <c r="AL22" s="59">
        <v>0.12847222222222215</v>
      </c>
      <c r="AM22" s="59">
        <v>0.13194444444444442</v>
      </c>
      <c r="AN22" s="59">
        <v>0.12916666666666668</v>
      </c>
      <c r="AO22" s="59">
        <v>0.12361111111111112</v>
      </c>
      <c r="AP22" s="59">
        <v>0.125</v>
      </c>
      <c r="AQ22" s="59">
        <v>0.12638888888888899</v>
      </c>
      <c r="AR22" s="59">
        <v>0.13055555555555556</v>
      </c>
      <c r="AS22" s="59">
        <v>0.16736111111111113</v>
      </c>
      <c r="AT22" s="59">
        <v>0.13958333333333328</v>
      </c>
      <c r="AU22" s="59">
        <v>0.1513888888888888</v>
      </c>
      <c r="AV22" s="59">
        <v>0.15694444444444444</v>
      </c>
      <c r="AW22" s="59">
        <v>0.12361111111111112</v>
      </c>
      <c r="AX22" s="59">
        <v>0.12916666666666665</v>
      </c>
      <c r="AY22" s="59">
        <v>0.11805555555555558</v>
      </c>
      <c r="AZ22" s="59">
        <v>0.12083333333333329</v>
      </c>
      <c r="BA22" s="59">
        <v>0.12152777777777773</v>
      </c>
      <c r="BB22" s="59">
        <v>0.12222222222222223</v>
      </c>
      <c r="BC22" s="59">
        <v>0.125</v>
      </c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2"/>
    </row>
    <row r="23" spans="1:78" x14ac:dyDescent="0.35">
      <c r="A23" s="60" t="s">
        <v>30</v>
      </c>
      <c r="B23" s="61">
        <f t="shared" si="0"/>
        <v>65.030188679245285</v>
      </c>
      <c r="C23" s="62">
        <v>58</v>
      </c>
      <c r="D23" s="63">
        <v>69.7</v>
      </c>
      <c r="E23" s="63">
        <v>69.5</v>
      </c>
      <c r="F23" s="63">
        <v>63.1</v>
      </c>
      <c r="G23" s="63">
        <v>61.2</v>
      </c>
      <c r="H23" s="63">
        <v>60.1</v>
      </c>
      <c r="I23" s="63">
        <v>62.5</v>
      </c>
      <c r="J23" s="63">
        <v>60.7</v>
      </c>
      <c r="K23" s="63">
        <v>59.3</v>
      </c>
      <c r="L23" s="63">
        <v>60.1</v>
      </c>
      <c r="M23" s="63">
        <v>61.4</v>
      </c>
      <c r="N23" s="63">
        <v>60.8</v>
      </c>
      <c r="O23" s="63">
        <v>63.3</v>
      </c>
      <c r="P23" s="63">
        <v>60.8</v>
      </c>
      <c r="Q23" s="63">
        <v>50.7</v>
      </c>
      <c r="R23" s="63">
        <v>64.599999999999994</v>
      </c>
      <c r="S23" s="63">
        <v>60.7</v>
      </c>
      <c r="T23" s="63">
        <v>61.6</v>
      </c>
      <c r="U23" s="63">
        <v>59.6</v>
      </c>
      <c r="V23" s="63">
        <v>63.6</v>
      </c>
      <c r="W23" s="63">
        <v>61.1</v>
      </c>
      <c r="X23" s="63">
        <v>63.9</v>
      </c>
      <c r="Y23" s="63">
        <v>60.3</v>
      </c>
      <c r="Z23" s="63">
        <v>61.4</v>
      </c>
      <c r="AA23" s="63">
        <v>69.3</v>
      </c>
      <c r="AB23" s="63">
        <v>62.9</v>
      </c>
      <c r="AC23" s="63">
        <v>64.400000000000006</v>
      </c>
      <c r="AD23" s="63">
        <v>58.7</v>
      </c>
      <c r="AE23" s="63">
        <v>69.5</v>
      </c>
      <c r="AF23" s="63">
        <v>68.900000000000006</v>
      </c>
      <c r="AG23" s="63">
        <v>67.900000000000006</v>
      </c>
      <c r="AH23" s="63">
        <v>69.599999999999994</v>
      </c>
      <c r="AI23" s="63">
        <v>69.7</v>
      </c>
      <c r="AJ23" s="63">
        <v>68.7</v>
      </c>
      <c r="AK23" s="63">
        <v>70</v>
      </c>
      <c r="AL23" s="63">
        <v>67.7</v>
      </c>
      <c r="AM23" s="63">
        <v>66</v>
      </c>
      <c r="AN23" s="63">
        <v>67.8</v>
      </c>
      <c r="AO23" s="63">
        <v>69.900000000000006</v>
      </c>
      <c r="AP23" s="63">
        <v>69.099999999999994</v>
      </c>
      <c r="AQ23" s="63">
        <v>69.599999999999994</v>
      </c>
      <c r="AR23" s="63">
        <v>66.400000000000006</v>
      </c>
      <c r="AS23" s="63">
        <v>63.9</v>
      </c>
      <c r="AT23" s="63">
        <v>67.099999999999994</v>
      </c>
      <c r="AU23" s="63">
        <v>69</v>
      </c>
      <c r="AV23" s="63">
        <v>69.7</v>
      </c>
      <c r="AW23" s="63">
        <v>69.900000000000006</v>
      </c>
      <c r="AX23" s="63">
        <v>69.3</v>
      </c>
      <c r="AY23" s="63">
        <v>69.3</v>
      </c>
      <c r="AZ23" s="63">
        <v>69.599999999999994</v>
      </c>
      <c r="BA23" s="63">
        <v>68.2</v>
      </c>
      <c r="BB23" s="63">
        <v>69.099999999999994</v>
      </c>
      <c r="BC23" s="63">
        <v>67.400000000000006</v>
      </c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4"/>
    </row>
    <row r="24" spans="1:78" x14ac:dyDescent="0.35">
      <c r="A24" s="65" t="s">
        <v>31</v>
      </c>
      <c r="B24" s="66">
        <f t="shared" si="0"/>
        <v>11149.622641509433</v>
      </c>
      <c r="C24" s="67">
        <v>10578</v>
      </c>
      <c r="D24" s="68">
        <v>11064</v>
      </c>
      <c r="E24" s="68">
        <v>10598</v>
      </c>
      <c r="F24" s="68">
        <v>11260</v>
      </c>
      <c r="G24" s="68">
        <v>11123</v>
      </c>
      <c r="H24" s="68">
        <v>11193</v>
      </c>
      <c r="I24" s="68">
        <v>11415</v>
      </c>
      <c r="J24" s="68">
        <v>11036</v>
      </c>
      <c r="K24" s="68">
        <v>11001</v>
      </c>
      <c r="L24" s="68">
        <v>11015</v>
      </c>
      <c r="M24" s="68">
        <v>11193</v>
      </c>
      <c r="N24" s="68">
        <v>11199</v>
      </c>
      <c r="O24" s="68">
        <v>10995</v>
      </c>
      <c r="P24" s="68">
        <v>11249</v>
      </c>
      <c r="Q24" s="68">
        <v>11000</v>
      </c>
      <c r="R24" s="68">
        <v>11185</v>
      </c>
      <c r="S24" s="68">
        <v>11211</v>
      </c>
      <c r="T24" s="68">
        <v>10812</v>
      </c>
      <c r="U24" s="68">
        <v>11260</v>
      </c>
      <c r="V24" s="68">
        <v>11347</v>
      </c>
      <c r="W24" s="68">
        <v>11070</v>
      </c>
      <c r="X24" s="68">
        <v>11106</v>
      </c>
      <c r="Y24" s="68">
        <v>11149</v>
      </c>
      <c r="Z24" s="68">
        <v>11095</v>
      </c>
      <c r="AA24" s="68">
        <v>11233</v>
      </c>
      <c r="AB24" s="68">
        <v>11432</v>
      </c>
      <c r="AC24" s="68">
        <v>11314</v>
      </c>
      <c r="AD24" s="68">
        <v>11205</v>
      </c>
      <c r="AE24" s="68">
        <v>11097</v>
      </c>
      <c r="AF24" s="68">
        <v>11332</v>
      </c>
      <c r="AG24" s="68">
        <v>11262</v>
      </c>
      <c r="AH24" s="68">
        <v>11373</v>
      </c>
      <c r="AI24" s="68">
        <v>11446</v>
      </c>
      <c r="AJ24" s="68">
        <v>11302</v>
      </c>
      <c r="AK24" s="68">
        <v>11156</v>
      </c>
      <c r="AL24" s="68">
        <v>11373</v>
      </c>
      <c r="AM24" s="68">
        <v>10968</v>
      </c>
      <c r="AN24" s="68">
        <v>11170</v>
      </c>
      <c r="AO24" s="68">
        <v>11335</v>
      </c>
      <c r="AP24" s="68">
        <v>11395</v>
      </c>
      <c r="AQ24" s="68">
        <v>11179</v>
      </c>
      <c r="AR24" s="68">
        <v>10876</v>
      </c>
      <c r="AS24" s="68">
        <v>10840</v>
      </c>
      <c r="AT24" s="68">
        <v>11193</v>
      </c>
      <c r="AU24" s="68">
        <v>10989</v>
      </c>
      <c r="AV24" s="68">
        <v>11280</v>
      </c>
      <c r="AW24" s="68">
        <v>11172</v>
      </c>
      <c r="AX24" s="68">
        <v>11270</v>
      </c>
      <c r="AY24" s="68">
        <v>11174</v>
      </c>
      <c r="AZ24" s="68">
        <v>11288</v>
      </c>
      <c r="BA24" s="68">
        <v>11071</v>
      </c>
      <c r="BB24" s="68">
        <v>11154</v>
      </c>
      <c r="BC24" s="68">
        <v>10897</v>
      </c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8"/>
      <c r="BY24" s="68"/>
      <c r="BZ24" s="69"/>
    </row>
    <row r="25" spans="1:78" x14ac:dyDescent="0.35">
      <c r="A25" s="70" t="s">
        <v>32</v>
      </c>
      <c r="B25" s="71">
        <f t="shared" si="0"/>
        <v>67.661698113207564</v>
      </c>
      <c r="C25" s="72">
        <v>63.2</v>
      </c>
      <c r="D25" s="73">
        <v>70.8</v>
      </c>
      <c r="E25" s="73">
        <v>71</v>
      </c>
      <c r="F25" s="73">
        <v>65.599999999999994</v>
      </c>
      <c r="G25" s="73">
        <v>65.5</v>
      </c>
      <c r="H25" s="73">
        <v>65.2</v>
      </c>
      <c r="I25" s="73">
        <v>68</v>
      </c>
      <c r="J25" s="73">
        <v>61.3</v>
      </c>
      <c r="K25" s="73">
        <v>60.6</v>
      </c>
      <c r="L25" s="73">
        <v>61.2</v>
      </c>
      <c r="M25" s="73">
        <v>62.9</v>
      </c>
      <c r="N25" s="73">
        <v>67.2</v>
      </c>
      <c r="O25" s="73">
        <v>67</v>
      </c>
      <c r="P25" s="73">
        <v>62.6</v>
      </c>
      <c r="Q25" s="73">
        <v>59.9</v>
      </c>
      <c r="R25" s="73">
        <v>65.2</v>
      </c>
      <c r="S25" s="73">
        <v>63.4</v>
      </c>
      <c r="T25" s="73">
        <v>64</v>
      </c>
      <c r="U25" s="73">
        <v>64.7</v>
      </c>
      <c r="V25" s="73">
        <v>67.7</v>
      </c>
      <c r="W25" s="73">
        <v>63</v>
      </c>
      <c r="X25" s="73">
        <v>65.099999999999994</v>
      </c>
      <c r="Y25" s="73">
        <v>64.099999999999994</v>
      </c>
      <c r="Z25" s="73">
        <v>66.599999999999994</v>
      </c>
      <c r="AA25" s="73">
        <v>70.099999999999994</v>
      </c>
      <c r="AB25" s="73">
        <v>64.5</v>
      </c>
      <c r="AC25" s="73">
        <v>69.599999999999994</v>
      </c>
      <c r="AD25" s="73">
        <v>60</v>
      </c>
      <c r="AE25" s="73">
        <v>71.3</v>
      </c>
      <c r="AF25" s="73">
        <v>71</v>
      </c>
      <c r="AG25" s="73">
        <v>70.5</v>
      </c>
      <c r="AH25" s="73">
        <v>71.400000000000006</v>
      </c>
      <c r="AI25" s="73">
        <v>71</v>
      </c>
      <c r="AJ25" s="73">
        <v>70.599999999999994</v>
      </c>
      <c r="AK25" s="73">
        <v>70.5</v>
      </c>
      <c r="AL25" s="73">
        <v>70.400000000000006</v>
      </c>
      <c r="AM25" s="73">
        <v>67.3</v>
      </c>
      <c r="AN25" s="73">
        <v>70.599999999999994</v>
      </c>
      <c r="AO25" s="73">
        <v>70.400000000000006</v>
      </c>
      <c r="AP25" s="73">
        <v>70.099999999999994</v>
      </c>
      <c r="AQ25" s="73">
        <v>71.2</v>
      </c>
      <c r="AR25" s="73">
        <v>70.8</v>
      </c>
      <c r="AS25" s="73">
        <v>70.7</v>
      </c>
      <c r="AT25" s="73">
        <v>70.3</v>
      </c>
      <c r="AU25" s="73">
        <v>70.8</v>
      </c>
      <c r="AV25" s="73">
        <v>71.3</v>
      </c>
      <c r="AW25" s="73">
        <v>71.87</v>
      </c>
      <c r="AX25" s="73">
        <v>71.599999999999994</v>
      </c>
      <c r="AY25" s="73">
        <v>70.400000000000006</v>
      </c>
      <c r="AZ25" s="73">
        <v>70.8</v>
      </c>
      <c r="BA25" s="73">
        <v>70.8</v>
      </c>
      <c r="BB25" s="73">
        <v>70.099999999999994</v>
      </c>
      <c r="BC25" s="73">
        <v>70.3</v>
      </c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64"/>
    </row>
    <row r="26" spans="1:78" ht="15" thickBot="1" x14ac:dyDescent="0.4">
      <c r="A26" s="74" t="s">
        <v>33</v>
      </c>
      <c r="B26" s="75">
        <f t="shared" si="0"/>
        <v>11736.792452830188</v>
      </c>
      <c r="C26" s="76">
        <v>11080</v>
      </c>
      <c r="D26" s="77">
        <v>11980</v>
      </c>
      <c r="E26" s="77">
        <v>11240</v>
      </c>
      <c r="F26" s="77">
        <v>12060</v>
      </c>
      <c r="G26" s="77">
        <v>12390</v>
      </c>
      <c r="H26" s="77">
        <v>11910</v>
      </c>
      <c r="I26" s="77">
        <v>12210</v>
      </c>
      <c r="J26" s="77">
        <v>11950</v>
      </c>
      <c r="K26" s="77">
        <v>11640</v>
      </c>
      <c r="L26" s="77">
        <v>11970</v>
      </c>
      <c r="M26" s="77">
        <v>11940</v>
      </c>
      <c r="N26" s="77">
        <v>11960</v>
      </c>
      <c r="O26" s="77">
        <v>11930</v>
      </c>
      <c r="P26" s="77">
        <v>11920</v>
      </c>
      <c r="Q26" s="77">
        <v>11720</v>
      </c>
      <c r="R26" s="77">
        <v>11630</v>
      </c>
      <c r="S26" s="77">
        <v>11790</v>
      </c>
      <c r="T26" s="77">
        <v>11530</v>
      </c>
      <c r="U26" s="77">
        <v>11580</v>
      </c>
      <c r="V26" s="77">
        <v>11990</v>
      </c>
      <c r="W26" s="77">
        <v>11660</v>
      </c>
      <c r="X26" s="77">
        <v>11750</v>
      </c>
      <c r="Y26" s="77">
        <v>11700</v>
      </c>
      <c r="Z26" s="77">
        <v>11580</v>
      </c>
      <c r="AA26" s="77">
        <v>11430</v>
      </c>
      <c r="AB26" s="77">
        <v>11790</v>
      </c>
      <c r="AC26" s="77">
        <v>11620</v>
      </c>
      <c r="AD26" s="77">
        <v>11770</v>
      </c>
      <c r="AE26" s="77">
        <v>11790</v>
      </c>
      <c r="AF26" s="77">
        <v>11760</v>
      </c>
      <c r="AG26" s="77">
        <v>11520</v>
      </c>
      <c r="AH26" s="77">
        <v>11790</v>
      </c>
      <c r="AI26" s="77">
        <v>11810</v>
      </c>
      <c r="AJ26" s="77">
        <v>12840</v>
      </c>
      <c r="AK26" s="77">
        <v>11780</v>
      </c>
      <c r="AL26" s="77">
        <v>11850</v>
      </c>
      <c r="AM26" s="77">
        <v>11360</v>
      </c>
      <c r="AN26" s="77">
        <v>11520</v>
      </c>
      <c r="AO26" s="77">
        <v>11790</v>
      </c>
      <c r="AP26" s="77">
        <v>11750</v>
      </c>
      <c r="AQ26" s="77">
        <v>11620</v>
      </c>
      <c r="AR26" s="77">
        <v>11510</v>
      </c>
      <c r="AS26" s="77">
        <v>11660</v>
      </c>
      <c r="AT26" s="77">
        <v>11690</v>
      </c>
      <c r="AU26" s="77">
        <v>11670</v>
      </c>
      <c r="AV26" s="77">
        <v>11560</v>
      </c>
      <c r="AW26" s="77">
        <v>11580</v>
      </c>
      <c r="AX26" s="77">
        <v>11590</v>
      </c>
      <c r="AY26" s="77">
        <v>11520</v>
      </c>
      <c r="AZ26" s="77">
        <v>11600</v>
      </c>
      <c r="BA26" s="77">
        <v>11780</v>
      </c>
      <c r="BB26" s="77">
        <v>11490</v>
      </c>
      <c r="BC26" s="77">
        <v>11500</v>
      </c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77"/>
      <c r="BX26" s="77"/>
      <c r="BY26" s="77"/>
      <c r="BZ26" s="64"/>
    </row>
    <row r="27" spans="1:78" x14ac:dyDescent="0.35">
      <c r="A27" s="78" t="s">
        <v>34</v>
      </c>
      <c r="B27" s="79">
        <f t="shared" si="0"/>
        <v>5881.0943396226412</v>
      </c>
      <c r="C27" s="80">
        <v>5340</v>
      </c>
      <c r="D27" s="81">
        <v>5577</v>
      </c>
      <c r="E27" s="81">
        <v>5460</v>
      </c>
      <c r="F27" s="81">
        <v>5588</v>
      </c>
      <c r="G27" s="81">
        <v>5595</v>
      </c>
      <c r="H27" s="81">
        <v>5640</v>
      </c>
      <c r="I27" s="81">
        <v>5842</v>
      </c>
      <c r="J27" s="81">
        <v>5830</v>
      </c>
      <c r="K27" s="81">
        <v>5800</v>
      </c>
      <c r="L27" s="81">
        <v>5730</v>
      </c>
      <c r="M27" s="81">
        <v>5770</v>
      </c>
      <c r="N27" s="81">
        <v>5918</v>
      </c>
      <c r="O27" s="81">
        <v>6052</v>
      </c>
      <c r="P27" s="81">
        <v>5790</v>
      </c>
      <c r="Q27" s="81">
        <v>5964</v>
      </c>
      <c r="R27" s="81">
        <v>5971</v>
      </c>
      <c r="S27" s="81">
        <v>5830</v>
      </c>
      <c r="T27" s="81">
        <v>5900</v>
      </c>
      <c r="U27" s="81">
        <v>5820</v>
      </c>
      <c r="V27" s="81">
        <v>5910</v>
      </c>
      <c r="W27" s="81">
        <v>6116</v>
      </c>
      <c r="X27" s="81">
        <v>6130</v>
      </c>
      <c r="Y27" s="81">
        <v>6138</v>
      </c>
      <c r="Z27" s="81">
        <v>6141</v>
      </c>
      <c r="AA27" s="81">
        <v>6244</v>
      </c>
      <c r="AB27" s="81">
        <v>6121</v>
      </c>
      <c r="AC27" s="81">
        <v>6040</v>
      </c>
      <c r="AD27" s="81">
        <v>6059</v>
      </c>
      <c r="AE27" s="81">
        <v>6061</v>
      </c>
      <c r="AF27" s="81">
        <v>5960</v>
      </c>
      <c r="AG27" s="81">
        <v>6107</v>
      </c>
      <c r="AH27" s="81">
        <v>5979</v>
      </c>
      <c r="AI27" s="81">
        <v>5979</v>
      </c>
      <c r="AJ27" s="81">
        <v>6940</v>
      </c>
      <c r="AK27" s="81">
        <v>5931</v>
      </c>
      <c r="AL27" s="81">
        <v>6038</v>
      </c>
      <c r="AM27" s="81">
        <v>5880</v>
      </c>
      <c r="AN27" s="81">
        <v>5810</v>
      </c>
      <c r="AO27" s="81">
        <v>5975</v>
      </c>
      <c r="AP27" s="81">
        <v>6095</v>
      </c>
      <c r="AQ27" s="81">
        <v>5730</v>
      </c>
      <c r="AR27" s="81">
        <v>5870</v>
      </c>
      <c r="AS27" s="81">
        <v>5848</v>
      </c>
      <c r="AT27" s="81">
        <v>5590</v>
      </c>
      <c r="AU27" s="81">
        <v>5700</v>
      </c>
      <c r="AV27" s="81">
        <v>5918</v>
      </c>
      <c r="AW27" s="81">
        <v>5804</v>
      </c>
      <c r="AX27" s="81">
        <v>5760</v>
      </c>
      <c r="AY27" s="81">
        <v>5680</v>
      </c>
      <c r="AZ27" s="81">
        <v>5922</v>
      </c>
      <c r="BA27" s="81">
        <v>5735</v>
      </c>
      <c r="BB27" s="81">
        <v>5560</v>
      </c>
      <c r="BC27" s="81">
        <v>5510</v>
      </c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64"/>
    </row>
    <row r="28" spans="1:78" x14ac:dyDescent="0.35">
      <c r="A28" s="82" t="s">
        <v>35</v>
      </c>
      <c r="B28" s="83">
        <f t="shared" si="0"/>
        <v>0.90869332912890144</v>
      </c>
      <c r="C28" s="84">
        <v>0.86241955016077165</v>
      </c>
      <c r="D28" s="84">
        <v>0.88150703793713314</v>
      </c>
      <c r="E28" s="84">
        <v>0.87224233281061514</v>
      </c>
      <c r="F28" s="84">
        <v>0.88246359465305146</v>
      </c>
      <c r="G28" s="84">
        <v>0.88335221232700356</v>
      </c>
      <c r="H28" s="84">
        <v>0.88708264124748493</v>
      </c>
      <c r="I28" s="84">
        <v>0.90349160140890428</v>
      </c>
      <c r="J28" s="84">
        <v>0.90252549562032047</v>
      </c>
      <c r="K28" s="84">
        <v>0.90018543062243328</v>
      </c>
      <c r="L28" s="84">
        <v>0.89469756153846147</v>
      </c>
      <c r="M28" s="84">
        <v>0.89799435336340938</v>
      </c>
      <c r="N28" s="84">
        <v>0.90984053374949647</v>
      </c>
      <c r="O28" s="84">
        <v>0.92075175227199479</v>
      </c>
      <c r="P28" s="84">
        <v>0.89968073403432447</v>
      </c>
      <c r="Q28" s="84">
        <v>0.91366183928456324</v>
      </c>
      <c r="R28" s="84">
        <v>0.9143421123297607</v>
      </c>
      <c r="S28" s="84">
        <v>0.90271451237113398</v>
      </c>
      <c r="T28" s="84">
        <v>0.90842895661350098</v>
      </c>
      <c r="U28" s="84">
        <v>0.90206016348694806</v>
      </c>
      <c r="V28" s="84">
        <v>0.90942632540091872</v>
      </c>
      <c r="W28" s="84">
        <v>0.92602717961963099</v>
      </c>
      <c r="X28" s="84">
        <v>0.92715539301313565</v>
      </c>
      <c r="Y28" s="84">
        <v>0.92764069187948117</v>
      </c>
      <c r="Z28" s="84">
        <v>0.92816151818474923</v>
      </c>
      <c r="AA28" s="84">
        <v>0.93650452523176142</v>
      </c>
      <c r="AB28" s="84">
        <v>0.92682794426163406</v>
      </c>
      <c r="AC28" s="84">
        <v>0.92084581780379493</v>
      </c>
      <c r="AD28" s="84">
        <v>0.92265659555663282</v>
      </c>
      <c r="AE28" s="84">
        <v>0.92301604657722458</v>
      </c>
      <c r="AF28" s="84">
        <v>0.91493098586209687</v>
      </c>
      <c r="AG28" s="84">
        <v>0.92713305454177786</v>
      </c>
      <c r="AH28" s="84">
        <v>0.91728865465587051</v>
      </c>
      <c r="AI28" s="84">
        <v>0.91764171891256785</v>
      </c>
      <c r="AJ28" s="84">
        <v>0.99560338235675516</v>
      </c>
      <c r="AK28" s="84">
        <v>0.91371330515313565</v>
      </c>
      <c r="AL28" s="84">
        <v>0.92285901889699917</v>
      </c>
      <c r="AM28" s="84">
        <v>0.91008342476275439</v>
      </c>
      <c r="AN28" s="84">
        <v>0.90425291334630664</v>
      </c>
      <c r="AO28" s="84">
        <v>0.917828146073978</v>
      </c>
      <c r="AP28" s="84">
        <v>0.92768242657200806</v>
      </c>
      <c r="AQ28" s="84">
        <v>0.89825650259740242</v>
      </c>
      <c r="AR28" s="84">
        <v>0.90992973027940216</v>
      </c>
      <c r="AS28" s="84">
        <v>0.9083744421095401</v>
      </c>
      <c r="AT28" s="84">
        <v>0.88766759662574202</v>
      </c>
      <c r="AU28" s="84">
        <v>0.89664909837371931</v>
      </c>
      <c r="AV28" s="84">
        <v>0.91457128579679481</v>
      </c>
      <c r="AW28" s="84">
        <v>0.90552827066818598</v>
      </c>
      <c r="AX28" s="84">
        <v>0.9021380936492428</v>
      </c>
      <c r="AY28" s="84">
        <v>0.89577516124776024</v>
      </c>
      <c r="AZ28" s="84">
        <v>0.91572102959582791</v>
      </c>
      <c r="BA28" s="84">
        <v>0.90071168437958582</v>
      </c>
      <c r="BB28" s="84">
        <v>0.88633376786209139</v>
      </c>
      <c r="BC28" s="84">
        <v>0.88236829615196477</v>
      </c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  <c r="BS28" s="84"/>
      <c r="BT28" s="84"/>
      <c r="BU28" s="84"/>
      <c r="BV28" s="84"/>
      <c r="BW28" s="84"/>
      <c r="BX28" s="84"/>
      <c r="BY28" s="84"/>
      <c r="BZ28" s="64"/>
    </row>
    <row r="29" spans="1:78" x14ac:dyDescent="0.35">
      <c r="A29" s="85" t="s">
        <v>36</v>
      </c>
      <c r="B29" s="86">
        <f t="shared" si="0"/>
        <v>55</v>
      </c>
      <c r="C29" s="87">
        <v>55</v>
      </c>
      <c r="D29" s="88">
        <v>55</v>
      </c>
      <c r="E29" s="88">
        <v>55</v>
      </c>
      <c r="F29" s="88">
        <v>55</v>
      </c>
      <c r="G29" s="88">
        <v>55</v>
      </c>
      <c r="H29" s="88">
        <v>55</v>
      </c>
      <c r="I29" s="88">
        <v>55</v>
      </c>
      <c r="J29" s="88">
        <v>55</v>
      </c>
      <c r="K29" s="88">
        <v>55</v>
      </c>
      <c r="L29" s="88">
        <v>55</v>
      </c>
      <c r="M29" s="88">
        <v>55</v>
      </c>
      <c r="N29" s="88">
        <v>55</v>
      </c>
      <c r="O29" s="88">
        <v>55</v>
      </c>
      <c r="P29" s="88">
        <v>55</v>
      </c>
      <c r="Q29" s="88">
        <v>55</v>
      </c>
      <c r="R29" s="88">
        <v>55</v>
      </c>
      <c r="S29" s="88">
        <v>55</v>
      </c>
      <c r="T29" s="88">
        <v>55</v>
      </c>
      <c r="U29" s="88">
        <v>55</v>
      </c>
      <c r="V29" s="88">
        <v>55</v>
      </c>
      <c r="W29" s="88">
        <v>55</v>
      </c>
      <c r="X29" s="88">
        <v>55</v>
      </c>
      <c r="Y29" s="88">
        <v>55</v>
      </c>
      <c r="Z29" s="88">
        <v>55</v>
      </c>
      <c r="AA29" s="88">
        <v>55</v>
      </c>
      <c r="AB29" s="88">
        <v>55</v>
      </c>
      <c r="AC29" s="88">
        <v>55</v>
      </c>
      <c r="AD29" s="88">
        <v>55</v>
      </c>
      <c r="AE29" s="88">
        <v>55</v>
      </c>
      <c r="AF29" s="88">
        <v>55</v>
      </c>
      <c r="AG29" s="88">
        <v>55</v>
      </c>
      <c r="AH29" s="88">
        <v>55</v>
      </c>
      <c r="AI29" s="88">
        <v>55</v>
      </c>
      <c r="AJ29" s="88">
        <v>55</v>
      </c>
      <c r="AK29" s="88">
        <v>55</v>
      </c>
      <c r="AL29" s="88">
        <v>55</v>
      </c>
      <c r="AM29" s="88">
        <v>55</v>
      </c>
      <c r="AN29" s="88">
        <v>55</v>
      </c>
      <c r="AO29" s="88">
        <v>55</v>
      </c>
      <c r="AP29" s="88">
        <v>55</v>
      </c>
      <c r="AQ29" s="88">
        <v>55</v>
      </c>
      <c r="AR29" s="88">
        <v>55</v>
      </c>
      <c r="AS29" s="88">
        <v>55</v>
      </c>
      <c r="AT29" s="88">
        <v>55</v>
      </c>
      <c r="AU29" s="88">
        <v>55</v>
      </c>
      <c r="AV29" s="88">
        <v>55</v>
      </c>
      <c r="AW29" s="88">
        <v>55</v>
      </c>
      <c r="AX29" s="88">
        <v>55</v>
      </c>
      <c r="AY29" s="88">
        <v>55</v>
      </c>
      <c r="AZ29" s="88">
        <v>55</v>
      </c>
      <c r="BA29" s="88">
        <v>55</v>
      </c>
      <c r="BB29" s="88">
        <v>55</v>
      </c>
      <c r="BC29" s="88">
        <v>55</v>
      </c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88"/>
      <c r="BT29" s="88"/>
      <c r="BU29" s="88"/>
      <c r="BV29" s="88"/>
      <c r="BW29" s="88"/>
      <c r="BX29" s="88"/>
      <c r="BY29" s="88"/>
      <c r="BZ29" s="64"/>
    </row>
    <row r="30" spans="1:78" x14ac:dyDescent="0.35">
      <c r="A30" s="89" t="s">
        <v>37</v>
      </c>
      <c r="B30" s="90">
        <f t="shared" si="0"/>
        <v>17775.991583425825</v>
      </c>
      <c r="C30" s="91">
        <v>15037.352941176472</v>
      </c>
      <c r="D30" s="92">
        <v>18901.000000000004</v>
      </c>
      <c r="E30" s="92">
        <v>18052.965686274511</v>
      </c>
      <c r="F30" s="92">
        <v>17414.362745098042</v>
      </c>
      <c r="G30" s="92">
        <v>16684.5</v>
      </c>
      <c r="H30" s="92">
        <v>16487.727941176472</v>
      </c>
      <c r="I30" s="92">
        <v>17486.213235294119</v>
      </c>
      <c r="J30" s="92">
        <v>16418.754901960787</v>
      </c>
      <c r="K30" s="92">
        <v>15989.198529411764</v>
      </c>
      <c r="L30" s="92">
        <v>16225.526960784315</v>
      </c>
      <c r="M30" s="92">
        <v>16844.367647058825</v>
      </c>
      <c r="N30" s="92">
        <v>16688.705882352941</v>
      </c>
      <c r="O30" s="92">
        <v>17058.419117647059</v>
      </c>
      <c r="P30" s="92">
        <v>16763.215686274511</v>
      </c>
      <c r="Q30" s="92">
        <v>13669.117647058825</v>
      </c>
      <c r="R30" s="92">
        <v>17709.583333333332</v>
      </c>
      <c r="S30" s="92">
        <v>16679.11029411765</v>
      </c>
      <c r="T30" s="92">
        <v>16324.000000000004</v>
      </c>
      <c r="U30" s="92">
        <v>16448.431372549021</v>
      </c>
      <c r="V30" s="92">
        <v>17687.970588235297</v>
      </c>
      <c r="W30" s="92">
        <v>16577.867647058825</v>
      </c>
      <c r="X30" s="92">
        <v>17393.955882352944</v>
      </c>
      <c r="Y30" s="92">
        <v>16477.566176470587</v>
      </c>
      <c r="Z30" s="92">
        <v>16696.887254901962</v>
      </c>
      <c r="AA30" s="92">
        <v>19079.580882352944</v>
      </c>
      <c r="AB30" s="92">
        <v>17624.333333333332</v>
      </c>
      <c r="AC30" s="92">
        <v>17858.372549019612</v>
      </c>
      <c r="AD30" s="92">
        <v>16120.919117647059</v>
      </c>
      <c r="AE30" s="92">
        <v>18902.977941176472</v>
      </c>
      <c r="AF30" s="92">
        <v>19136.637254901962</v>
      </c>
      <c r="AG30" s="92">
        <v>18742.397058823532</v>
      </c>
      <c r="AH30" s="92">
        <v>19401</v>
      </c>
      <c r="AI30" s="92">
        <v>19553.583333333336</v>
      </c>
      <c r="AJ30" s="92">
        <v>19030.573529411766</v>
      </c>
      <c r="AK30" s="92">
        <v>19140.196078431374</v>
      </c>
      <c r="AL30" s="92">
        <v>18871.375</v>
      </c>
      <c r="AM30" s="92">
        <v>17742.352941176472</v>
      </c>
      <c r="AN30" s="92">
        <v>18561.911764705885</v>
      </c>
      <c r="AO30" s="92">
        <v>19419.522058823535</v>
      </c>
      <c r="AP30" s="92">
        <v>19298.884803921566</v>
      </c>
      <c r="AQ30" s="92">
        <v>19070.058823529413</v>
      </c>
      <c r="AR30" s="92">
        <v>17700.156862745102</v>
      </c>
      <c r="AS30" s="92">
        <v>16977.352941176472</v>
      </c>
      <c r="AT30" s="92">
        <v>18408.095588235294</v>
      </c>
      <c r="AU30" s="92">
        <v>18584.338235294119</v>
      </c>
      <c r="AV30" s="92">
        <v>19270</v>
      </c>
      <c r="AW30" s="92">
        <v>19140.264705882357</v>
      </c>
      <c r="AX30" s="92">
        <v>19142.426470588238</v>
      </c>
      <c r="AY30" s="92">
        <v>18979.367647058825</v>
      </c>
      <c r="AZ30" s="92">
        <v>19256</v>
      </c>
      <c r="BA30" s="92">
        <v>18505.936274509808</v>
      </c>
      <c r="BB30" s="92">
        <v>18890.720588235294</v>
      </c>
      <c r="BC30" s="92">
        <v>18001.416666666668</v>
      </c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64"/>
    </row>
    <row r="31" spans="1:78" ht="15" thickBot="1" x14ac:dyDescent="0.4">
      <c r="A31" s="93" t="s">
        <v>38</v>
      </c>
      <c r="B31" s="94" t="str">
        <f t="shared" si="0"/>
        <v/>
      </c>
      <c r="C31" s="95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7"/>
      <c r="BB31" s="97"/>
      <c r="BC31" s="97"/>
      <c r="BD31" s="97"/>
      <c r="BE31" s="97"/>
      <c r="BF31" s="97"/>
      <c r="BG31" s="97"/>
      <c r="BH31" s="97"/>
      <c r="BI31" s="97"/>
      <c r="BJ31" s="97"/>
      <c r="BK31" s="97"/>
      <c r="BL31" s="97"/>
      <c r="BM31" s="97"/>
      <c r="BN31" s="97"/>
      <c r="BO31" s="97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8"/>
    </row>
    <row r="32" spans="1:78" x14ac:dyDescent="0.35">
      <c r="A32" s="99" t="str">
        <f>IF('[2]Set Up'!E41=0,"",'[2]Set Up'!E41&amp;", bbl")</f>
        <v>15% HCl Acid, bbl</v>
      </c>
      <c r="B32" s="100">
        <f>IF(BZ32=0,"",AVERAGE(C32:BY32))</f>
        <v>29.524707996406111</v>
      </c>
      <c r="C32" s="101">
        <v>36.238095238095241</v>
      </c>
      <c r="D32" s="102">
        <v>30.023809523809526</v>
      </c>
      <c r="E32" s="102">
        <v>30.214285714285715</v>
      </c>
      <c r="F32" s="102">
        <v>29.904761904761905</v>
      </c>
      <c r="G32" s="102">
        <v>28.833333333333332</v>
      </c>
      <c r="H32" s="102">
        <v>27.142857142857142</v>
      </c>
      <c r="I32" s="102">
        <v>28.714285714285715</v>
      </c>
      <c r="J32" s="102">
        <v>28.023809523809526</v>
      </c>
      <c r="K32" s="102">
        <v>28.333333333333332</v>
      </c>
      <c r="L32" s="102">
        <v>29.523809523809526</v>
      </c>
      <c r="M32" s="102">
        <v>30.142857142857142</v>
      </c>
      <c r="N32" s="102">
        <v>30.214285714285715</v>
      </c>
      <c r="O32" s="102">
        <v>29.523809523809526</v>
      </c>
      <c r="P32" s="102">
        <v>28.333333333333332</v>
      </c>
      <c r="Q32" s="102">
        <v>29.404761904761905</v>
      </c>
      <c r="R32" s="102">
        <v>28.142857142857142</v>
      </c>
      <c r="S32" s="102">
        <v>29.785714285714285</v>
      </c>
      <c r="T32" s="102">
        <v>30.357142857142858</v>
      </c>
      <c r="U32" s="102">
        <v>28.833333333333332</v>
      </c>
      <c r="V32" s="102">
        <v>29.904761904761905</v>
      </c>
      <c r="W32" s="102">
        <v>30.214285714285715</v>
      </c>
      <c r="X32" s="102">
        <v>30.023809523809526</v>
      </c>
      <c r="Y32" s="102">
        <v>29.142857142857142</v>
      </c>
      <c r="Z32" s="102">
        <v>30.285714285714285</v>
      </c>
      <c r="AA32" s="102">
        <v>30.357142857142858</v>
      </c>
      <c r="AB32" s="102">
        <v>29.023809523809526</v>
      </c>
      <c r="AC32" s="102">
        <v>29.976190476190474</v>
      </c>
      <c r="AD32" s="102">
        <v>30.142857142857142</v>
      </c>
      <c r="AE32" s="102">
        <v>30.214285714285715</v>
      </c>
      <c r="AF32" s="102">
        <v>29.523809523809526</v>
      </c>
      <c r="AG32" s="102">
        <v>29.023809523809526</v>
      </c>
      <c r="AH32" s="102">
        <v>29.214285714285715</v>
      </c>
      <c r="AI32" s="102">
        <v>29.214285714285715</v>
      </c>
      <c r="AJ32" s="102">
        <v>28.714285714285715</v>
      </c>
      <c r="AK32" s="102">
        <v>27.904761904761905</v>
      </c>
      <c r="AL32" s="102">
        <v>29.285714285714285</v>
      </c>
      <c r="AM32" s="102">
        <v>30.095238095238095</v>
      </c>
      <c r="AN32" s="102">
        <v>30.214285714285715</v>
      </c>
      <c r="AO32" s="102">
        <v>29.785714285714285</v>
      </c>
      <c r="AP32" s="102">
        <v>28.714285714285715</v>
      </c>
      <c r="AQ32" s="102">
        <v>30.023809523809526</v>
      </c>
      <c r="AR32" s="102">
        <v>27.904761904761905</v>
      </c>
      <c r="AS32" s="102">
        <v>28.714285714285715</v>
      </c>
      <c r="AT32" s="102">
        <v>29.785714285714285</v>
      </c>
      <c r="AU32" s="102">
        <v>28.523809523809526</v>
      </c>
      <c r="AV32" s="102">
        <v>29.285714285714285</v>
      </c>
      <c r="AW32" s="102">
        <v>30.095238095238095</v>
      </c>
      <c r="AX32" s="102">
        <v>30.214285714285715</v>
      </c>
      <c r="AY32" s="102">
        <v>29.785714285714285</v>
      </c>
      <c r="AZ32" s="102">
        <v>28.714285714285715</v>
      </c>
      <c r="BA32" s="101">
        <v>30.023809523809526</v>
      </c>
      <c r="BB32" s="101">
        <v>29.285714285714285</v>
      </c>
      <c r="BC32" s="101">
        <v>29.785714285714285</v>
      </c>
      <c r="BD32" s="101"/>
      <c r="BE32" s="101"/>
      <c r="BF32" s="101"/>
      <c r="BG32" s="101"/>
      <c r="BH32" s="101"/>
      <c r="BI32" s="101"/>
      <c r="BJ32" s="101"/>
      <c r="BK32" s="101"/>
      <c r="BL32" s="101"/>
      <c r="BM32" s="101"/>
      <c r="BN32" s="101"/>
      <c r="BO32" s="101"/>
      <c r="BP32" s="101"/>
      <c r="BQ32" s="101"/>
      <c r="BR32" s="101"/>
      <c r="BS32" s="101"/>
      <c r="BT32" s="101"/>
      <c r="BU32" s="101"/>
      <c r="BV32" s="101"/>
      <c r="BW32" s="101"/>
      <c r="BX32" s="101"/>
      <c r="BY32" s="101"/>
      <c r="BZ32" s="103">
        <f t="shared" ref="BZ32:BZ58" si="1">SUM(C32:BY32)</f>
        <v>1564.8095238095239</v>
      </c>
    </row>
    <row r="33" spans="1:78" x14ac:dyDescent="0.35">
      <c r="A33" s="104" t="str">
        <f>IF('[2]Set Up'!E42=0,"",'[2]Set Up'!E42&amp;", bbl")</f>
        <v>Slickwater, bbl</v>
      </c>
      <c r="B33" s="105">
        <f>IF(BZ33=0,"",AVERAGE(C33:BY33))</f>
        <v>10762.292003593891</v>
      </c>
      <c r="C33" s="106">
        <v>10847.6</v>
      </c>
      <c r="D33" s="107">
        <v>10806.500000000002</v>
      </c>
      <c r="E33" s="107">
        <v>10706.999999999998</v>
      </c>
      <c r="F33" s="107">
        <v>10879.8</v>
      </c>
      <c r="G33" s="107">
        <v>11371.6</v>
      </c>
      <c r="H33" s="107">
        <v>11115.400000000001</v>
      </c>
      <c r="I33" s="107">
        <v>11017.900000000003</v>
      </c>
      <c r="J33" s="107">
        <v>10802.599999999999</v>
      </c>
      <c r="K33" s="107">
        <v>10997.2</v>
      </c>
      <c r="L33" s="107">
        <v>10764.67619047619</v>
      </c>
      <c r="M33" s="107">
        <v>10733.199999999999</v>
      </c>
      <c r="N33" s="107">
        <v>10583.9</v>
      </c>
      <c r="O33" s="107">
        <v>11052.776190476192</v>
      </c>
      <c r="P33" s="107">
        <v>11017.2</v>
      </c>
      <c r="Q33" s="107">
        <v>10888.4</v>
      </c>
      <c r="R33" s="107">
        <v>10738.657142857142</v>
      </c>
      <c r="S33" s="107">
        <v>10770.9</v>
      </c>
      <c r="T33" s="107">
        <v>10906.242857142859</v>
      </c>
      <c r="U33" s="107">
        <v>10913.666666666666</v>
      </c>
      <c r="V33" s="107">
        <v>10872.6</v>
      </c>
      <c r="W33" s="107">
        <v>11022.800000000003</v>
      </c>
      <c r="X33" s="107">
        <v>12186.600000000002</v>
      </c>
      <c r="Y33" s="107">
        <v>10743.500000000002</v>
      </c>
      <c r="Z33" s="107">
        <v>10715.714285714286</v>
      </c>
      <c r="AA33" s="107">
        <v>10665.7</v>
      </c>
      <c r="AB33" s="107">
        <v>10811.699999999999</v>
      </c>
      <c r="AC33" s="107">
        <v>10675.423809523811</v>
      </c>
      <c r="AD33" s="107">
        <v>10746.357142857143</v>
      </c>
      <c r="AE33" s="107">
        <v>10664.7</v>
      </c>
      <c r="AF33" s="107">
        <v>10716.199999999999</v>
      </c>
      <c r="AG33" s="107">
        <v>10696.476190476187</v>
      </c>
      <c r="AH33" s="107">
        <v>10688.3</v>
      </c>
      <c r="AI33" s="107">
        <v>10605.5</v>
      </c>
      <c r="AJ33" s="107">
        <v>10721.385714285712</v>
      </c>
      <c r="AK33" s="107">
        <v>10803.6</v>
      </c>
      <c r="AL33" s="107">
        <v>10587.199999999999</v>
      </c>
      <c r="AM33" s="107">
        <v>10596.6</v>
      </c>
      <c r="AN33" s="107">
        <v>10697.300000000001</v>
      </c>
      <c r="AO33" s="107">
        <v>10770.5</v>
      </c>
      <c r="AP33" s="107">
        <v>10658.7</v>
      </c>
      <c r="AQ33" s="107">
        <v>10581.3</v>
      </c>
      <c r="AR33" s="107">
        <v>10511.7</v>
      </c>
      <c r="AS33" s="107">
        <v>10314.200000000001</v>
      </c>
      <c r="AT33" s="107">
        <v>10541.9</v>
      </c>
      <c r="AU33" s="107">
        <v>10484.299999999999</v>
      </c>
      <c r="AV33" s="107">
        <v>10629.5</v>
      </c>
      <c r="AW33" s="107">
        <v>10743.099999999999</v>
      </c>
      <c r="AX33" s="107">
        <v>10571.100000000002</v>
      </c>
      <c r="AY33" s="107">
        <v>10374.799999999999</v>
      </c>
      <c r="AZ33" s="107">
        <v>10573.5</v>
      </c>
      <c r="BA33" s="106">
        <v>10582.399999999998</v>
      </c>
      <c r="BB33" s="106">
        <v>10483.999999999998</v>
      </c>
      <c r="BC33" s="106">
        <v>10447.6</v>
      </c>
      <c r="BD33" s="106"/>
      <c r="BE33" s="106"/>
      <c r="BF33" s="106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8">
        <f t="shared" si="1"/>
        <v>570401.47619047621</v>
      </c>
    </row>
    <row r="34" spans="1:78" x14ac:dyDescent="0.35">
      <c r="A34" s="99" t="str">
        <f>IF('[2]Set Up'!E43=0,"",'[2]Set Up'!E43&amp;", bbl")</f>
        <v>Pump Down, bbl</v>
      </c>
      <c r="B34" s="109">
        <f>IF(BZ34=0,"",AVERAGE(C34:BY34))</f>
        <v>162.00377358490567</v>
      </c>
      <c r="C34" s="110">
        <v>318</v>
      </c>
      <c r="D34" s="111">
        <v>332</v>
      </c>
      <c r="E34" s="111">
        <v>309.60000000000002</v>
      </c>
      <c r="F34" s="111">
        <v>294</v>
      </c>
      <c r="G34" s="111">
        <v>266.60000000000002</v>
      </c>
      <c r="H34" s="111">
        <v>246</v>
      </c>
      <c r="I34" s="111">
        <v>311</v>
      </c>
      <c r="J34" s="111">
        <v>258</v>
      </c>
      <c r="K34" s="111">
        <v>271</v>
      </c>
      <c r="L34" s="111">
        <v>610</v>
      </c>
      <c r="M34" s="111">
        <v>251</v>
      </c>
      <c r="N34" s="111">
        <v>293</v>
      </c>
      <c r="O34" s="111">
        <v>191</v>
      </c>
      <c r="P34" s="111">
        <v>225</v>
      </c>
      <c r="Q34" s="111">
        <v>242</v>
      </c>
      <c r="R34" s="111">
        <v>512</v>
      </c>
      <c r="S34" s="111">
        <v>200</v>
      </c>
      <c r="T34" s="111">
        <v>234</v>
      </c>
      <c r="U34" s="111">
        <v>185</v>
      </c>
      <c r="V34" s="111">
        <v>197</v>
      </c>
      <c r="W34" s="111">
        <v>162</v>
      </c>
      <c r="X34" s="111">
        <v>151</v>
      </c>
      <c r="Y34" s="111">
        <v>148</v>
      </c>
      <c r="Z34" s="111">
        <v>142</v>
      </c>
      <c r="AA34" s="111">
        <v>164</v>
      </c>
      <c r="AB34" s="111">
        <v>143</v>
      </c>
      <c r="AC34" s="111">
        <v>196</v>
      </c>
      <c r="AD34" s="111">
        <v>136</v>
      </c>
      <c r="AE34" s="111">
        <v>127</v>
      </c>
      <c r="AF34" s="111">
        <v>116</v>
      </c>
      <c r="AG34" s="111">
        <v>111</v>
      </c>
      <c r="AH34" s="111">
        <v>122</v>
      </c>
      <c r="AI34" s="111">
        <v>119</v>
      </c>
      <c r="AJ34" s="111">
        <v>96</v>
      </c>
      <c r="AK34" s="111">
        <v>90</v>
      </c>
      <c r="AL34" s="111">
        <v>85</v>
      </c>
      <c r="AM34" s="111">
        <v>75</v>
      </c>
      <c r="AN34" s="111">
        <v>72</v>
      </c>
      <c r="AO34" s="111">
        <v>76</v>
      </c>
      <c r="AP34" s="111">
        <v>63</v>
      </c>
      <c r="AQ34" s="111">
        <v>55</v>
      </c>
      <c r="AR34" s="111">
        <v>50</v>
      </c>
      <c r="AS34" s="111">
        <v>48</v>
      </c>
      <c r="AT34" s="111">
        <v>50</v>
      </c>
      <c r="AU34" s="111">
        <v>46</v>
      </c>
      <c r="AV34" s="111">
        <v>38</v>
      </c>
      <c r="AW34" s="111">
        <v>48</v>
      </c>
      <c r="AX34" s="111">
        <v>28</v>
      </c>
      <c r="AY34" s="111">
        <v>25</v>
      </c>
      <c r="AZ34" s="111">
        <v>25</v>
      </c>
      <c r="BA34" s="111">
        <v>19</v>
      </c>
      <c r="BB34" s="111">
        <v>14</v>
      </c>
      <c r="BC34" s="111">
        <v>0</v>
      </c>
      <c r="BD34" s="111"/>
      <c r="BE34" s="111"/>
      <c r="BF34" s="111"/>
      <c r="BG34" s="111"/>
      <c r="BH34" s="111"/>
      <c r="BI34" s="111"/>
      <c r="BJ34" s="111"/>
      <c r="BK34" s="111"/>
      <c r="BL34" s="111"/>
      <c r="BM34" s="111"/>
      <c r="BN34" s="111"/>
      <c r="BO34" s="111"/>
      <c r="BP34" s="111"/>
      <c r="BQ34" s="111"/>
      <c r="BR34" s="111"/>
      <c r="BS34" s="111"/>
      <c r="BT34" s="111"/>
      <c r="BU34" s="111"/>
      <c r="BV34" s="111"/>
      <c r="BW34" s="111"/>
      <c r="BX34" s="111"/>
      <c r="BY34" s="111"/>
      <c r="BZ34" s="109">
        <f t="shared" si="1"/>
        <v>8586.2000000000007</v>
      </c>
    </row>
    <row r="35" spans="1:78" x14ac:dyDescent="0.35">
      <c r="A35" s="104" t="str">
        <f>IF('[2]Set Up'!E44=0,"",'[2]Set Up'!E44&amp;", bbl")</f>
        <v/>
      </c>
      <c r="B35" s="105" t="str">
        <f>IF(BZ35=0,"",AVERAGE(C35:BY35))</f>
        <v/>
      </c>
      <c r="C35" s="106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  <c r="AU35" s="107">
        <v>0</v>
      </c>
      <c r="AV35" s="107">
        <v>0</v>
      </c>
      <c r="AW35" s="107">
        <v>0</v>
      </c>
      <c r="AX35" s="107">
        <v>0</v>
      </c>
      <c r="AY35" s="107">
        <v>0</v>
      </c>
      <c r="AZ35" s="107">
        <v>0</v>
      </c>
      <c r="BA35" s="107">
        <v>0</v>
      </c>
      <c r="BB35" s="107">
        <v>0</v>
      </c>
      <c r="BC35" s="107">
        <v>0</v>
      </c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5">
        <f t="shared" si="1"/>
        <v>0</v>
      </c>
    </row>
    <row r="36" spans="1:78" ht="15" thickBot="1" x14ac:dyDescent="0.4">
      <c r="A36" s="112" t="s">
        <v>39</v>
      </c>
      <c r="B36" s="113">
        <f>IF(BZ36=0,"",AVERAGE(C36:BY36))</f>
        <v>10953.8204851752</v>
      </c>
      <c r="C36" s="114">
        <v>11201.838095238096</v>
      </c>
      <c r="D36" s="115">
        <v>11168.523809523811</v>
      </c>
      <c r="E36" s="115">
        <v>11046.814285714285</v>
      </c>
      <c r="F36" s="115">
        <v>11203.704761904761</v>
      </c>
      <c r="G36" s="115">
        <v>11667.033333333335</v>
      </c>
      <c r="H36" s="115">
        <v>11388.542857142858</v>
      </c>
      <c r="I36" s="115">
        <v>11357.61428571429</v>
      </c>
      <c r="J36" s="115">
        <v>11088.623809523808</v>
      </c>
      <c r="K36" s="115">
        <v>11296.533333333335</v>
      </c>
      <c r="L36" s="115">
        <v>11404.199999999999</v>
      </c>
      <c r="M36" s="115">
        <v>11014.342857142856</v>
      </c>
      <c r="N36" s="115">
        <v>10907.114285714286</v>
      </c>
      <c r="O36" s="115">
        <v>11273.300000000001</v>
      </c>
      <c r="P36" s="115">
        <v>11270.533333333335</v>
      </c>
      <c r="Q36" s="115">
        <v>11159.804761904761</v>
      </c>
      <c r="R36" s="115">
        <v>11278.8</v>
      </c>
      <c r="S36" s="115">
        <v>11000.685714285713</v>
      </c>
      <c r="T36" s="115">
        <v>11170.600000000002</v>
      </c>
      <c r="U36" s="115">
        <v>11127.5</v>
      </c>
      <c r="V36" s="115">
        <v>11099.504761904762</v>
      </c>
      <c r="W36" s="115">
        <v>11215.014285714289</v>
      </c>
      <c r="X36" s="115">
        <v>12367.623809523811</v>
      </c>
      <c r="Y36" s="115">
        <v>10920.642857142859</v>
      </c>
      <c r="Z36" s="115">
        <v>10888</v>
      </c>
      <c r="AA36" s="115">
        <v>10860.057142857144</v>
      </c>
      <c r="AB36" s="115">
        <v>10983.723809523808</v>
      </c>
      <c r="AC36" s="115">
        <v>10901.400000000001</v>
      </c>
      <c r="AD36" s="115">
        <v>10912.5</v>
      </c>
      <c r="AE36" s="115">
        <v>10821.914285714287</v>
      </c>
      <c r="AF36" s="115">
        <v>10861.723809523808</v>
      </c>
      <c r="AG36" s="115">
        <v>10836.499999999996</v>
      </c>
      <c r="AH36" s="115">
        <v>10839.514285714286</v>
      </c>
      <c r="AI36" s="115">
        <v>10753.714285714286</v>
      </c>
      <c r="AJ36" s="115">
        <v>10846.099999999999</v>
      </c>
      <c r="AK36" s="115">
        <v>10921.504761904762</v>
      </c>
      <c r="AL36" s="115">
        <v>10701.485714285713</v>
      </c>
      <c r="AM36" s="115">
        <v>10701.695238095239</v>
      </c>
      <c r="AN36" s="115">
        <v>10799.514285714287</v>
      </c>
      <c r="AO36" s="115">
        <v>10876.285714285714</v>
      </c>
      <c r="AP36" s="115">
        <v>10750.414285714287</v>
      </c>
      <c r="AQ36" s="115">
        <v>10666.323809523808</v>
      </c>
      <c r="AR36" s="115">
        <v>10589.604761904762</v>
      </c>
      <c r="AS36" s="115">
        <v>10390.914285714287</v>
      </c>
      <c r="AT36" s="115">
        <v>10621.685714285713</v>
      </c>
      <c r="AU36" s="115">
        <v>10558.823809523808</v>
      </c>
      <c r="AV36" s="115">
        <v>10696.785714285714</v>
      </c>
      <c r="AW36" s="115">
        <v>10821.195238095237</v>
      </c>
      <c r="AX36" s="115">
        <v>10629.314285714288</v>
      </c>
      <c r="AY36" s="115">
        <v>10429.585714285713</v>
      </c>
      <c r="AZ36" s="115">
        <v>10627.214285714286</v>
      </c>
      <c r="BA36" s="114">
        <v>10631.423809523807</v>
      </c>
      <c r="BB36" s="114">
        <v>10527.285714285712</v>
      </c>
      <c r="BC36" s="114">
        <v>10477.385714285714</v>
      </c>
      <c r="BD36" s="114"/>
      <c r="BE36" s="114"/>
      <c r="BF36" s="114"/>
      <c r="BG36" s="114"/>
      <c r="BH36" s="114"/>
      <c r="BI36" s="114"/>
      <c r="BJ36" s="114"/>
      <c r="BK36" s="114"/>
      <c r="BL36" s="114"/>
      <c r="BM36" s="114"/>
      <c r="BN36" s="114"/>
      <c r="BO36" s="114"/>
      <c r="BP36" s="114"/>
      <c r="BQ36" s="114"/>
      <c r="BR36" s="114"/>
      <c r="BS36" s="114"/>
      <c r="BT36" s="114"/>
      <c r="BU36" s="114"/>
      <c r="BV36" s="114"/>
      <c r="BW36" s="114"/>
      <c r="BX36" s="114"/>
      <c r="BY36" s="114"/>
      <c r="BZ36" s="116">
        <f>SUM(C36:BY36)</f>
        <v>580552.48571428563</v>
      </c>
    </row>
    <row r="37" spans="1:78" x14ac:dyDescent="0.35">
      <c r="A37" s="117" t="str">
        <f>IF('[2]Set Up'!E35=0,"",'[2]Set Up'!E35&amp;", lb")</f>
        <v>100 Mesh, lb</v>
      </c>
      <c r="B37" s="118">
        <f t="shared" ref="B37:B58" si="2">IF(C37="","",AVERAGE(C37:BY37))</f>
        <v>498025.28301886795</v>
      </c>
      <c r="C37" s="119">
        <v>501100</v>
      </c>
      <c r="D37" s="120">
        <v>497420</v>
      </c>
      <c r="E37" s="120">
        <v>491260</v>
      </c>
      <c r="F37" s="120">
        <v>507600</v>
      </c>
      <c r="G37" s="120">
        <v>499880</v>
      </c>
      <c r="H37" s="120">
        <v>496040</v>
      </c>
      <c r="I37" s="120">
        <v>502760</v>
      </c>
      <c r="J37" s="120">
        <v>495280</v>
      </c>
      <c r="K37" s="120">
        <v>495140</v>
      </c>
      <c r="L37" s="120">
        <v>501680</v>
      </c>
      <c r="M37" s="120">
        <v>494360</v>
      </c>
      <c r="N37" s="120">
        <v>498440</v>
      </c>
      <c r="O37" s="120">
        <v>499720</v>
      </c>
      <c r="P37" s="120">
        <v>503860</v>
      </c>
      <c r="Q37" s="120">
        <v>496800</v>
      </c>
      <c r="R37" s="120">
        <v>491940</v>
      </c>
      <c r="S37" s="120">
        <v>503480</v>
      </c>
      <c r="T37" s="120">
        <v>498720</v>
      </c>
      <c r="U37" s="120">
        <v>495260</v>
      </c>
      <c r="V37" s="120">
        <v>499920</v>
      </c>
      <c r="W37" s="120">
        <v>506260</v>
      </c>
      <c r="X37" s="120">
        <v>497580</v>
      </c>
      <c r="Y37" s="120">
        <v>505380</v>
      </c>
      <c r="Z37" s="120">
        <v>501080</v>
      </c>
      <c r="AA37" s="120">
        <v>497140</v>
      </c>
      <c r="AB37" s="120">
        <v>504320</v>
      </c>
      <c r="AC37" s="120">
        <v>496680</v>
      </c>
      <c r="AD37" s="120">
        <v>506520</v>
      </c>
      <c r="AE37" s="120">
        <v>493520</v>
      </c>
      <c r="AF37" s="120">
        <v>500480</v>
      </c>
      <c r="AG37" s="120">
        <v>502580</v>
      </c>
      <c r="AH37" s="120">
        <v>501180</v>
      </c>
      <c r="AI37" s="120">
        <v>501180</v>
      </c>
      <c r="AJ37" s="120">
        <v>458800</v>
      </c>
      <c r="AK37" s="120">
        <v>514740</v>
      </c>
      <c r="AL37" s="120">
        <v>513300</v>
      </c>
      <c r="AM37" s="120">
        <v>506540</v>
      </c>
      <c r="AN37" s="120">
        <v>511440</v>
      </c>
      <c r="AO37" s="120">
        <v>508780</v>
      </c>
      <c r="AP37" s="120">
        <v>498880</v>
      </c>
      <c r="AQ37" s="120">
        <v>500080</v>
      </c>
      <c r="AR37" s="120">
        <v>506320</v>
      </c>
      <c r="AS37" s="120">
        <v>392560</v>
      </c>
      <c r="AT37" s="120">
        <v>500840</v>
      </c>
      <c r="AU37" s="120">
        <v>497880</v>
      </c>
      <c r="AV37" s="120">
        <v>498300</v>
      </c>
      <c r="AW37" s="120">
        <v>508200</v>
      </c>
      <c r="AX37" s="120">
        <v>503160</v>
      </c>
      <c r="AY37" s="120">
        <v>497540</v>
      </c>
      <c r="AZ37" s="120">
        <v>499500</v>
      </c>
      <c r="BA37" s="119">
        <v>499280</v>
      </c>
      <c r="BB37" s="119">
        <v>499000</v>
      </c>
      <c r="BC37" s="119">
        <v>495640</v>
      </c>
      <c r="BD37" s="119"/>
      <c r="BE37" s="119"/>
      <c r="BF37" s="119"/>
      <c r="BG37" s="119"/>
      <c r="BH37" s="119"/>
      <c r="BI37" s="119"/>
      <c r="BJ37" s="119"/>
      <c r="BK37" s="119"/>
      <c r="BL37" s="119"/>
      <c r="BM37" s="119"/>
      <c r="BN37" s="119"/>
      <c r="BO37" s="119"/>
      <c r="BP37" s="119"/>
      <c r="BQ37" s="119"/>
      <c r="BR37" s="119"/>
      <c r="BS37" s="119"/>
      <c r="BT37" s="119"/>
      <c r="BU37" s="119"/>
      <c r="BV37" s="119"/>
      <c r="BW37" s="119"/>
      <c r="BX37" s="119"/>
      <c r="BY37" s="119"/>
      <c r="BZ37" s="121">
        <f t="shared" si="1"/>
        <v>26395340</v>
      </c>
    </row>
    <row r="38" spans="1:78" x14ac:dyDescent="0.35">
      <c r="A38" s="122" t="str">
        <f>IF('[2]Set Up'!E36=0,"",'[2]Set Up'!E36&amp;", lb")</f>
        <v/>
      </c>
      <c r="B38" s="105" t="str">
        <f t="shared" si="2"/>
        <v/>
      </c>
      <c r="C38" s="123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  <c r="AZ38" s="124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08">
        <f t="shared" si="1"/>
        <v>0</v>
      </c>
    </row>
    <row r="39" spans="1:78" x14ac:dyDescent="0.35">
      <c r="A39" s="125" t="str">
        <f>IF('[2]Set Up'!E37=0,"",'[2]Set Up'!E37&amp;", lb")</f>
        <v/>
      </c>
      <c r="B39" s="126" t="str">
        <f t="shared" si="2"/>
        <v/>
      </c>
      <c r="C39" s="127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7"/>
      <c r="BB39" s="127"/>
      <c r="BC39" s="127"/>
      <c r="BD39" s="127"/>
      <c r="BE39" s="127"/>
      <c r="BF39" s="127"/>
      <c r="BG39" s="127"/>
      <c r="BH39" s="127"/>
      <c r="BI39" s="127"/>
      <c r="BJ39" s="127"/>
      <c r="BK39" s="127"/>
      <c r="BL39" s="127"/>
      <c r="BM39" s="127"/>
      <c r="BN39" s="127"/>
      <c r="BO39" s="127"/>
      <c r="BP39" s="127"/>
      <c r="BQ39" s="127"/>
      <c r="BR39" s="127"/>
      <c r="BS39" s="127"/>
      <c r="BT39" s="127"/>
      <c r="BU39" s="127"/>
      <c r="BV39" s="127"/>
      <c r="BW39" s="127"/>
      <c r="BX39" s="127"/>
      <c r="BY39" s="127"/>
      <c r="BZ39" s="129">
        <f t="shared" si="1"/>
        <v>0</v>
      </c>
    </row>
    <row r="40" spans="1:78" x14ac:dyDescent="0.35">
      <c r="A40" s="122" t="str">
        <f>IF('[2]Set Up'!E38=0,"",'[2]Set Up'!E38&amp;", lb")</f>
        <v/>
      </c>
      <c r="B40" s="105" t="str">
        <f t="shared" si="2"/>
        <v/>
      </c>
      <c r="C40" s="123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24"/>
      <c r="AX40" s="124"/>
      <c r="AY40" s="124"/>
      <c r="AZ40" s="124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08">
        <f t="shared" si="1"/>
        <v>0</v>
      </c>
    </row>
    <row r="41" spans="1:78" ht="15" thickBot="1" x14ac:dyDescent="0.4">
      <c r="A41" s="130" t="s">
        <v>40</v>
      </c>
      <c r="B41" s="131">
        <f t="shared" si="2"/>
        <v>498025.28301886795</v>
      </c>
      <c r="C41" s="131">
        <v>501100</v>
      </c>
      <c r="D41" s="132">
        <v>497420</v>
      </c>
      <c r="E41" s="132">
        <v>491260</v>
      </c>
      <c r="F41" s="132">
        <v>507600</v>
      </c>
      <c r="G41" s="132">
        <v>499880</v>
      </c>
      <c r="H41" s="132">
        <v>496040</v>
      </c>
      <c r="I41" s="132">
        <v>502760</v>
      </c>
      <c r="J41" s="132">
        <v>495280</v>
      </c>
      <c r="K41" s="132">
        <v>495140</v>
      </c>
      <c r="L41" s="132">
        <v>501680</v>
      </c>
      <c r="M41" s="132">
        <v>494360</v>
      </c>
      <c r="N41" s="132">
        <v>498440</v>
      </c>
      <c r="O41" s="132">
        <v>499720</v>
      </c>
      <c r="P41" s="132">
        <v>503860</v>
      </c>
      <c r="Q41" s="132">
        <v>496800</v>
      </c>
      <c r="R41" s="132">
        <v>491940</v>
      </c>
      <c r="S41" s="132">
        <v>503480</v>
      </c>
      <c r="T41" s="132">
        <v>498720</v>
      </c>
      <c r="U41" s="132">
        <v>495260</v>
      </c>
      <c r="V41" s="132">
        <v>499920</v>
      </c>
      <c r="W41" s="132">
        <v>506260</v>
      </c>
      <c r="X41" s="132">
        <v>497580</v>
      </c>
      <c r="Y41" s="132">
        <v>505380</v>
      </c>
      <c r="Z41" s="132">
        <v>501080</v>
      </c>
      <c r="AA41" s="132">
        <v>497140</v>
      </c>
      <c r="AB41" s="132">
        <v>504320</v>
      </c>
      <c r="AC41" s="132">
        <v>496680</v>
      </c>
      <c r="AD41" s="132">
        <v>506520</v>
      </c>
      <c r="AE41" s="132">
        <v>493520</v>
      </c>
      <c r="AF41" s="132">
        <v>500480</v>
      </c>
      <c r="AG41" s="132">
        <v>502580</v>
      </c>
      <c r="AH41" s="132">
        <v>501180</v>
      </c>
      <c r="AI41" s="132">
        <v>501180</v>
      </c>
      <c r="AJ41" s="132">
        <v>458800</v>
      </c>
      <c r="AK41" s="132">
        <v>514740</v>
      </c>
      <c r="AL41" s="132">
        <v>513300</v>
      </c>
      <c r="AM41" s="132">
        <v>506540</v>
      </c>
      <c r="AN41" s="132">
        <v>511440</v>
      </c>
      <c r="AO41" s="132">
        <v>508780</v>
      </c>
      <c r="AP41" s="132">
        <v>498880</v>
      </c>
      <c r="AQ41" s="132">
        <v>500080</v>
      </c>
      <c r="AR41" s="132">
        <v>506320</v>
      </c>
      <c r="AS41" s="132">
        <v>392560</v>
      </c>
      <c r="AT41" s="132">
        <v>500840</v>
      </c>
      <c r="AU41" s="132">
        <v>497880</v>
      </c>
      <c r="AV41" s="132">
        <v>498300</v>
      </c>
      <c r="AW41" s="132">
        <v>508200</v>
      </c>
      <c r="AX41" s="132">
        <v>503160</v>
      </c>
      <c r="AY41" s="132">
        <v>497540</v>
      </c>
      <c r="AZ41" s="132">
        <v>499500</v>
      </c>
      <c r="BA41" s="132">
        <v>499280</v>
      </c>
      <c r="BB41" s="132">
        <v>499000</v>
      </c>
      <c r="BC41" s="132">
        <v>495640</v>
      </c>
      <c r="BD41" s="132"/>
      <c r="BE41" s="132"/>
      <c r="BF41" s="132"/>
      <c r="BG41" s="132"/>
      <c r="BH41" s="132"/>
      <c r="BI41" s="132"/>
      <c r="BJ41" s="132"/>
      <c r="BK41" s="132"/>
      <c r="BL41" s="132"/>
      <c r="BM41" s="132"/>
      <c r="BN41" s="132"/>
      <c r="BO41" s="132"/>
      <c r="BP41" s="132"/>
      <c r="BQ41" s="132"/>
      <c r="BR41" s="132"/>
      <c r="BS41" s="132"/>
      <c r="BT41" s="132"/>
      <c r="BU41" s="132"/>
      <c r="BV41" s="132"/>
      <c r="BW41" s="132"/>
      <c r="BX41" s="132"/>
      <c r="BY41" s="132"/>
      <c r="BZ41" s="133">
        <f t="shared" si="1"/>
        <v>26395340</v>
      </c>
    </row>
    <row r="42" spans="1:78" x14ac:dyDescent="0.35">
      <c r="A42" s="134" t="str">
        <f>A37</f>
        <v>100 Mesh, lb</v>
      </c>
      <c r="B42" s="135">
        <f t="shared" si="2"/>
        <v>498025.28301886795</v>
      </c>
      <c r="C42" s="136">
        <v>501100</v>
      </c>
      <c r="D42" s="136">
        <v>497420</v>
      </c>
      <c r="E42" s="136">
        <v>491260</v>
      </c>
      <c r="F42" s="136">
        <v>507600</v>
      </c>
      <c r="G42" s="136">
        <v>499880</v>
      </c>
      <c r="H42" s="136">
        <v>496040</v>
      </c>
      <c r="I42" s="136">
        <v>502760</v>
      </c>
      <c r="J42" s="136">
        <v>495280</v>
      </c>
      <c r="K42" s="136">
        <v>495140</v>
      </c>
      <c r="L42" s="136">
        <v>501680</v>
      </c>
      <c r="M42" s="136">
        <v>494360</v>
      </c>
      <c r="N42" s="136">
        <v>498440</v>
      </c>
      <c r="O42" s="136">
        <v>499720</v>
      </c>
      <c r="P42" s="136">
        <v>503860</v>
      </c>
      <c r="Q42" s="136">
        <v>496800</v>
      </c>
      <c r="R42" s="136">
        <v>491940</v>
      </c>
      <c r="S42" s="136">
        <v>503480</v>
      </c>
      <c r="T42" s="136">
        <v>498720</v>
      </c>
      <c r="U42" s="136">
        <v>495260</v>
      </c>
      <c r="V42" s="136">
        <v>499920</v>
      </c>
      <c r="W42" s="136">
        <v>506260</v>
      </c>
      <c r="X42" s="136">
        <v>497580</v>
      </c>
      <c r="Y42" s="136">
        <v>505380</v>
      </c>
      <c r="Z42" s="136">
        <v>501080</v>
      </c>
      <c r="AA42" s="136">
        <v>497140</v>
      </c>
      <c r="AB42" s="136">
        <v>504320</v>
      </c>
      <c r="AC42" s="136">
        <v>496680</v>
      </c>
      <c r="AD42" s="136">
        <v>506520</v>
      </c>
      <c r="AE42" s="136">
        <v>493520</v>
      </c>
      <c r="AF42" s="136">
        <v>500480</v>
      </c>
      <c r="AG42" s="136">
        <v>502580</v>
      </c>
      <c r="AH42" s="136">
        <v>501180</v>
      </c>
      <c r="AI42" s="136">
        <v>501180</v>
      </c>
      <c r="AJ42" s="136">
        <v>458800</v>
      </c>
      <c r="AK42" s="136">
        <v>514740</v>
      </c>
      <c r="AL42" s="136">
        <v>513300</v>
      </c>
      <c r="AM42" s="136">
        <v>506540</v>
      </c>
      <c r="AN42" s="136">
        <v>511440</v>
      </c>
      <c r="AO42" s="136">
        <v>508780</v>
      </c>
      <c r="AP42" s="136">
        <v>498880</v>
      </c>
      <c r="AQ42" s="136">
        <v>500080</v>
      </c>
      <c r="AR42" s="136">
        <v>506320</v>
      </c>
      <c r="AS42" s="136">
        <v>392560</v>
      </c>
      <c r="AT42" s="136">
        <v>500840</v>
      </c>
      <c r="AU42" s="136">
        <v>497880</v>
      </c>
      <c r="AV42" s="136">
        <v>498300</v>
      </c>
      <c r="AW42" s="136">
        <v>508200</v>
      </c>
      <c r="AX42" s="136">
        <v>503160</v>
      </c>
      <c r="AY42" s="136">
        <v>497540</v>
      </c>
      <c r="AZ42" s="136">
        <v>499500</v>
      </c>
      <c r="BA42" s="137">
        <v>499280</v>
      </c>
      <c r="BB42" s="137">
        <v>499000</v>
      </c>
      <c r="BC42" s="137">
        <v>495640</v>
      </c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8">
        <f t="shared" si="1"/>
        <v>26395340</v>
      </c>
    </row>
    <row r="43" spans="1:78" x14ac:dyDescent="0.35">
      <c r="A43" s="122" t="str">
        <f>A38</f>
        <v/>
      </c>
      <c r="B43" s="105" t="str">
        <f t="shared" si="2"/>
        <v/>
      </c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  <c r="AZ43" s="124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08">
        <f t="shared" si="1"/>
        <v>0</v>
      </c>
    </row>
    <row r="44" spans="1:78" x14ac:dyDescent="0.35">
      <c r="A44" s="139" t="str">
        <f>A39</f>
        <v/>
      </c>
      <c r="B44" s="140" t="str">
        <f t="shared" si="2"/>
        <v/>
      </c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  <c r="AO44" s="141"/>
      <c r="AP44" s="141"/>
      <c r="AQ44" s="141"/>
      <c r="AR44" s="141"/>
      <c r="AS44" s="141"/>
      <c r="AT44" s="141"/>
      <c r="AU44" s="141"/>
      <c r="AV44" s="141"/>
      <c r="AW44" s="141"/>
      <c r="AX44" s="141"/>
      <c r="AY44" s="141"/>
      <c r="AZ44" s="141"/>
      <c r="BA44" s="141"/>
      <c r="BB44" s="141"/>
      <c r="BC44" s="141"/>
      <c r="BD44" s="141"/>
      <c r="BE44" s="141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1"/>
      <c r="BQ44" s="141"/>
      <c r="BR44" s="141"/>
      <c r="BS44" s="141"/>
      <c r="BT44" s="141"/>
      <c r="BU44" s="141"/>
      <c r="BV44" s="141"/>
      <c r="BW44" s="141"/>
      <c r="BX44" s="141"/>
      <c r="BY44" s="141"/>
      <c r="BZ44" s="140">
        <f t="shared" si="1"/>
        <v>0</v>
      </c>
    </row>
    <row r="45" spans="1:78" x14ac:dyDescent="0.35">
      <c r="A45" s="142" t="str">
        <f>A40</f>
        <v/>
      </c>
      <c r="B45" s="143" t="str">
        <f t="shared" si="2"/>
        <v/>
      </c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24"/>
      <c r="BL45" s="124"/>
      <c r="BM45" s="124"/>
      <c r="BN45" s="124"/>
      <c r="BO45" s="124"/>
      <c r="BP45" s="124"/>
      <c r="BQ45" s="124"/>
      <c r="BR45" s="124"/>
      <c r="BS45" s="124"/>
      <c r="BT45" s="124"/>
      <c r="BU45" s="124"/>
      <c r="BV45" s="124"/>
      <c r="BW45" s="124"/>
      <c r="BX45" s="124"/>
      <c r="BY45" s="124"/>
      <c r="BZ45" s="105">
        <f t="shared" si="1"/>
        <v>0</v>
      </c>
    </row>
    <row r="46" spans="1:78" ht="15" thickBot="1" x14ac:dyDescent="0.4">
      <c r="A46" s="144" t="s">
        <v>41</v>
      </c>
      <c r="B46" s="145">
        <f t="shared" si="2"/>
        <v>498025.28301886795</v>
      </c>
      <c r="C46" s="146">
        <v>501100</v>
      </c>
      <c r="D46" s="146">
        <v>497420</v>
      </c>
      <c r="E46" s="146">
        <v>491260</v>
      </c>
      <c r="F46" s="146">
        <v>507600</v>
      </c>
      <c r="G46" s="146">
        <v>499880</v>
      </c>
      <c r="H46" s="146">
        <v>496040</v>
      </c>
      <c r="I46" s="146">
        <v>502760</v>
      </c>
      <c r="J46" s="146">
        <v>495280</v>
      </c>
      <c r="K46" s="146">
        <v>495140</v>
      </c>
      <c r="L46" s="146">
        <v>501680</v>
      </c>
      <c r="M46" s="146">
        <v>494360</v>
      </c>
      <c r="N46" s="146">
        <v>498440</v>
      </c>
      <c r="O46" s="146">
        <v>499720</v>
      </c>
      <c r="P46" s="146">
        <v>503860</v>
      </c>
      <c r="Q46" s="146">
        <v>496800</v>
      </c>
      <c r="R46" s="146">
        <v>491940</v>
      </c>
      <c r="S46" s="146">
        <v>503480</v>
      </c>
      <c r="T46" s="146">
        <v>498720</v>
      </c>
      <c r="U46" s="146">
        <v>495260</v>
      </c>
      <c r="V46" s="146">
        <v>499920</v>
      </c>
      <c r="W46" s="146">
        <v>506260</v>
      </c>
      <c r="X46" s="146">
        <v>497580</v>
      </c>
      <c r="Y46" s="146">
        <v>505380</v>
      </c>
      <c r="Z46" s="146">
        <v>501080</v>
      </c>
      <c r="AA46" s="146">
        <v>497140</v>
      </c>
      <c r="AB46" s="146">
        <v>504320</v>
      </c>
      <c r="AC46" s="146">
        <v>496680</v>
      </c>
      <c r="AD46" s="146">
        <v>506520</v>
      </c>
      <c r="AE46" s="146">
        <v>493520</v>
      </c>
      <c r="AF46" s="146">
        <v>500480</v>
      </c>
      <c r="AG46" s="146">
        <v>502580</v>
      </c>
      <c r="AH46" s="146">
        <v>501180</v>
      </c>
      <c r="AI46" s="146">
        <v>501180</v>
      </c>
      <c r="AJ46" s="146">
        <v>458800</v>
      </c>
      <c r="AK46" s="146">
        <v>514740</v>
      </c>
      <c r="AL46" s="146">
        <v>513300</v>
      </c>
      <c r="AM46" s="146">
        <v>506540</v>
      </c>
      <c r="AN46" s="146">
        <v>511440</v>
      </c>
      <c r="AO46" s="146">
        <v>508780</v>
      </c>
      <c r="AP46" s="146">
        <v>498880</v>
      </c>
      <c r="AQ46" s="146">
        <v>500080</v>
      </c>
      <c r="AR46" s="146">
        <v>506320</v>
      </c>
      <c r="AS46" s="146">
        <v>392560</v>
      </c>
      <c r="AT46" s="146">
        <v>500840</v>
      </c>
      <c r="AU46" s="146">
        <v>497880</v>
      </c>
      <c r="AV46" s="146">
        <v>498300</v>
      </c>
      <c r="AW46" s="146">
        <v>508200</v>
      </c>
      <c r="AX46" s="146">
        <v>503160</v>
      </c>
      <c r="AY46" s="146">
        <v>497540</v>
      </c>
      <c r="AZ46" s="146">
        <v>499500</v>
      </c>
      <c r="BA46" s="146">
        <v>499280</v>
      </c>
      <c r="BB46" s="146">
        <v>499000</v>
      </c>
      <c r="BC46" s="146">
        <v>495640</v>
      </c>
      <c r="BD46" s="146"/>
      <c r="BE46" s="146"/>
      <c r="BF46" s="146"/>
      <c r="BG46" s="146"/>
      <c r="BH46" s="146"/>
      <c r="BI46" s="146"/>
      <c r="BJ46" s="146"/>
      <c r="BK46" s="146"/>
      <c r="BL46" s="146"/>
      <c r="BM46" s="146"/>
      <c r="BN46" s="146"/>
      <c r="BO46" s="146"/>
      <c r="BP46" s="146"/>
      <c r="BQ46" s="146"/>
      <c r="BR46" s="146"/>
      <c r="BS46" s="146"/>
      <c r="BT46" s="146"/>
      <c r="BU46" s="146"/>
      <c r="BV46" s="146"/>
      <c r="BW46" s="146"/>
      <c r="BX46" s="146"/>
      <c r="BY46" s="146"/>
      <c r="BZ46" s="145">
        <f t="shared" si="1"/>
        <v>26395340</v>
      </c>
    </row>
    <row r="47" spans="1:78" x14ac:dyDescent="0.35">
      <c r="A47" s="147" t="str">
        <f>'[2]Set Up'!E51</f>
        <v>Plexslick 957, gal</v>
      </c>
      <c r="B47" s="148">
        <f t="shared" si="2"/>
        <v>398.83018867924528</v>
      </c>
      <c r="C47" s="149">
        <v>451</v>
      </c>
      <c r="D47" s="150">
        <v>451</v>
      </c>
      <c r="E47" s="150">
        <v>447</v>
      </c>
      <c r="F47" s="150">
        <v>453</v>
      </c>
      <c r="G47" s="150">
        <v>464</v>
      </c>
      <c r="H47" s="150">
        <v>463</v>
      </c>
      <c r="I47" s="150">
        <v>460</v>
      </c>
      <c r="J47" s="150">
        <v>450</v>
      </c>
      <c r="K47" s="150">
        <v>459</v>
      </c>
      <c r="L47" s="151">
        <v>449</v>
      </c>
      <c r="M47" s="151">
        <v>448</v>
      </c>
      <c r="N47" s="151">
        <v>442</v>
      </c>
      <c r="O47" s="151">
        <v>460</v>
      </c>
      <c r="P47" s="151">
        <v>460</v>
      </c>
      <c r="Q47" s="151">
        <v>454</v>
      </c>
      <c r="R47" s="151">
        <v>450</v>
      </c>
      <c r="S47" s="151">
        <v>449</v>
      </c>
      <c r="T47" s="151">
        <v>455</v>
      </c>
      <c r="U47" s="151">
        <v>452</v>
      </c>
      <c r="V47" s="151">
        <v>452</v>
      </c>
      <c r="W47" s="151">
        <v>460</v>
      </c>
      <c r="X47" s="151">
        <v>507</v>
      </c>
      <c r="Y47" s="151">
        <v>446</v>
      </c>
      <c r="Z47" s="151">
        <v>447</v>
      </c>
      <c r="AA47" s="151">
        <v>444</v>
      </c>
      <c r="AB47" s="151">
        <v>450</v>
      </c>
      <c r="AC47" s="151">
        <v>445</v>
      </c>
      <c r="AD47" s="151">
        <v>446</v>
      </c>
      <c r="AE47" s="151">
        <v>436</v>
      </c>
      <c r="AF47" s="151">
        <v>446</v>
      </c>
      <c r="AG47" s="151">
        <v>443</v>
      </c>
      <c r="AH47" s="151">
        <v>445</v>
      </c>
      <c r="AI47" s="151">
        <v>426</v>
      </c>
      <c r="AJ47" s="151">
        <v>421</v>
      </c>
      <c r="AK47" s="151">
        <v>450</v>
      </c>
      <c r="AL47" s="151">
        <v>386</v>
      </c>
      <c r="AM47" s="151">
        <v>345</v>
      </c>
      <c r="AN47" s="151">
        <v>298</v>
      </c>
      <c r="AO47" s="151">
        <v>293</v>
      </c>
      <c r="AP47" s="151">
        <v>371</v>
      </c>
      <c r="AQ47" s="151">
        <v>360</v>
      </c>
      <c r="AR47" s="151">
        <v>278</v>
      </c>
      <c r="AS47" s="151">
        <v>270</v>
      </c>
      <c r="AT47" s="151">
        <v>272</v>
      </c>
      <c r="AU47" s="151">
        <v>331</v>
      </c>
      <c r="AV47" s="151">
        <v>275</v>
      </c>
      <c r="AW47" s="151">
        <v>281</v>
      </c>
      <c r="AX47" s="151">
        <v>303</v>
      </c>
      <c r="AY47" s="151">
        <v>229</v>
      </c>
      <c r="AZ47" s="151">
        <v>246</v>
      </c>
      <c r="BA47" s="152">
        <v>261</v>
      </c>
      <c r="BB47" s="152">
        <v>253</v>
      </c>
      <c r="BC47" s="152">
        <v>305</v>
      </c>
      <c r="BD47" s="152"/>
      <c r="BE47" s="152"/>
      <c r="BF47" s="152"/>
      <c r="BG47" s="152"/>
      <c r="BH47" s="152"/>
      <c r="BI47" s="152"/>
      <c r="BJ47" s="152"/>
      <c r="BK47" s="152"/>
      <c r="BL47" s="152"/>
      <c r="BM47" s="152"/>
      <c r="BN47" s="152"/>
      <c r="BO47" s="152"/>
      <c r="BP47" s="152"/>
      <c r="BQ47" s="152"/>
      <c r="BR47" s="152"/>
      <c r="BS47" s="152"/>
      <c r="BT47" s="152"/>
      <c r="BU47" s="152"/>
      <c r="BV47" s="152"/>
      <c r="BW47" s="152"/>
      <c r="BX47" s="152"/>
      <c r="BY47" s="152"/>
      <c r="BZ47" s="153">
        <f t="shared" si="1"/>
        <v>21138</v>
      </c>
    </row>
    <row r="48" spans="1:78" x14ac:dyDescent="0.35">
      <c r="A48" s="154" t="str">
        <f>'[2]Set Up'!E52</f>
        <v>Chemplex 4-N-1, gal</v>
      </c>
      <c r="B48" s="155">
        <f t="shared" si="2"/>
        <v>7.5018867924528303</v>
      </c>
      <c r="C48" s="156">
        <v>9</v>
      </c>
      <c r="D48" s="157">
        <v>8</v>
      </c>
      <c r="E48" s="157">
        <v>7</v>
      </c>
      <c r="F48" s="157">
        <v>8</v>
      </c>
      <c r="G48" s="157">
        <v>7</v>
      </c>
      <c r="H48" s="157">
        <v>7</v>
      </c>
      <c r="I48" s="157">
        <v>7</v>
      </c>
      <c r="J48" s="157">
        <v>7</v>
      </c>
      <c r="K48" s="157">
        <v>7</v>
      </c>
      <c r="L48" s="107">
        <v>7</v>
      </c>
      <c r="M48" s="107">
        <v>8</v>
      </c>
      <c r="N48" s="107">
        <v>8</v>
      </c>
      <c r="O48" s="107">
        <v>7</v>
      </c>
      <c r="P48" s="107">
        <v>7</v>
      </c>
      <c r="Q48" s="107">
        <v>7</v>
      </c>
      <c r="R48" s="107">
        <v>7</v>
      </c>
      <c r="S48" s="107">
        <v>8</v>
      </c>
      <c r="T48" s="107">
        <v>8</v>
      </c>
      <c r="U48" s="107">
        <v>7</v>
      </c>
      <c r="V48" s="107">
        <v>8</v>
      </c>
      <c r="W48" s="107">
        <v>8</v>
      </c>
      <c r="X48" s="107">
        <v>8</v>
      </c>
      <c r="Y48" s="107">
        <v>7</v>
      </c>
      <c r="Z48" s="107">
        <v>8</v>
      </c>
      <c r="AA48" s="107">
        <v>8</v>
      </c>
      <c r="AB48" s="107">
        <v>7</v>
      </c>
      <c r="AC48" s="107">
        <v>8</v>
      </c>
      <c r="AD48" s="107">
        <v>8</v>
      </c>
      <c r="AE48" s="107">
        <v>8</v>
      </c>
      <c r="AF48" s="107">
        <v>7</v>
      </c>
      <c r="AG48" s="107">
        <v>7</v>
      </c>
      <c r="AH48" s="107">
        <v>7</v>
      </c>
      <c r="AI48" s="107">
        <v>7</v>
      </c>
      <c r="AJ48" s="107">
        <v>7</v>
      </c>
      <c r="AK48" s="107">
        <v>7</v>
      </c>
      <c r="AL48" s="107">
        <v>8</v>
      </c>
      <c r="AM48" s="107">
        <v>7.6</v>
      </c>
      <c r="AN48" s="107">
        <v>8</v>
      </c>
      <c r="AO48" s="107">
        <v>8</v>
      </c>
      <c r="AP48" s="107">
        <v>7</v>
      </c>
      <c r="AQ48" s="107">
        <v>8</v>
      </c>
      <c r="AR48" s="107">
        <v>7</v>
      </c>
      <c r="AS48" s="107">
        <v>7</v>
      </c>
      <c r="AT48" s="107">
        <v>8</v>
      </c>
      <c r="AU48" s="107">
        <v>7</v>
      </c>
      <c r="AV48" s="107">
        <v>7</v>
      </c>
      <c r="AW48" s="107">
        <v>8</v>
      </c>
      <c r="AX48" s="107">
        <v>8</v>
      </c>
      <c r="AY48" s="107">
        <v>8</v>
      </c>
      <c r="AZ48" s="107">
        <v>7</v>
      </c>
      <c r="BA48" s="106">
        <v>8</v>
      </c>
      <c r="BB48" s="106">
        <v>7</v>
      </c>
      <c r="BC48" s="106">
        <v>8</v>
      </c>
      <c r="BD48" s="106"/>
      <c r="BE48" s="106"/>
      <c r="BF48" s="106"/>
      <c r="BG48" s="106"/>
      <c r="BH48" s="106"/>
      <c r="BI48" s="106"/>
      <c r="BJ48" s="106"/>
      <c r="BK48" s="106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58">
        <f t="shared" si="1"/>
        <v>397.6</v>
      </c>
    </row>
    <row r="49" spans="1:78" x14ac:dyDescent="0.35">
      <c r="A49" s="147" t="str">
        <f>'[2]Set Up'!E53</f>
        <v>Payzone 845, gal</v>
      </c>
      <c r="B49" s="148">
        <f t="shared" si="2"/>
        <v>90.735849056603769</v>
      </c>
      <c r="C49" s="159">
        <v>91</v>
      </c>
      <c r="D49" s="160">
        <v>91</v>
      </c>
      <c r="E49" s="160">
        <v>90</v>
      </c>
      <c r="F49" s="160">
        <v>92</v>
      </c>
      <c r="G49" s="160">
        <v>96</v>
      </c>
      <c r="H49" s="160">
        <v>93</v>
      </c>
      <c r="I49" s="160">
        <v>96</v>
      </c>
      <c r="J49" s="160">
        <v>91</v>
      </c>
      <c r="K49" s="160">
        <v>94</v>
      </c>
      <c r="L49" s="161">
        <v>91</v>
      </c>
      <c r="M49" s="161">
        <v>90</v>
      </c>
      <c r="N49" s="161">
        <v>89</v>
      </c>
      <c r="O49" s="161">
        <v>93</v>
      </c>
      <c r="P49" s="161">
        <v>93</v>
      </c>
      <c r="Q49" s="161">
        <v>96</v>
      </c>
      <c r="R49" s="161">
        <v>90</v>
      </c>
      <c r="S49" s="161">
        <v>90</v>
      </c>
      <c r="T49" s="161">
        <v>92</v>
      </c>
      <c r="U49" s="161">
        <v>92</v>
      </c>
      <c r="V49" s="161">
        <v>91</v>
      </c>
      <c r="W49" s="161">
        <v>92</v>
      </c>
      <c r="X49" s="161">
        <v>103</v>
      </c>
      <c r="Y49" s="161">
        <v>91</v>
      </c>
      <c r="Z49" s="161">
        <v>91</v>
      </c>
      <c r="AA49" s="161">
        <v>90</v>
      </c>
      <c r="AB49" s="161">
        <v>91</v>
      </c>
      <c r="AC49" s="161">
        <v>91</v>
      </c>
      <c r="AD49" s="161">
        <v>91</v>
      </c>
      <c r="AE49" s="161">
        <v>90</v>
      </c>
      <c r="AF49" s="161">
        <v>90</v>
      </c>
      <c r="AG49" s="161">
        <v>90</v>
      </c>
      <c r="AH49" s="161">
        <v>90</v>
      </c>
      <c r="AI49" s="161">
        <v>89</v>
      </c>
      <c r="AJ49" s="161">
        <v>90</v>
      </c>
      <c r="AK49" s="161">
        <v>91</v>
      </c>
      <c r="AL49" s="161">
        <v>89</v>
      </c>
      <c r="AM49" s="161">
        <v>89</v>
      </c>
      <c r="AN49" s="161">
        <v>90</v>
      </c>
      <c r="AO49" s="161">
        <v>91</v>
      </c>
      <c r="AP49" s="161">
        <v>90</v>
      </c>
      <c r="AQ49" s="161">
        <v>89</v>
      </c>
      <c r="AR49" s="161">
        <v>88</v>
      </c>
      <c r="AS49" s="161">
        <v>87</v>
      </c>
      <c r="AT49" s="161">
        <v>88</v>
      </c>
      <c r="AU49" s="161">
        <v>88</v>
      </c>
      <c r="AV49" s="161">
        <v>89</v>
      </c>
      <c r="AW49" s="161">
        <v>90</v>
      </c>
      <c r="AX49" s="161">
        <v>89</v>
      </c>
      <c r="AY49" s="161">
        <v>87</v>
      </c>
      <c r="AZ49" s="161">
        <v>89</v>
      </c>
      <c r="BA49" s="162">
        <v>89</v>
      </c>
      <c r="BB49" s="162">
        <v>88</v>
      </c>
      <c r="BC49" s="162">
        <v>88</v>
      </c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3">
        <f t="shared" si="1"/>
        <v>4809</v>
      </c>
    </row>
    <row r="50" spans="1:78" x14ac:dyDescent="0.35">
      <c r="A50" s="154" t="str">
        <f>'[2]Set Up'!E54</f>
        <v>Payzone 850, gal</v>
      </c>
      <c r="B50" s="155">
        <f t="shared" si="2"/>
        <v>33.981132075471699</v>
      </c>
      <c r="C50" s="156">
        <v>34</v>
      </c>
      <c r="D50" s="157">
        <v>34</v>
      </c>
      <c r="E50" s="157">
        <v>34</v>
      </c>
      <c r="F50" s="157">
        <v>34</v>
      </c>
      <c r="G50" s="157">
        <v>36</v>
      </c>
      <c r="H50" s="157">
        <v>35</v>
      </c>
      <c r="I50" s="157">
        <v>36</v>
      </c>
      <c r="J50" s="157">
        <v>34</v>
      </c>
      <c r="K50" s="157">
        <v>35</v>
      </c>
      <c r="L50" s="157">
        <v>34</v>
      </c>
      <c r="M50" s="157">
        <v>34</v>
      </c>
      <c r="N50" s="157">
        <v>33</v>
      </c>
      <c r="O50" s="157">
        <v>35</v>
      </c>
      <c r="P50" s="157">
        <v>35</v>
      </c>
      <c r="Q50" s="157">
        <v>36</v>
      </c>
      <c r="R50" s="157">
        <v>34</v>
      </c>
      <c r="S50" s="157">
        <v>34</v>
      </c>
      <c r="T50" s="107">
        <v>34</v>
      </c>
      <c r="U50" s="107">
        <v>34</v>
      </c>
      <c r="V50" s="107">
        <v>34</v>
      </c>
      <c r="W50" s="107">
        <v>34</v>
      </c>
      <c r="X50" s="107">
        <v>39</v>
      </c>
      <c r="Y50" s="107">
        <v>34</v>
      </c>
      <c r="Z50" s="107">
        <v>34</v>
      </c>
      <c r="AA50" s="107">
        <v>34</v>
      </c>
      <c r="AB50" s="107">
        <v>34</v>
      </c>
      <c r="AC50" s="107">
        <v>34</v>
      </c>
      <c r="AD50" s="107">
        <v>34</v>
      </c>
      <c r="AE50" s="107">
        <v>34</v>
      </c>
      <c r="AF50" s="107">
        <v>34</v>
      </c>
      <c r="AG50" s="107">
        <v>34</v>
      </c>
      <c r="AH50" s="107">
        <v>34</v>
      </c>
      <c r="AI50" s="107">
        <v>34</v>
      </c>
      <c r="AJ50" s="107">
        <v>34</v>
      </c>
      <c r="AK50" s="107">
        <v>34</v>
      </c>
      <c r="AL50" s="107">
        <v>33</v>
      </c>
      <c r="AM50" s="107">
        <v>33</v>
      </c>
      <c r="AN50" s="107">
        <v>34</v>
      </c>
      <c r="AO50" s="107">
        <v>34</v>
      </c>
      <c r="AP50" s="107">
        <v>34</v>
      </c>
      <c r="AQ50" s="107">
        <v>33</v>
      </c>
      <c r="AR50" s="107">
        <v>33</v>
      </c>
      <c r="AS50" s="107">
        <v>32</v>
      </c>
      <c r="AT50" s="107">
        <v>33</v>
      </c>
      <c r="AU50" s="107">
        <v>33</v>
      </c>
      <c r="AV50" s="107">
        <v>33</v>
      </c>
      <c r="AW50" s="107">
        <v>34</v>
      </c>
      <c r="AX50" s="107">
        <v>33</v>
      </c>
      <c r="AY50" s="107">
        <v>33</v>
      </c>
      <c r="AZ50" s="107">
        <v>33</v>
      </c>
      <c r="BA50" s="106">
        <v>33</v>
      </c>
      <c r="BB50" s="106">
        <v>33</v>
      </c>
      <c r="BC50" s="106">
        <v>33</v>
      </c>
      <c r="BD50" s="106"/>
      <c r="BE50" s="106"/>
      <c r="BF50" s="106"/>
      <c r="BG50" s="106"/>
      <c r="BH50" s="106"/>
      <c r="BI50" s="106"/>
      <c r="BJ50" s="106"/>
      <c r="BK50" s="106"/>
      <c r="BL50" s="106"/>
      <c r="BM50" s="106"/>
      <c r="BN50" s="106"/>
      <c r="BO50" s="106"/>
      <c r="BP50" s="106"/>
      <c r="BQ50" s="106"/>
      <c r="BR50" s="106"/>
      <c r="BS50" s="106"/>
      <c r="BT50" s="106"/>
      <c r="BU50" s="106"/>
      <c r="BV50" s="106"/>
      <c r="BW50" s="106"/>
      <c r="BX50" s="106"/>
      <c r="BY50" s="106"/>
      <c r="BZ50" s="158">
        <f t="shared" si="1"/>
        <v>1801</v>
      </c>
    </row>
    <row r="51" spans="1:78" x14ac:dyDescent="0.35">
      <c r="A51" s="147" t="str">
        <f>'[2]Set Up'!E55</f>
        <v>Payzone 217, gal</v>
      </c>
      <c r="B51" s="148">
        <f t="shared" si="2"/>
        <v>90.735849056603769</v>
      </c>
      <c r="C51" s="159">
        <v>91</v>
      </c>
      <c r="D51" s="160">
        <v>91</v>
      </c>
      <c r="E51" s="160">
        <v>90</v>
      </c>
      <c r="F51" s="160">
        <v>92</v>
      </c>
      <c r="G51" s="160">
        <v>96</v>
      </c>
      <c r="H51" s="160">
        <v>93</v>
      </c>
      <c r="I51" s="160">
        <v>96</v>
      </c>
      <c r="J51" s="160">
        <v>91</v>
      </c>
      <c r="K51" s="160">
        <v>94</v>
      </c>
      <c r="L51" s="161">
        <v>91</v>
      </c>
      <c r="M51" s="161">
        <v>90</v>
      </c>
      <c r="N51" s="161">
        <v>89</v>
      </c>
      <c r="O51" s="161">
        <v>93</v>
      </c>
      <c r="P51" s="161">
        <v>93</v>
      </c>
      <c r="Q51" s="161">
        <v>96</v>
      </c>
      <c r="R51" s="161">
        <v>90</v>
      </c>
      <c r="S51" s="161">
        <v>90</v>
      </c>
      <c r="T51" s="161">
        <v>92</v>
      </c>
      <c r="U51" s="161">
        <v>92</v>
      </c>
      <c r="V51" s="161">
        <v>91</v>
      </c>
      <c r="W51" s="161">
        <v>92</v>
      </c>
      <c r="X51" s="161">
        <v>103</v>
      </c>
      <c r="Y51" s="161">
        <v>91</v>
      </c>
      <c r="Z51" s="161">
        <v>91</v>
      </c>
      <c r="AA51" s="161">
        <v>90</v>
      </c>
      <c r="AB51" s="161">
        <v>91</v>
      </c>
      <c r="AC51" s="161">
        <v>91</v>
      </c>
      <c r="AD51" s="161">
        <v>91</v>
      </c>
      <c r="AE51" s="161">
        <v>90</v>
      </c>
      <c r="AF51" s="161">
        <v>90</v>
      </c>
      <c r="AG51" s="161">
        <v>90</v>
      </c>
      <c r="AH51" s="161">
        <v>90</v>
      </c>
      <c r="AI51" s="161">
        <v>89</v>
      </c>
      <c r="AJ51" s="161">
        <v>90</v>
      </c>
      <c r="AK51" s="161">
        <v>91</v>
      </c>
      <c r="AL51" s="161">
        <v>89</v>
      </c>
      <c r="AM51" s="161">
        <v>89</v>
      </c>
      <c r="AN51" s="161">
        <v>90</v>
      </c>
      <c r="AO51" s="161">
        <v>91</v>
      </c>
      <c r="AP51" s="161">
        <v>90</v>
      </c>
      <c r="AQ51" s="161">
        <v>89</v>
      </c>
      <c r="AR51" s="161">
        <v>88</v>
      </c>
      <c r="AS51" s="161">
        <v>87</v>
      </c>
      <c r="AT51" s="161">
        <v>88</v>
      </c>
      <c r="AU51" s="161">
        <v>88</v>
      </c>
      <c r="AV51" s="161">
        <v>89</v>
      </c>
      <c r="AW51" s="161">
        <v>90</v>
      </c>
      <c r="AX51" s="161">
        <v>89</v>
      </c>
      <c r="AY51" s="161">
        <v>87</v>
      </c>
      <c r="AZ51" s="161">
        <v>89</v>
      </c>
      <c r="BA51" s="162">
        <v>89</v>
      </c>
      <c r="BB51" s="162">
        <v>88</v>
      </c>
      <c r="BC51" s="162">
        <v>88</v>
      </c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3">
        <f t="shared" si="1"/>
        <v>4809</v>
      </c>
    </row>
    <row r="52" spans="1:78" x14ac:dyDescent="0.35">
      <c r="A52" s="154" t="str">
        <f>'[2]Set Up'!E56</f>
        <v>Stim741 Gel, gal</v>
      </c>
      <c r="B52" s="155">
        <f t="shared" si="2"/>
        <v>11.057692307692308</v>
      </c>
      <c r="C52" s="156">
        <v>20</v>
      </c>
      <c r="D52" s="157">
        <v>10</v>
      </c>
      <c r="E52" s="157">
        <v>10</v>
      </c>
      <c r="F52" s="157">
        <v>10</v>
      </c>
      <c r="G52" s="157">
        <v>10</v>
      </c>
      <c r="H52" s="157">
        <v>10</v>
      </c>
      <c r="I52" s="157">
        <v>10</v>
      </c>
      <c r="J52" s="157">
        <v>20</v>
      </c>
      <c r="K52" s="157">
        <v>10</v>
      </c>
      <c r="L52" s="107">
        <v>15</v>
      </c>
      <c r="M52" s="107">
        <v>10</v>
      </c>
      <c r="N52" s="107">
        <v>10</v>
      </c>
      <c r="O52" s="107">
        <v>10</v>
      </c>
      <c r="P52" s="107">
        <v>10</v>
      </c>
      <c r="Q52" s="107">
        <v>20</v>
      </c>
      <c r="R52" s="107">
        <v>10</v>
      </c>
      <c r="S52" s="107">
        <v>10</v>
      </c>
      <c r="T52" s="107">
        <v>15</v>
      </c>
      <c r="U52" s="107">
        <v>10</v>
      </c>
      <c r="V52" s="107">
        <v>10</v>
      </c>
      <c r="W52" s="107">
        <v>10</v>
      </c>
      <c r="X52" s="107">
        <v>10</v>
      </c>
      <c r="Y52" s="107">
        <v>10</v>
      </c>
      <c r="Z52" s="107">
        <v>10</v>
      </c>
      <c r="AA52" s="107">
        <v>10</v>
      </c>
      <c r="AB52" s="107">
        <v>10</v>
      </c>
      <c r="AC52" s="107">
        <v>10</v>
      </c>
      <c r="AD52" s="107">
        <v>10</v>
      </c>
      <c r="AE52" s="107">
        <v>10</v>
      </c>
      <c r="AF52" s="107">
        <v>10</v>
      </c>
      <c r="AG52" s="107">
        <v>10</v>
      </c>
      <c r="AH52" s="107">
        <v>10</v>
      </c>
      <c r="AI52" s="107">
        <v>10</v>
      </c>
      <c r="AJ52" s="107">
        <v>15</v>
      </c>
      <c r="AK52" s="107">
        <v>10</v>
      </c>
      <c r="AL52" s="107">
        <v>10</v>
      </c>
      <c r="AM52" s="107">
        <v>10</v>
      </c>
      <c r="AN52" s="107">
        <v>10</v>
      </c>
      <c r="AO52" s="107">
        <v>10</v>
      </c>
      <c r="AP52" s="107">
        <v>10</v>
      </c>
      <c r="AQ52" s="107">
        <v>10</v>
      </c>
      <c r="AR52" s="107">
        <v>10</v>
      </c>
      <c r="AS52" s="107">
        <v>20</v>
      </c>
      <c r="AT52" s="107">
        <v>10</v>
      </c>
      <c r="AU52" s="107">
        <v>10</v>
      </c>
      <c r="AV52" s="107">
        <v>10</v>
      </c>
      <c r="AW52" s="107">
        <v>10</v>
      </c>
      <c r="AX52" s="107">
        <v>10</v>
      </c>
      <c r="AY52" s="107">
        <v>10</v>
      </c>
      <c r="AZ52" s="107">
        <v>10</v>
      </c>
      <c r="BA52" s="106">
        <v>10</v>
      </c>
      <c r="BB52" s="106">
        <v>10</v>
      </c>
      <c r="BC52" s="106"/>
      <c r="BD52" s="106"/>
      <c r="BE52" s="106"/>
      <c r="BF52" s="106"/>
      <c r="BG52" s="106"/>
      <c r="BH52" s="106"/>
      <c r="BI52" s="106"/>
      <c r="BJ52" s="106"/>
      <c r="BK52" s="106"/>
      <c r="BL52" s="106"/>
      <c r="BM52" s="106"/>
      <c r="BN52" s="106"/>
      <c r="BO52" s="106"/>
      <c r="BP52" s="106"/>
      <c r="BQ52" s="106"/>
      <c r="BR52" s="106"/>
      <c r="BS52" s="106"/>
      <c r="BT52" s="106"/>
      <c r="BU52" s="106"/>
      <c r="BV52" s="106"/>
      <c r="BW52" s="106"/>
      <c r="BX52" s="106"/>
      <c r="BY52" s="106"/>
      <c r="BZ52" s="158">
        <f t="shared" si="1"/>
        <v>575</v>
      </c>
    </row>
    <row r="53" spans="1:78" x14ac:dyDescent="0.35">
      <c r="A53" s="147">
        <f>'[2]Set Up'!E57</f>
        <v>0</v>
      </c>
      <c r="B53" s="148" t="str">
        <f t="shared" si="2"/>
        <v/>
      </c>
      <c r="C53" s="159"/>
      <c r="D53" s="160"/>
      <c r="E53" s="160"/>
      <c r="F53" s="160"/>
      <c r="G53" s="160"/>
      <c r="H53" s="160"/>
      <c r="I53" s="160"/>
      <c r="J53" s="160"/>
      <c r="K53" s="160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  <c r="AF53" s="161"/>
      <c r="AG53" s="161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1"/>
      <c r="AS53" s="161"/>
      <c r="AT53" s="161"/>
      <c r="AU53" s="161"/>
      <c r="AV53" s="161"/>
      <c r="AW53" s="161"/>
      <c r="AX53" s="161"/>
      <c r="AY53" s="161"/>
      <c r="AZ53" s="161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3">
        <f t="shared" si="1"/>
        <v>0</v>
      </c>
    </row>
    <row r="54" spans="1:78" x14ac:dyDescent="0.35">
      <c r="A54" s="154">
        <f>'[2]Set Up'!E58</f>
        <v>0</v>
      </c>
      <c r="B54" s="155" t="str">
        <f t="shared" si="2"/>
        <v/>
      </c>
      <c r="C54" s="156"/>
      <c r="D54" s="157"/>
      <c r="E54" s="157"/>
      <c r="F54" s="157"/>
      <c r="G54" s="157"/>
      <c r="H54" s="157"/>
      <c r="I54" s="157"/>
      <c r="J54" s="157"/>
      <c r="K54" s="15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6"/>
      <c r="BB54" s="106"/>
      <c r="BC54" s="106"/>
      <c r="BD54" s="106"/>
      <c r="BE54" s="106"/>
      <c r="BF54" s="106"/>
      <c r="BG54" s="106"/>
      <c r="BH54" s="106"/>
      <c r="BI54" s="106"/>
      <c r="BJ54" s="106"/>
      <c r="BK54" s="106"/>
      <c r="BL54" s="106"/>
      <c r="BM54" s="106"/>
      <c r="BN54" s="106"/>
      <c r="BO54" s="106"/>
      <c r="BP54" s="106"/>
      <c r="BQ54" s="106"/>
      <c r="BR54" s="106"/>
      <c r="BS54" s="106"/>
      <c r="BT54" s="106"/>
      <c r="BU54" s="106"/>
      <c r="BV54" s="106"/>
      <c r="BW54" s="106"/>
      <c r="BX54" s="106"/>
      <c r="BY54" s="106"/>
      <c r="BZ54" s="158">
        <f t="shared" si="1"/>
        <v>0</v>
      </c>
    </row>
    <row r="55" spans="1:78" x14ac:dyDescent="0.35">
      <c r="A55" s="147">
        <f>'[2]Set Up'!E59</f>
        <v>0</v>
      </c>
      <c r="B55" s="148" t="str">
        <f t="shared" si="2"/>
        <v/>
      </c>
      <c r="C55" s="159"/>
      <c r="D55" s="160"/>
      <c r="E55" s="160"/>
      <c r="F55" s="160"/>
      <c r="G55" s="160"/>
      <c r="H55" s="160"/>
      <c r="I55" s="160"/>
      <c r="J55" s="160"/>
      <c r="K55" s="160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1"/>
      <c r="AU55" s="161"/>
      <c r="AV55" s="161"/>
      <c r="AW55" s="161"/>
      <c r="AX55" s="161"/>
      <c r="AY55" s="161"/>
      <c r="AZ55" s="161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3">
        <f t="shared" si="1"/>
        <v>0</v>
      </c>
    </row>
    <row r="56" spans="1:78" x14ac:dyDescent="0.35">
      <c r="A56" s="154">
        <f>'[2]Set Up'!E60</f>
        <v>0</v>
      </c>
      <c r="B56" s="155" t="str">
        <f t="shared" si="2"/>
        <v/>
      </c>
      <c r="C56" s="156"/>
      <c r="D56" s="157"/>
      <c r="E56" s="157"/>
      <c r="F56" s="157"/>
      <c r="G56" s="157"/>
      <c r="H56" s="157"/>
      <c r="I56" s="157"/>
      <c r="J56" s="157"/>
      <c r="K56" s="15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6"/>
      <c r="BB56" s="106"/>
      <c r="BC56" s="106"/>
      <c r="BD56" s="106"/>
      <c r="BE56" s="106"/>
      <c r="BF56" s="106"/>
      <c r="BG56" s="106"/>
      <c r="BH56" s="106"/>
      <c r="BI56" s="106"/>
      <c r="BJ56" s="106"/>
      <c r="BK56" s="106"/>
      <c r="BL56" s="106"/>
      <c r="BM56" s="106"/>
      <c r="BN56" s="106"/>
      <c r="BO56" s="106"/>
      <c r="BP56" s="106"/>
      <c r="BQ56" s="106"/>
      <c r="BR56" s="106"/>
      <c r="BS56" s="106"/>
      <c r="BT56" s="106"/>
      <c r="BU56" s="106"/>
      <c r="BV56" s="106"/>
      <c r="BW56" s="106"/>
      <c r="BX56" s="106"/>
      <c r="BY56" s="106"/>
      <c r="BZ56" s="158">
        <f t="shared" si="1"/>
        <v>0</v>
      </c>
    </row>
    <row r="57" spans="1:78" x14ac:dyDescent="0.35">
      <c r="A57" s="164">
        <f>'[2]Set Up'!E61</f>
        <v>0</v>
      </c>
      <c r="B57" s="165" t="str">
        <f t="shared" si="2"/>
        <v/>
      </c>
      <c r="C57" s="159"/>
      <c r="D57" s="160"/>
      <c r="E57" s="160"/>
      <c r="F57" s="160"/>
      <c r="G57" s="160"/>
      <c r="H57" s="160"/>
      <c r="I57" s="160"/>
      <c r="J57" s="160"/>
      <c r="K57" s="160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3">
        <f t="shared" si="1"/>
        <v>0</v>
      </c>
    </row>
    <row r="58" spans="1:78" x14ac:dyDescent="0.35">
      <c r="A58" s="166" t="str">
        <f>'[2]Set Up'!E62</f>
        <v>15% HCl Acid, gal</v>
      </c>
      <c r="B58" s="167">
        <f t="shared" si="2"/>
        <v>1240.0377358490566</v>
      </c>
      <c r="C58" s="156">
        <v>1522</v>
      </c>
      <c r="D58" s="157">
        <v>1261</v>
      </c>
      <c r="E58" s="157">
        <v>1269</v>
      </c>
      <c r="F58" s="157">
        <v>1256</v>
      </c>
      <c r="G58" s="157">
        <v>1211</v>
      </c>
      <c r="H58" s="157">
        <v>1140</v>
      </c>
      <c r="I58" s="157">
        <v>1206</v>
      </c>
      <c r="J58" s="157">
        <v>1177</v>
      </c>
      <c r="K58" s="157">
        <v>1190</v>
      </c>
      <c r="L58" s="107">
        <v>1240</v>
      </c>
      <c r="M58" s="107">
        <v>1266</v>
      </c>
      <c r="N58" s="107">
        <v>1269</v>
      </c>
      <c r="O58" s="107">
        <v>1240</v>
      </c>
      <c r="P58" s="107">
        <v>1190</v>
      </c>
      <c r="Q58" s="107">
        <v>1235</v>
      </c>
      <c r="R58" s="107">
        <v>1182</v>
      </c>
      <c r="S58" s="107">
        <v>1251</v>
      </c>
      <c r="T58" s="107">
        <v>1275</v>
      </c>
      <c r="U58" s="107">
        <v>1211</v>
      </c>
      <c r="V58" s="107">
        <v>1256</v>
      </c>
      <c r="W58" s="107">
        <v>1269</v>
      </c>
      <c r="X58" s="107">
        <v>1261</v>
      </c>
      <c r="Y58" s="107">
        <v>1224</v>
      </c>
      <c r="Z58" s="107">
        <v>1272</v>
      </c>
      <c r="AA58" s="107">
        <v>1275</v>
      </c>
      <c r="AB58" s="107">
        <v>1219</v>
      </c>
      <c r="AC58" s="107">
        <v>1259</v>
      </c>
      <c r="AD58" s="107">
        <v>1266</v>
      </c>
      <c r="AE58" s="107">
        <v>1269</v>
      </c>
      <c r="AF58" s="107">
        <v>1240</v>
      </c>
      <c r="AG58" s="107">
        <v>1219</v>
      </c>
      <c r="AH58" s="107">
        <v>1227</v>
      </c>
      <c r="AI58" s="107">
        <v>1227</v>
      </c>
      <c r="AJ58" s="107">
        <v>1206</v>
      </c>
      <c r="AK58" s="107">
        <v>1172</v>
      </c>
      <c r="AL58" s="107">
        <v>1230</v>
      </c>
      <c r="AM58" s="107">
        <v>1264</v>
      </c>
      <c r="AN58" s="107">
        <v>1269</v>
      </c>
      <c r="AO58" s="107">
        <v>1251</v>
      </c>
      <c r="AP58" s="107">
        <v>1206</v>
      </c>
      <c r="AQ58" s="107">
        <v>1261</v>
      </c>
      <c r="AR58" s="107">
        <v>1172</v>
      </c>
      <c r="AS58" s="107">
        <v>1206</v>
      </c>
      <c r="AT58" s="107">
        <v>1251</v>
      </c>
      <c r="AU58" s="107">
        <v>1198</v>
      </c>
      <c r="AV58" s="107">
        <v>1230</v>
      </c>
      <c r="AW58" s="107">
        <v>1264</v>
      </c>
      <c r="AX58" s="107">
        <v>1269</v>
      </c>
      <c r="AY58" s="107">
        <v>1251</v>
      </c>
      <c r="AZ58" s="107">
        <v>1206</v>
      </c>
      <c r="BA58" s="107">
        <v>1261</v>
      </c>
      <c r="BB58" s="107">
        <v>1230</v>
      </c>
      <c r="BC58" s="107">
        <v>1251</v>
      </c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90">
        <f t="shared" si="1"/>
        <v>65722</v>
      </c>
    </row>
  </sheetData>
  <mergeCells count="17">
    <mergeCell ref="A1:D1"/>
    <mergeCell ref="E1:K1"/>
    <mergeCell ref="L1:V6"/>
    <mergeCell ref="B2:D2"/>
    <mergeCell ref="F2:G2"/>
    <mergeCell ref="B3:D3"/>
    <mergeCell ref="F3:G3"/>
    <mergeCell ref="B4:D4"/>
    <mergeCell ref="F4:G4"/>
    <mergeCell ref="B5:D5"/>
    <mergeCell ref="C16:I16"/>
    <mergeCell ref="F5:G5"/>
    <mergeCell ref="B6:E6"/>
    <mergeCell ref="F6:H6"/>
    <mergeCell ref="I6:K6"/>
    <mergeCell ref="B8:B12"/>
    <mergeCell ref="B13:B1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Z58"/>
  <sheetViews>
    <sheetView workbookViewId="0">
      <selection activeCell="E19" sqref="E19"/>
    </sheetView>
  </sheetViews>
  <sheetFormatPr defaultRowHeight="14.5" x14ac:dyDescent="0.35"/>
  <cols>
    <col min="1" max="1" width="21.1796875" bestFit="1" customWidth="1"/>
    <col min="2" max="2" width="17.81640625" bestFit="1" customWidth="1"/>
    <col min="3" max="4" width="7.453125" bestFit="1" customWidth="1"/>
    <col min="5" max="5" width="9.54296875" bestFit="1" customWidth="1"/>
    <col min="6" max="7" width="7.453125" bestFit="1" customWidth="1"/>
    <col min="8" max="8" width="8.1796875" bestFit="1" customWidth="1"/>
    <col min="9" max="9" width="7.453125" bestFit="1" customWidth="1"/>
    <col min="10" max="10" width="8" bestFit="1" customWidth="1"/>
    <col min="11" max="55" width="7.453125" bestFit="1" customWidth="1"/>
    <col min="56" max="77" width="3.1796875" bestFit="1" customWidth="1"/>
    <col min="78" max="78" width="9.81640625" bestFit="1" customWidth="1"/>
  </cols>
  <sheetData>
    <row r="1" spans="1:78" ht="24" thickTop="1" x14ac:dyDescent="0.35">
      <c r="A1" s="198"/>
      <c r="B1" s="199"/>
      <c r="C1" s="199"/>
      <c r="D1" s="199"/>
      <c r="E1" s="200" t="s">
        <v>0</v>
      </c>
      <c r="F1" s="199"/>
      <c r="G1" s="199"/>
      <c r="H1" s="199"/>
      <c r="I1" s="199"/>
      <c r="J1" s="199"/>
      <c r="K1" s="201"/>
      <c r="L1" s="202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2"/>
    </row>
    <row r="2" spans="1:78" x14ac:dyDescent="0.35">
      <c r="A2" s="3" t="s">
        <v>1</v>
      </c>
      <c r="B2" s="188" t="str">
        <f>'[3]Set Up'!E5</f>
        <v>Anadarko Petroleum Corporation</v>
      </c>
      <c r="C2" s="207"/>
      <c r="D2" s="208"/>
      <c r="E2" s="4" t="s">
        <v>2</v>
      </c>
      <c r="F2" s="209" t="str">
        <f>'[3]Set Up'!E9</f>
        <v>Wolfcamp Upper Beta</v>
      </c>
      <c r="G2" s="210"/>
      <c r="H2" s="5">
        <f>'[3]Set Up'!K15</f>
        <v>12006</v>
      </c>
      <c r="I2" s="6" t="str">
        <f>'[3]Set Up'!E15</f>
        <v>5-1/2"</v>
      </c>
      <c r="J2" s="7">
        <f>'[3]Set Up'!F15</f>
        <v>23</v>
      </c>
      <c r="K2" s="6" t="str">
        <f>'[3]Set Up'!H15</f>
        <v>P-110</v>
      </c>
      <c r="L2" s="204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8"/>
    </row>
    <row r="3" spans="1:78" x14ac:dyDescent="0.35">
      <c r="A3" s="3" t="s">
        <v>3</v>
      </c>
      <c r="B3" s="188" t="str">
        <f>'[3]Set Up'!E7</f>
        <v>Silvertip 76-7 Unit A 3H</v>
      </c>
      <c r="C3" s="207"/>
      <c r="D3" s="208"/>
      <c r="E3" s="4" t="s">
        <v>4</v>
      </c>
      <c r="F3" s="209" t="str">
        <f>'[3]Set Up'!J7</f>
        <v>2121849.CMP</v>
      </c>
      <c r="G3" s="210"/>
      <c r="H3" s="5">
        <f>'[3]Set Up'!K16</f>
        <v>11120</v>
      </c>
      <c r="I3" s="6" t="str">
        <f>'[3]Set Up'!E16</f>
        <v>4-1/2"</v>
      </c>
      <c r="J3" s="7">
        <f>'[3]Set Up'!F16</f>
        <v>13.5</v>
      </c>
      <c r="K3" s="6" t="str">
        <f>'[3]Set Up'!H16</f>
        <v>P-110</v>
      </c>
      <c r="L3" s="204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8"/>
    </row>
    <row r="4" spans="1:78" x14ac:dyDescent="0.35">
      <c r="A4" s="3" t="s">
        <v>5</v>
      </c>
      <c r="B4" s="188" t="str">
        <f>'[3]Set Up'!E6</f>
        <v>Allie Lay</v>
      </c>
      <c r="C4" s="207"/>
      <c r="D4" s="208"/>
      <c r="E4" s="4" t="s">
        <v>6</v>
      </c>
      <c r="F4" s="211">
        <f>'[3]Set Up'!R2</f>
        <v>12500</v>
      </c>
      <c r="G4" s="212"/>
      <c r="H4" s="5" t="str">
        <f>'[3]Set Up'!K17</f>
        <v/>
      </c>
      <c r="I4" s="6" t="str">
        <f>'[3]Set Up'!E17</f>
        <v/>
      </c>
      <c r="J4" s="7" t="str">
        <f>'[3]Set Up'!F17</f>
        <v/>
      </c>
      <c r="K4" s="6" t="str">
        <f>'[3]Set Up'!H17</f>
        <v/>
      </c>
      <c r="L4" s="204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9"/>
    </row>
    <row r="5" spans="1:78" x14ac:dyDescent="0.35">
      <c r="A5" s="3" t="s">
        <v>7</v>
      </c>
      <c r="B5" s="188" t="str">
        <f>'[3]Set Up'!E8</f>
        <v>Loving County, TX</v>
      </c>
      <c r="C5" s="207"/>
      <c r="D5" s="208"/>
      <c r="E5" s="10" t="s">
        <v>8</v>
      </c>
      <c r="F5" s="186" t="str">
        <f>'[3]Set Up'!R11</f>
        <v>53-Stage SW Plug &amp; Perf</v>
      </c>
      <c r="G5" s="187"/>
      <c r="H5" s="5" t="str">
        <f>'[3]Set Up'!K18</f>
        <v/>
      </c>
      <c r="I5" s="6" t="str">
        <f>'[3]Set Up'!E18</f>
        <v/>
      </c>
      <c r="J5" s="7" t="str">
        <f>'[3]Set Up'!F18</f>
        <v/>
      </c>
      <c r="K5" s="6" t="str">
        <f>'[3]Set Up'!H18</f>
        <v/>
      </c>
      <c r="L5" s="204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8"/>
    </row>
    <row r="6" spans="1:78" x14ac:dyDescent="0.35">
      <c r="A6" s="3" t="s">
        <v>9</v>
      </c>
      <c r="B6" s="188" t="str">
        <f>'[3]Set Up'!E10</f>
        <v>PumpCo 2</v>
      </c>
      <c r="C6" s="189"/>
      <c r="D6" s="189"/>
      <c r="E6" s="190"/>
      <c r="F6" s="191" t="str">
        <f>'[3]Set Up'!E11</f>
        <v>Odessa</v>
      </c>
      <c r="G6" s="192"/>
      <c r="H6" s="193"/>
      <c r="I6" s="191" t="str">
        <f>'[3]Set Up'!E12</f>
        <v>Jarvis Weaver/ Julian Weaver</v>
      </c>
      <c r="J6" s="192"/>
      <c r="K6" s="193"/>
      <c r="L6" s="205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3"/>
    </row>
    <row r="7" spans="1:78" ht="15" thickBot="1" x14ac:dyDescent="0.4">
      <c r="A7" s="14" t="s">
        <v>10</v>
      </c>
      <c r="B7" s="15" t="s">
        <v>11</v>
      </c>
      <c r="C7" s="15">
        <v>1</v>
      </c>
      <c r="D7" s="15">
        <v>2</v>
      </c>
      <c r="E7" s="15">
        <v>3</v>
      </c>
      <c r="F7" s="16">
        <v>4</v>
      </c>
      <c r="G7" s="15">
        <v>5</v>
      </c>
      <c r="H7" s="15">
        <v>6</v>
      </c>
      <c r="I7" s="15">
        <v>7</v>
      </c>
      <c r="J7" s="15">
        <v>8</v>
      </c>
      <c r="K7" s="15">
        <v>9</v>
      </c>
      <c r="L7" s="15">
        <v>10</v>
      </c>
      <c r="M7" s="15">
        <v>11</v>
      </c>
      <c r="N7" s="15">
        <v>12</v>
      </c>
      <c r="O7" s="15">
        <v>13</v>
      </c>
      <c r="P7" s="15">
        <v>14</v>
      </c>
      <c r="Q7" s="15">
        <v>15</v>
      </c>
      <c r="R7" s="15">
        <v>16</v>
      </c>
      <c r="S7" s="15">
        <v>17</v>
      </c>
      <c r="T7" s="15">
        <v>18</v>
      </c>
      <c r="U7" s="15">
        <v>19</v>
      </c>
      <c r="V7" s="15">
        <v>20</v>
      </c>
      <c r="W7" s="15">
        <v>21</v>
      </c>
      <c r="X7" s="15">
        <v>22</v>
      </c>
      <c r="Y7" s="15">
        <v>23</v>
      </c>
      <c r="Z7" s="15">
        <v>24</v>
      </c>
      <c r="AA7" s="15">
        <v>25</v>
      </c>
      <c r="AB7" s="15">
        <v>26</v>
      </c>
      <c r="AC7" s="15">
        <v>27</v>
      </c>
      <c r="AD7" s="15">
        <v>28</v>
      </c>
      <c r="AE7" s="15">
        <v>29</v>
      </c>
      <c r="AF7" s="15">
        <v>30</v>
      </c>
      <c r="AG7" s="15">
        <v>31</v>
      </c>
      <c r="AH7" s="15">
        <v>32</v>
      </c>
      <c r="AI7" s="15">
        <v>33</v>
      </c>
      <c r="AJ7" s="15">
        <v>34</v>
      </c>
      <c r="AK7" s="15">
        <v>35</v>
      </c>
      <c r="AL7" s="15">
        <v>36</v>
      </c>
      <c r="AM7" s="15">
        <v>37</v>
      </c>
      <c r="AN7" s="15">
        <v>38</v>
      </c>
      <c r="AO7" s="15">
        <v>39</v>
      </c>
      <c r="AP7" s="15">
        <v>40</v>
      </c>
      <c r="AQ7" s="15">
        <v>41</v>
      </c>
      <c r="AR7" s="15">
        <v>42</v>
      </c>
      <c r="AS7" s="15">
        <v>43</v>
      </c>
      <c r="AT7" s="15">
        <v>44</v>
      </c>
      <c r="AU7" s="15">
        <v>45</v>
      </c>
      <c r="AV7" s="15">
        <v>46</v>
      </c>
      <c r="AW7" s="15">
        <v>47</v>
      </c>
      <c r="AX7" s="15">
        <v>48</v>
      </c>
      <c r="AY7" s="15">
        <v>49</v>
      </c>
      <c r="AZ7" s="15">
        <v>50</v>
      </c>
      <c r="BA7" s="15">
        <v>51</v>
      </c>
      <c r="BB7" s="15">
        <v>52</v>
      </c>
      <c r="BC7" s="15">
        <v>53</v>
      </c>
      <c r="BD7" s="15">
        <v>54</v>
      </c>
      <c r="BE7" s="15">
        <v>55</v>
      </c>
      <c r="BF7" s="15">
        <v>56</v>
      </c>
      <c r="BG7" s="15">
        <v>57</v>
      </c>
      <c r="BH7" s="15">
        <v>58</v>
      </c>
      <c r="BI7" s="15">
        <v>59</v>
      </c>
      <c r="BJ7" s="15">
        <v>60</v>
      </c>
      <c r="BK7" s="15">
        <v>61</v>
      </c>
      <c r="BL7" s="15">
        <v>62</v>
      </c>
      <c r="BM7" s="15">
        <v>63</v>
      </c>
      <c r="BN7" s="15">
        <v>64</v>
      </c>
      <c r="BO7" s="15">
        <v>65</v>
      </c>
      <c r="BP7" s="15">
        <v>66</v>
      </c>
      <c r="BQ7" s="15">
        <v>67</v>
      </c>
      <c r="BR7" s="15">
        <v>68</v>
      </c>
      <c r="BS7" s="15">
        <v>69</v>
      </c>
      <c r="BT7" s="15">
        <v>70</v>
      </c>
      <c r="BU7" s="15">
        <v>71</v>
      </c>
      <c r="BV7" s="15">
        <v>72</v>
      </c>
      <c r="BW7" s="15">
        <v>73</v>
      </c>
      <c r="BX7" s="15">
        <v>74</v>
      </c>
      <c r="BY7" s="15">
        <v>75</v>
      </c>
      <c r="BZ7" s="17" t="s">
        <v>12</v>
      </c>
    </row>
    <row r="8" spans="1:78" x14ac:dyDescent="0.35">
      <c r="A8" s="18" t="s">
        <v>13</v>
      </c>
      <c r="B8" s="194" t="s">
        <v>14</v>
      </c>
      <c r="C8" s="19">
        <f>'[3]Set Up'!$U$2</f>
        <v>22911</v>
      </c>
      <c r="D8" s="19">
        <f>'[3]Set Up'!$U$3</f>
        <v>22712</v>
      </c>
      <c r="E8" s="19">
        <f>'[3]Set Up'!$U$4</f>
        <v>22513</v>
      </c>
      <c r="F8" s="19">
        <f>'[3]Set Up'!$U$5</f>
        <v>22314</v>
      </c>
      <c r="G8" s="19">
        <f>'[3]Set Up'!$U$6</f>
        <v>22115</v>
      </c>
      <c r="H8" s="19">
        <f>'[3]Set Up'!$U$7</f>
        <v>21916</v>
      </c>
      <c r="I8" s="19">
        <f>'[3]Set Up'!$U$8</f>
        <v>21717</v>
      </c>
      <c r="J8" s="19">
        <f>'[3]Set Up'!$U$9</f>
        <v>21518</v>
      </c>
      <c r="K8" s="19">
        <f>'[3]Set Up'!$U$10</f>
        <v>21319</v>
      </c>
      <c r="L8" s="19">
        <f>'[3]Set Up'!$U$11</f>
        <v>21120</v>
      </c>
      <c r="M8" s="19">
        <f>'[3]Set Up'!$U$12</f>
        <v>20921</v>
      </c>
      <c r="N8" s="19">
        <f>'[3]Set Up'!$U$13</f>
        <v>20722</v>
      </c>
      <c r="O8" s="19">
        <f>'[3]Set Up'!$U$14</f>
        <v>20523</v>
      </c>
      <c r="P8" s="19">
        <f>'[3]Set Up'!$U$15</f>
        <v>20324</v>
      </c>
      <c r="Q8" s="19">
        <f>'[3]Set Up'!$U$16</f>
        <v>20125</v>
      </c>
      <c r="R8" s="19">
        <f>'[3]Set Up'!$U$17</f>
        <v>19926</v>
      </c>
      <c r="S8" s="19">
        <f>'[3]Set Up'!$U$18</f>
        <v>19727</v>
      </c>
      <c r="T8" s="19">
        <f>'[3]Set Up'!$U$19</f>
        <v>19528</v>
      </c>
      <c r="U8" s="19">
        <f>'[3]Set Up'!$U$20</f>
        <v>19329</v>
      </c>
      <c r="V8" s="19">
        <f>'[3]Set Up'!$U$21</f>
        <v>19130</v>
      </c>
      <c r="W8" s="19">
        <f>'[3]Set Up'!$U$22</f>
        <v>18931</v>
      </c>
      <c r="X8" s="19">
        <f>'[3]Set Up'!$U$23</f>
        <v>18732</v>
      </c>
      <c r="Y8" s="19">
        <f>'[3]Set Up'!$U$24</f>
        <v>18533</v>
      </c>
      <c r="Z8" s="19">
        <f>'[3]Set Up'!$U$25</f>
        <v>18334</v>
      </c>
      <c r="AA8" s="19">
        <f>'[3]Set Up'!$U$26</f>
        <v>18135</v>
      </c>
      <c r="AB8" s="19">
        <f>'[3]Set Up'!$U$27</f>
        <v>17936</v>
      </c>
      <c r="AC8" s="19">
        <f>'[3]Set Up'!$U$28</f>
        <v>17737</v>
      </c>
      <c r="AD8" s="19">
        <f>'[3]Set Up'!$U$29</f>
        <v>17538</v>
      </c>
      <c r="AE8" s="19">
        <f>'[3]Set Up'!$U$30</f>
        <v>17339</v>
      </c>
      <c r="AF8" s="19">
        <f>'[3]Set Up'!$U$31</f>
        <v>17140</v>
      </c>
      <c r="AG8" s="19">
        <f>'[3]Set Up'!$U$32</f>
        <v>16941</v>
      </c>
      <c r="AH8" s="19">
        <f>'[3]Set Up'!$U$33</f>
        <v>16742</v>
      </c>
      <c r="AI8" s="19">
        <f>'[3]Set Up'!$U$34</f>
        <v>16543</v>
      </c>
      <c r="AJ8" s="19">
        <f>'[3]Set Up'!$U$35</f>
        <v>16344</v>
      </c>
      <c r="AK8" s="19">
        <f>'[3]Set Up'!$U$36</f>
        <v>16145</v>
      </c>
      <c r="AL8" s="19">
        <f>'[3]Set Up'!$U$37</f>
        <v>15946</v>
      </c>
      <c r="AM8" s="19">
        <f>'[3]Set Up'!$U$38</f>
        <v>15747</v>
      </c>
      <c r="AN8" s="19">
        <f>'[3]Set Up'!$U$39</f>
        <v>15548</v>
      </c>
      <c r="AO8" s="19">
        <f>'[3]Set Up'!$U$40</f>
        <v>15349</v>
      </c>
      <c r="AP8" s="19">
        <f>'[3]Set Up'!$U$41</f>
        <v>15150</v>
      </c>
      <c r="AQ8" s="19">
        <f>'[3]Set Up'!$U$42</f>
        <v>14951</v>
      </c>
      <c r="AR8" s="19">
        <f>'[3]Set Up'!$U$43</f>
        <v>14752</v>
      </c>
      <c r="AS8" s="19">
        <f>'[3]Set Up'!$U$44</f>
        <v>14553</v>
      </c>
      <c r="AT8" s="19">
        <f>'[3]Set Up'!$U$45</f>
        <v>14354</v>
      </c>
      <c r="AU8" s="19">
        <f>'[3]Set Up'!$U$46</f>
        <v>14155</v>
      </c>
      <c r="AV8" s="19">
        <f>'[3]Set Up'!$U$47</f>
        <v>13956</v>
      </c>
      <c r="AW8" s="19">
        <f>'[3]Set Up'!$U$48</f>
        <v>13757</v>
      </c>
      <c r="AX8" s="19">
        <f>'[3]Set Up'!$U$49</f>
        <v>13558</v>
      </c>
      <c r="AY8" s="19">
        <f>'[3]Set Up'!$U$50</f>
        <v>13359</v>
      </c>
      <c r="AZ8" s="19">
        <f>'[3]Set Up'!$U$51</f>
        <v>13160</v>
      </c>
      <c r="BA8" s="19">
        <f>'[3]Set Up'!$U$52</f>
        <v>12961</v>
      </c>
      <c r="BB8" s="19">
        <f>'[3]Set Up'!$U$53</f>
        <v>12762</v>
      </c>
      <c r="BC8" s="19">
        <f>'[3]Set Up'!$U$54</f>
        <v>12563</v>
      </c>
      <c r="BD8" s="19">
        <f>'[3]Set Up'!$U$55</f>
        <v>0</v>
      </c>
      <c r="BE8" s="19">
        <f>'[3]Set Up'!$U$56</f>
        <v>0</v>
      </c>
      <c r="BF8" s="19">
        <f>'[3]Set Up'!$U$57</f>
        <v>0</v>
      </c>
      <c r="BG8" s="19">
        <f>'[3]Set Up'!$U$58</f>
        <v>0</v>
      </c>
      <c r="BH8" s="19">
        <f>'[3]Set Up'!$U$59</f>
        <v>0</v>
      </c>
      <c r="BI8" s="19">
        <f>'[3]Set Up'!$U$60</f>
        <v>0</v>
      </c>
      <c r="BJ8" s="19">
        <f>'[3]Set Up'!$U$61</f>
        <v>0</v>
      </c>
      <c r="BK8" s="19">
        <f>'[3]Set Up'!$U$62</f>
        <v>0</v>
      </c>
      <c r="BL8" s="19">
        <f>'[3]Set Up'!$U$63</f>
        <v>0</v>
      </c>
      <c r="BM8" s="19">
        <f>'[3]Set Up'!$U$64</f>
        <v>0</v>
      </c>
      <c r="BN8" s="19">
        <f>'[3]Set Up'!$U$65</f>
        <v>0</v>
      </c>
      <c r="BO8" s="19">
        <f>'[3]Set Up'!$U$66</f>
        <v>0</v>
      </c>
      <c r="BP8" s="19">
        <f>'[3]Set Up'!$U$67</f>
        <v>0</v>
      </c>
      <c r="BQ8" s="19">
        <f>'[3]Set Up'!$U$68</f>
        <v>0</v>
      </c>
      <c r="BR8" s="19">
        <f>'[3]Set Up'!$U$69</f>
        <v>0</v>
      </c>
      <c r="BS8" s="19">
        <f>'[3]Set Up'!$U$70</f>
        <v>0</v>
      </c>
      <c r="BT8" s="19">
        <f>'[3]Set Up'!$U$71</f>
        <v>0</v>
      </c>
      <c r="BU8" s="19">
        <f>'[3]Set Up'!$U$72</f>
        <v>0</v>
      </c>
      <c r="BV8" s="19">
        <f>'[3]Set Up'!$U$73</f>
        <v>0</v>
      </c>
      <c r="BW8" s="19">
        <f>'[3]Set Up'!$U$74</f>
        <v>0</v>
      </c>
      <c r="BX8" s="19">
        <f>'[3]Set Up'!$U$75</f>
        <v>0</v>
      </c>
      <c r="BY8" s="19">
        <f>'[3]Set Up'!$U$76</f>
        <v>0</v>
      </c>
      <c r="BZ8" s="8"/>
    </row>
    <row r="9" spans="1:78" x14ac:dyDescent="0.35">
      <c r="A9" s="20" t="s">
        <v>15</v>
      </c>
      <c r="B9" s="195"/>
      <c r="C9" s="21">
        <f>'[3]Set Up'!$V2</f>
        <v>23071</v>
      </c>
      <c r="D9" s="21">
        <f>'[3]Set Up'!$V3</f>
        <v>22872</v>
      </c>
      <c r="E9" s="21">
        <f>'[3]Set Up'!$V4</f>
        <v>22673</v>
      </c>
      <c r="F9" s="21">
        <f>'[3]Set Up'!$V5</f>
        <v>22474</v>
      </c>
      <c r="G9" s="21">
        <f>'[3]Set Up'!$V6</f>
        <v>22275</v>
      </c>
      <c r="H9" s="21">
        <f>'[3]Set Up'!$V7</f>
        <v>22076</v>
      </c>
      <c r="I9" s="21">
        <f>'[3]Set Up'!$V8</f>
        <v>21877</v>
      </c>
      <c r="J9" s="21">
        <f>'[3]Set Up'!$V9</f>
        <v>21678</v>
      </c>
      <c r="K9" s="21">
        <f>'[3]Set Up'!$V10</f>
        <v>21479</v>
      </c>
      <c r="L9" s="21">
        <f>'[3]Set Up'!$V11</f>
        <v>21280</v>
      </c>
      <c r="M9" s="21">
        <f>'[3]Set Up'!$V12</f>
        <v>21081</v>
      </c>
      <c r="N9" s="21">
        <f>'[3]Set Up'!$V13</f>
        <v>20882</v>
      </c>
      <c r="O9" s="21">
        <f>'[3]Set Up'!$V14</f>
        <v>20683</v>
      </c>
      <c r="P9" s="21">
        <f>'[3]Set Up'!$V15</f>
        <v>20484</v>
      </c>
      <c r="Q9" s="21">
        <f>'[3]Set Up'!$V16</f>
        <v>20285</v>
      </c>
      <c r="R9" s="21">
        <f>'[3]Set Up'!$V17</f>
        <v>20086</v>
      </c>
      <c r="S9" s="21">
        <f>'[3]Set Up'!$V18</f>
        <v>19887</v>
      </c>
      <c r="T9" s="21">
        <f>'[3]Set Up'!$V19</f>
        <v>19688</v>
      </c>
      <c r="U9" s="21">
        <f>'[3]Set Up'!$V20</f>
        <v>19489</v>
      </c>
      <c r="V9" s="21">
        <f>'[3]Set Up'!$V21</f>
        <v>19290</v>
      </c>
      <c r="W9" s="21">
        <f>'[3]Set Up'!$V22</f>
        <v>19091</v>
      </c>
      <c r="X9" s="21">
        <f>'[3]Set Up'!$V23</f>
        <v>18892</v>
      </c>
      <c r="Y9" s="21">
        <f>'[3]Set Up'!$V24</f>
        <v>18693</v>
      </c>
      <c r="Z9" s="21">
        <f>'[3]Set Up'!$V25</f>
        <v>18494</v>
      </c>
      <c r="AA9" s="21">
        <f>'[3]Set Up'!$V26</f>
        <v>18295</v>
      </c>
      <c r="AB9" s="21">
        <f>'[3]Set Up'!$V27</f>
        <v>18096</v>
      </c>
      <c r="AC9" s="21">
        <f>'[3]Set Up'!$V28</f>
        <v>17897</v>
      </c>
      <c r="AD9" s="21">
        <f>'[3]Set Up'!$V29</f>
        <v>17698</v>
      </c>
      <c r="AE9" s="21">
        <f>'[3]Set Up'!$V30</f>
        <v>17499</v>
      </c>
      <c r="AF9" s="21">
        <f>'[3]Set Up'!$V31</f>
        <v>17300</v>
      </c>
      <c r="AG9" s="21">
        <f>'[3]Set Up'!$V32</f>
        <v>17101</v>
      </c>
      <c r="AH9" s="21">
        <f>'[3]Set Up'!$V33</f>
        <v>16902</v>
      </c>
      <c r="AI9" s="21">
        <f>'[3]Set Up'!$V34</f>
        <v>16703</v>
      </c>
      <c r="AJ9" s="21">
        <f>'[3]Set Up'!$V35</f>
        <v>16504</v>
      </c>
      <c r="AK9" s="21">
        <f>'[3]Set Up'!$V36</f>
        <v>16305</v>
      </c>
      <c r="AL9" s="21">
        <f>'[3]Set Up'!$V37</f>
        <v>16106</v>
      </c>
      <c r="AM9" s="21">
        <f>'[3]Set Up'!$V38</f>
        <v>15907</v>
      </c>
      <c r="AN9" s="21">
        <f>'[3]Set Up'!$V39</f>
        <v>15708</v>
      </c>
      <c r="AO9" s="21">
        <f>'[3]Set Up'!$V40</f>
        <v>15509</v>
      </c>
      <c r="AP9" s="21">
        <f>'[3]Set Up'!$V41</f>
        <v>15310</v>
      </c>
      <c r="AQ9" s="21">
        <f>'[3]Set Up'!$V42</f>
        <v>15111</v>
      </c>
      <c r="AR9" s="21">
        <f>'[3]Set Up'!$V43</f>
        <v>14912</v>
      </c>
      <c r="AS9" s="21">
        <f>'[3]Set Up'!$V44</f>
        <v>14713</v>
      </c>
      <c r="AT9" s="21">
        <f>'[3]Set Up'!$V45</f>
        <v>14514</v>
      </c>
      <c r="AU9" s="21">
        <f>'[3]Set Up'!$V46</f>
        <v>14315</v>
      </c>
      <c r="AV9" s="21">
        <f>'[3]Set Up'!$V47</f>
        <v>14116</v>
      </c>
      <c r="AW9" s="21">
        <f>'[3]Set Up'!$V48</f>
        <v>13917</v>
      </c>
      <c r="AX9" s="21">
        <f>'[3]Set Up'!$V49</f>
        <v>13718</v>
      </c>
      <c r="AY9" s="21">
        <f>'[3]Set Up'!$V50</f>
        <v>13519</v>
      </c>
      <c r="AZ9" s="21">
        <f>'[3]Set Up'!$V51</f>
        <v>13320</v>
      </c>
      <c r="BA9" s="21">
        <f>'[3]Set Up'!$V52</f>
        <v>13121</v>
      </c>
      <c r="BB9" s="21">
        <f>'[3]Set Up'!$V53</f>
        <v>12922</v>
      </c>
      <c r="BC9" s="21">
        <f>'[3]Set Up'!$V54</f>
        <v>12723</v>
      </c>
      <c r="BD9" s="21">
        <f>'[3]Set Up'!$V55</f>
        <v>0</v>
      </c>
      <c r="BE9" s="21">
        <f>'[3]Set Up'!$V56</f>
        <v>0</v>
      </c>
      <c r="BF9" s="21">
        <f>'[3]Set Up'!$V57</f>
        <v>0</v>
      </c>
      <c r="BG9" s="21">
        <f>'[3]Set Up'!$V58</f>
        <v>0</v>
      </c>
      <c r="BH9" s="21">
        <f>'[3]Set Up'!$V59</f>
        <v>0</v>
      </c>
      <c r="BI9" s="21">
        <f>'[3]Set Up'!$V60</f>
        <v>0</v>
      </c>
      <c r="BJ9" s="21">
        <f>'[3]Set Up'!$V61</f>
        <v>0</v>
      </c>
      <c r="BK9" s="21">
        <f>'[3]Set Up'!$V62</f>
        <v>0</v>
      </c>
      <c r="BL9" s="21">
        <f>'[3]Set Up'!$V63</f>
        <v>0</v>
      </c>
      <c r="BM9" s="21">
        <f>'[3]Set Up'!$V64</f>
        <v>0</v>
      </c>
      <c r="BN9" s="21">
        <f>'[3]Set Up'!$V65</f>
        <v>0</v>
      </c>
      <c r="BO9" s="21">
        <f>'[3]Set Up'!$V66</f>
        <v>0</v>
      </c>
      <c r="BP9" s="21">
        <f>'[3]Set Up'!$V67</f>
        <v>0</v>
      </c>
      <c r="BQ9" s="21">
        <f>'[3]Set Up'!$V68</f>
        <v>0</v>
      </c>
      <c r="BR9" s="21">
        <f>'[3]Set Up'!$V69</f>
        <v>0</v>
      </c>
      <c r="BS9" s="21">
        <f>'[3]Set Up'!$V70</f>
        <v>0</v>
      </c>
      <c r="BT9" s="21">
        <f>'[3]Set Up'!$V71</f>
        <v>0</v>
      </c>
      <c r="BU9" s="21">
        <f>'[3]Set Up'!$V72</f>
        <v>0</v>
      </c>
      <c r="BV9" s="21">
        <f>'[3]Set Up'!$V73</f>
        <v>0</v>
      </c>
      <c r="BW9" s="21">
        <f>'[3]Set Up'!$V74</f>
        <v>0</v>
      </c>
      <c r="BX9" s="21">
        <f>'[3]Set Up'!$V75</f>
        <v>0</v>
      </c>
      <c r="BY9" s="21">
        <f>'[3]Set Up'!$V76</f>
        <v>0</v>
      </c>
      <c r="BZ9" s="8"/>
    </row>
    <row r="10" spans="1:78" ht="15" thickBot="1" x14ac:dyDescent="0.4">
      <c r="A10" s="22" t="s">
        <v>16</v>
      </c>
      <c r="B10" s="195"/>
      <c r="C10" s="23">
        <f>'[3]Set Up'!$W2</f>
        <v>24</v>
      </c>
      <c r="D10" s="23">
        <f>'[3]Set Up'!$W3</f>
        <v>24</v>
      </c>
      <c r="E10" s="23">
        <f>'[3]Set Up'!$W4</f>
        <v>24</v>
      </c>
      <c r="F10" s="23">
        <f>'[3]Set Up'!$W5</f>
        <v>24</v>
      </c>
      <c r="G10" s="23">
        <f>'[3]Set Up'!$W6</f>
        <v>24</v>
      </c>
      <c r="H10" s="23">
        <f>'[3]Set Up'!$W7</f>
        <v>24</v>
      </c>
      <c r="I10" s="23">
        <f>'[3]Set Up'!$W8</f>
        <v>24</v>
      </c>
      <c r="J10" s="23">
        <f>'[3]Set Up'!$W9</f>
        <v>24</v>
      </c>
      <c r="K10" s="23">
        <f>'[3]Set Up'!$W10</f>
        <v>24</v>
      </c>
      <c r="L10" s="23">
        <f>'[3]Set Up'!$W11</f>
        <v>24</v>
      </c>
      <c r="M10" s="23">
        <f>'[3]Set Up'!$W12</f>
        <v>24</v>
      </c>
      <c r="N10" s="23">
        <f>'[3]Set Up'!$W13</f>
        <v>24</v>
      </c>
      <c r="O10" s="23">
        <f>'[3]Set Up'!$W14</f>
        <v>24</v>
      </c>
      <c r="P10" s="23">
        <f>'[3]Set Up'!$W15</f>
        <v>24</v>
      </c>
      <c r="Q10" s="23">
        <f>'[3]Set Up'!$W16</f>
        <v>24</v>
      </c>
      <c r="R10" s="23">
        <f>'[3]Set Up'!$W17</f>
        <v>24</v>
      </c>
      <c r="S10" s="23">
        <f>'[3]Set Up'!$W18</f>
        <v>24</v>
      </c>
      <c r="T10" s="23">
        <f>'[3]Set Up'!$W19</f>
        <v>24</v>
      </c>
      <c r="U10" s="23">
        <f>'[3]Set Up'!$W20</f>
        <v>24</v>
      </c>
      <c r="V10" s="23">
        <f>'[3]Set Up'!$W21</f>
        <v>24</v>
      </c>
      <c r="W10" s="23">
        <f>'[3]Set Up'!$W22</f>
        <v>24</v>
      </c>
      <c r="X10" s="23">
        <f>'[3]Set Up'!$W23</f>
        <v>24</v>
      </c>
      <c r="Y10" s="23">
        <f>'[3]Set Up'!$W24</f>
        <v>24</v>
      </c>
      <c r="Z10" s="23">
        <f>'[3]Set Up'!$W25</f>
        <v>24</v>
      </c>
      <c r="AA10" s="23">
        <f>'[3]Set Up'!$W26</f>
        <v>24</v>
      </c>
      <c r="AB10" s="23">
        <f>'[3]Set Up'!$W27</f>
        <v>24</v>
      </c>
      <c r="AC10" s="23">
        <f>'[3]Set Up'!$W28</f>
        <v>24</v>
      </c>
      <c r="AD10" s="23">
        <f>'[3]Set Up'!$W29</f>
        <v>24</v>
      </c>
      <c r="AE10" s="23">
        <f>'[3]Set Up'!$W30</f>
        <v>24</v>
      </c>
      <c r="AF10" s="23">
        <f>'[3]Set Up'!$W31</f>
        <v>24</v>
      </c>
      <c r="AG10" s="23">
        <f>'[3]Set Up'!$W32</f>
        <v>24</v>
      </c>
      <c r="AH10" s="23">
        <f>'[3]Set Up'!$W33</f>
        <v>24</v>
      </c>
      <c r="AI10" s="23">
        <f>'[3]Set Up'!$W34</f>
        <v>24</v>
      </c>
      <c r="AJ10" s="23">
        <f>'[3]Set Up'!$W35</f>
        <v>24</v>
      </c>
      <c r="AK10" s="23">
        <f>'[3]Set Up'!$W36</f>
        <v>24</v>
      </c>
      <c r="AL10" s="23">
        <f>'[3]Set Up'!$W37</f>
        <v>24</v>
      </c>
      <c r="AM10" s="23">
        <f>'[3]Set Up'!$W38</f>
        <v>24</v>
      </c>
      <c r="AN10" s="23">
        <f>'[3]Set Up'!$W39</f>
        <v>24</v>
      </c>
      <c r="AO10" s="23">
        <f>'[3]Set Up'!$W40</f>
        <v>24</v>
      </c>
      <c r="AP10" s="23">
        <f>'[3]Set Up'!$W41</f>
        <v>24</v>
      </c>
      <c r="AQ10" s="23">
        <f>'[3]Set Up'!$W42</f>
        <v>24</v>
      </c>
      <c r="AR10" s="23">
        <f>'[3]Set Up'!$W43</f>
        <v>24</v>
      </c>
      <c r="AS10" s="23">
        <f>'[3]Set Up'!$W44</f>
        <v>24</v>
      </c>
      <c r="AT10" s="23">
        <f>'[3]Set Up'!$W45</f>
        <v>24</v>
      </c>
      <c r="AU10" s="23">
        <f>'[3]Set Up'!$W46</f>
        <v>24</v>
      </c>
      <c r="AV10" s="23">
        <f>'[3]Set Up'!$W47</f>
        <v>24</v>
      </c>
      <c r="AW10" s="23">
        <f>'[3]Set Up'!$W48</f>
        <v>24</v>
      </c>
      <c r="AX10" s="23">
        <f>'[3]Set Up'!$W49</f>
        <v>24</v>
      </c>
      <c r="AY10" s="23">
        <f>'[3]Set Up'!$W50</f>
        <v>24</v>
      </c>
      <c r="AZ10" s="23">
        <f>'[3]Set Up'!$W51</f>
        <v>24</v>
      </c>
      <c r="BA10" s="23">
        <f>'[3]Set Up'!$W52</f>
        <v>24</v>
      </c>
      <c r="BB10" s="23">
        <f>'[3]Set Up'!$W53</f>
        <v>24</v>
      </c>
      <c r="BC10" s="23">
        <f>'[3]Set Up'!$W54</f>
        <v>24</v>
      </c>
      <c r="BD10" s="23">
        <f>'[3]Set Up'!$W55</f>
        <v>0</v>
      </c>
      <c r="BE10" s="23">
        <f>'[3]Set Up'!$W56</f>
        <v>0</v>
      </c>
      <c r="BF10" s="23">
        <f>'[3]Set Up'!$W57</f>
        <v>0</v>
      </c>
      <c r="BG10" s="23">
        <f>'[3]Set Up'!$W58</f>
        <v>0</v>
      </c>
      <c r="BH10" s="23">
        <f>'[3]Set Up'!$W59</f>
        <v>0</v>
      </c>
      <c r="BI10" s="23">
        <f>'[3]Set Up'!$W60</f>
        <v>0</v>
      </c>
      <c r="BJ10" s="23">
        <f>'[3]Set Up'!$W61</f>
        <v>0</v>
      </c>
      <c r="BK10" s="23">
        <f>'[3]Set Up'!$W62</f>
        <v>0</v>
      </c>
      <c r="BL10" s="23">
        <f>'[3]Set Up'!$W63</f>
        <v>0</v>
      </c>
      <c r="BM10" s="23">
        <f>'[3]Set Up'!$W64</f>
        <v>0</v>
      </c>
      <c r="BN10" s="23">
        <f>'[3]Set Up'!$W65</f>
        <v>0</v>
      </c>
      <c r="BO10" s="23">
        <f>'[3]Set Up'!$W66</f>
        <v>0</v>
      </c>
      <c r="BP10" s="23">
        <f>'[3]Set Up'!$W67</f>
        <v>0</v>
      </c>
      <c r="BQ10" s="23">
        <f>'[3]Set Up'!$W68</f>
        <v>0</v>
      </c>
      <c r="BR10" s="23">
        <f>'[3]Set Up'!$W69</f>
        <v>0</v>
      </c>
      <c r="BS10" s="23">
        <f>'[3]Set Up'!$W70</f>
        <v>0</v>
      </c>
      <c r="BT10" s="23">
        <f>'[3]Set Up'!$W71</f>
        <v>0</v>
      </c>
      <c r="BU10" s="23">
        <f>'[3]Set Up'!$W72</f>
        <v>0</v>
      </c>
      <c r="BV10" s="23">
        <f>'[3]Set Up'!$W73</f>
        <v>0</v>
      </c>
      <c r="BW10" s="23">
        <f>'[3]Set Up'!$W74</f>
        <v>0</v>
      </c>
      <c r="BX10" s="23">
        <f>'[3]Set Up'!$W75</f>
        <v>0</v>
      </c>
      <c r="BY10" s="23">
        <f>'[3]Set Up'!$W76</f>
        <v>0</v>
      </c>
      <c r="BZ10" s="8"/>
    </row>
    <row r="11" spans="1:78" x14ac:dyDescent="0.35">
      <c r="A11" s="18" t="s">
        <v>17</v>
      </c>
      <c r="B11" s="195"/>
      <c r="C11" s="19">
        <f>'[3]Set Up'!$X2</f>
        <v>23090</v>
      </c>
      <c r="D11" s="19">
        <f>'[3]Set Up'!$X3</f>
        <v>22891</v>
      </c>
      <c r="E11" s="19">
        <f>'[3]Set Up'!$X4</f>
        <v>22692</v>
      </c>
      <c r="F11" s="19">
        <f>'[3]Set Up'!$X5</f>
        <v>22493</v>
      </c>
      <c r="G11" s="19">
        <f>'[3]Set Up'!$X6</f>
        <v>22294</v>
      </c>
      <c r="H11" s="19">
        <f>'[3]Set Up'!$X7</f>
        <v>22095</v>
      </c>
      <c r="I11" s="19">
        <f>'[3]Set Up'!$X8</f>
        <v>21896</v>
      </c>
      <c r="J11" s="19">
        <f>'[3]Set Up'!$X9</f>
        <v>21697</v>
      </c>
      <c r="K11" s="19">
        <f>'[3]Set Up'!$X10</f>
        <v>21498</v>
      </c>
      <c r="L11" s="19">
        <f>'[3]Set Up'!$X11</f>
        <v>21290</v>
      </c>
      <c r="M11" s="19">
        <f>'[3]Set Up'!$X12</f>
        <v>21100</v>
      </c>
      <c r="N11" s="19">
        <f>'[3]Set Up'!$X13</f>
        <v>20901</v>
      </c>
      <c r="O11" s="19">
        <f>'[3]Set Up'!$X14</f>
        <v>20702</v>
      </c>
      <c r="P11" s="19">
        <f>'[3]Set Up'!$X15</f>
        <v>20503</v>
      </c>
      <c r="Q11" s="19">
        <f>'[3]Set Up'!$X16</f>
        <v>20304</v>
      </c>
      <c r="R11" s="19">
        <f>'[3]Set Up'!$X17</f>
        <v>20105</v>
      </c>
      <c r="S11" s="19">
        <f>'[3]Set Up'!$X18</f>
        <v>19906</v>
      </c>
      <c r="T11" s="19">
        <f>'[3]Set Up'!$X19</f>
        <v>19707</v>
      </c>
      <c r="U11" s="19">
        <f>'[3]Set Up'!$X20</f>
        <v>19508</v>
      </c>
      <c r="V11" s="19">
        <f>'[3]Set Up'!$X21</f>
        <v>19309</v>
      </c>
      <c r="W11" s="19">
        <f>'[3]Set Up'!$X22</f>
        <v>19110</v>
      </c>
      <c r="X11" s="19">
        <f>'[3]Set Up'!$X23</f>
        <v>18911</v>
      </c>
      <c r="Y11" s="19">
        <f>'[3]Set Up'!$X24</f>
        <v>18712</v>
      </c>
      <c r="Z11" s="19">
        <f>'[3]Set Up'!$X25</f>
        <v>18513</v>
      </c>
      <c r="AA11" s="19">
        <f>'[3]Set Up'!$X26</f>
        <v>18314</v>
      </c>
      <c r="AB11" s="19">
        <f>'[3]Set Up'!$X27</f>
        <v>18115</v>
      </c>
      <c r="AC11" s="19">
        <f>'[3]Set Up'!$X28</f>
        <v>17916</v>
      </c>
      <c r="AD11" s="19">
        <f>'[3]Set Up'!$X29</f>
        <v>17717</v>
      </c>
      <c r="AE11" s="19">
        <f>'[3]Set Up'!$X30</f>
        <v>17518</v>
      </c>
      <c r="AF11" s="19">
        <f>'[3]Set Up'!$X31</f>
        <v>17319</v>
      </c>
      <c r="AG11" s="19">
        <f>'[3]Set Up'!$X32</f>
        <v>17120</v>
      </c>
      <c r="AH11" s="19">
        <f>'[3]Set Up'!$X33</f>
        <v>16921</v>
      </c>
      <c r="AI11" s="19">
        <f>'[3]Set Up'!$X34</f>
        <v>16722</v>
      </c>
      <c r="AJ11" s="19">
        <f>'[3]Set Up'!$X35</f>
        <v>16523</v>
      </c>
      <c r="AK11" s="19">
        <f>'[3]Set Up'!$X36</f>
        <v>16324</v>
      </c>
      <c r="AL11" s="19">
        <f>'[3]Set Up'!$X37</f>
        <v>16125</v>
      </c>
      <c r="AM11" s="19">
        <f>'[3]Set Up'!$X38</f>
        <v>15926</v>
      </c>
      <c r="AN11" s="19">
        <f>'[3]Set Up'!$X39</f>
        <v>15727</v>
      </c>
      <c r="AO11" s="19">
        <f>'[3]Set Up'!$X40</f>
        <v>15528</v>
      </c>
      <c r="AP11" s="19">
        <f>'[3]Set Up'!$X41</f>
        <v>15329</v>
      </c>
      <c r="AQ11" s="19">
        <f>'[3]Set Up'!$X42</f>
        <v>15130</v>
      </c>
      <c r="AR11" s="19">
        <f>'[3]Set Up'!$X43</f>
        <v>14931</v>
      </c>
      <c r="AS11" s="19">
        <f>'[3]Set Up'!$X44</f>
        <v>14732</v>
      </c>
      <c r="AT11" s="19">
        <f>'[3]Set Up'!$X45</f>
        <v>14533</v>
      </c>
      <c r="AU11" s="19">
        <f>'[3]Set Up'!$X46</f>
        <v>14334</v>
      </c>
      <c r="AV11" s="19">
        <f>'[3]Set Up'!$X47</f>
        <v>14135</v>
      </c>
      <c r="AW11" s="19">
        <f>'[3]Set Up'!$X48</f>
        <v>13936</v>
      </c>
      <c r="AX11" s="19">
        <f>'[3]Set Up'!$X49</f>
        <v>13737</v>
      </c>
      <c r="AY11" s="19">
        <f>'[3]Set Up'!$X50</f>
        <v>13538</v>
      </c>
      <c r="AZ11" s="19">
        <f>'[3]Set Up'!$X51</f>
        <v>13339</v>
      </c>
      <c r="BA11" s="19">
        <f>'[3]Set Up'!$X52</f>
        <v>13140</v>
      </c>
      <c r="BB11" s="19">
        <f>'[3]Set Up'!$X53</f>
        <v>12941</v>
      </c>
      <c r="BC11" s="19">
        <f>'[3]Set Up'!$X54</f>
        <v>12742</v>
      </c>
      <c r="BD11" s="19">
        <f>'[3]Set Up'!$X55</f>
        <v>0</v>
      </c>
      <c r="BE11" s="19">
        <f>'[3]Set Up'!$X56</f>
        <v>0</v>
      </c>
      <c r="BF11" s="19">
        <f>'[3]Set Up'!$X57</f>
        <v>0</v>
      </c>
      <c r="BG11" s="19">
        <f>'[3]Set Up'!$X58</f>
        <v>0</v>
      </c>
      <c r="BH11" s="19">
        <f>'[3]Set Up'!$X59</f>
        <v>0</v>
      </c>
      <c r="BI11" s="19">
        <f>'[3]Set Up'!$X60</f>
        <v>0</v>
      </c>
      <c r="BJ11" s="19">
        <f>'[3]Set Up'!$X61</f>
        <v>0</v>
      </c>
      <c r="BK11" s="19">
        <f>'[3]Set Up'!$X62</f>
        <v>0</v>
      </c>
      <c r="BL11" s="19">
        <f>'[3]Set Up'!$X63</f>
        <v>0</v>
      </c>
      <c r="BM11" s="19">
        <f>'[3]Set Up'!$X64</f>
        <v>0</v>
      </c>
      <c r="BN11" s="19">
        <f>'[3]Set Up'!$X65</f>
        <v>0</v>
      </c>
      <c r="BO11" s="19">
        <f>'[3]Set Up'!$X66</f>
        <v>0</v>
      </c>
      <c r="BP11" s="19">
        <f>'[3]Set Up'!$X67</f>
        <v>0</v>
      </c>
      <c r="BQ11" s="19">
        <f>'[3]Set Up'!$X68</f>
        <v>0</v>
      </c>
      <c r="BR11" s="19">
        <f>'[3]Set Up'!$X69</f>
        <v>0</v>
      </c>
      <c r="BS11" s="19">
        <f>'[3]Set Up'!$X70</f>
        <v>0</v>
      </c>
      <c r="BT11" s="19">
        <f>'[3]Set Up'!$X71</f>
        <v>0</v>
      </c>
      <c r="BU11" s="19">
        <f>'[3]Set Up'!$X72</f>
        <v>0</v>
      </c>
      <c r="BV11" s="19">
        <f>'[3]Set Up'!$X73</f>
        <v>0</v>
      </c>
      <c r="BW11" s="19">
        <f>'[3]Set Up'!$X74</f>
        <v>0</v>
      </c>
      <c r="BX11" s="19">
        <f>'[3]Set Up'!$X75</f>
        <v>0</v>
      </c>
      <c r="BY11" s="19">
        <f>'[3]Set Up'!$X76</f>
        <v>0</v>
      </c>
      <c r="BZ11" s="8"/>
    </row>
    <row r="12" spans="1:78" ht="15" thickBot="1" x14ac:dyDescent="0.4">
      <c r="A12" s="20" t="s">
        <v>18</v>
      </c>
      <c r="B12" s="195"/>
      <c r="C12" s="24">
        <f>'[3]Set Up'!$AA2</f>
        <v>12274</v>
      </c>
      <c r="D12" s="24">
        <f>'[3]Set Up'!$AA3</f>
        <v>12273</v>
      </c>
      <c r="E12" s="24">
        <f>'[3]Set Up'!$AA4</f>
        <v>12272</v>
      </c>
      <c r="F12" s="24">
        <f>'[3]Set Up'!$AA5</f>
        <v>12269</v>
      </c>
      <c r="G12" s="24">
        <f>'[3]Set Up'!$AA6</f>
        <v>12269</v>
      </c>
      <c r="H12" s="24">
        <f>'[3]Set Up'!$AA7</f>
        <v>12268</v>
      </c>
      <c r="I12" s="24">
        <f>'[3]Set Up'!$AA8</f>
        <v>12268</v>
      </c>
      <c r="J12" s="24">
        <f>'[3]Set Up'!$AA9</f>
        <v>12267</v>
      </c>
      <c r="K12" s="24">
        <f>'[3]Set Up'!$AA10</f>
        <v>12266</v>
      </c>
      <c r="L12" s="24">
        <f>'[3]Set Up'!$AA11</f>
        <v>12265</v>
      </c>
      <c r="M12" s="24">
        <f>'[3]Set Up'!$AA12</f>
        <v>12265</v>
      </c>
      <c r="N12" s="24">
        <f>'[3]Set Up'!$AA13</f>
        <v>12263</v>
      </c>
      <c r="O12" s="24">
        <f>'[3]Set Up'!$AA14</f>
        <v>12263</v>
      </c>
      <c r="P12" s="24">
        <f>'[3]Set Up'!$AA15</f>
        <v>12262</v>
      </c>
      <c r="Q12" s="24">
        <f>'[3]Set Up'!$AA16</f>
        <v>12258</v>
      </c>
      <c r="R12" s="24">
        <f>'[3]Set Up'!$AA17</f>
        <v>12256</v>
      </c>
      <c r="S12" s="24">
        <f>'[3]Set Up'!$AA18</f>
        <v>12254</v>
      </c>
      <c r="T12" s="24">
        <f>'[3]Set Up'!$AA19</f>
        <v>12251</v>
      </c>
      <c r="U12" s="24">
        <f>'[3]Set Up'!$AA20</f>
        <v>12251</v>
      </c>
      <c r="V12" s="24">
        <f>'[3]Set Up'!$AA21</f>
        <v>12248</v>
      </c>
      <c r="W12" s="24">
        <f>'[3]Set Up'!$AA22</f>
        <v>12246</v>
      </c>
      <c r="X12" s="24">
        <f>'[3]Set Up'!$AA23</f>
        <v>12245</v>
      </c>
      <c r="Y12" s="24">
        <f>'[3]Set Up'!$AA24</f>
        <v>12243</v>
      </c>
      <c r="Z12" s="24">
        <f>'[3]Set Up'!$AA25</f>
        <v>12235</v>
      </c>
      <c r="AA12" s="24">
        <f>'[3]Set Up'!$AA26</f>
        <v>12231</v>
      </c>
      <c r="AB12" s="24">
        <f>'[3]Set Up'!$AA27</f>
        <v>12227</v>
      </c>
      <c r="AC12" s="24">
        <f>'[3]Set Up'!$AA28</f>
        <v>12222</v>
      </c>
      <c r="AD12" s="24">
        <f>'[3]Set Up'!$AA29</f>
        <v>12218</v>
      </c>
      <c r="AE12" s="24">
        <f>'[3]Set Up'!$AA30</f>
        <v>12214</v>
      </c>
      <c r="AF12" s="24">
        <f>'[3]Set Up'!$AA31</f>
        <v>12212</v>
      </c>
      <c r="AG12" s="24">
        <f>'[3]Set Up'!$AA32</f>
        <v>12203</v>
      </c>
      <c r="AH12" s="24">
        <f>'[3]Set Up'!$AA33</f>
        <v>12197</v>
      </c>
      <c r="AI12" s="24">
        <f>'[3]Set Up'!$AA34</f>
        <v>12194</v>
      </c>
      <c r="AJ12" s="24">
        <f>'[3]Set Up'!$AA35</f>
        <v>12191</v>
      </c>
      <c r="AK12" s="24">
        <f>'[3]Set Up'!$AA36</f>
        <v>12186</v>
      </c>
      <c r="AL12" s="24">
        <f>'[3]Set Up'!$AA37</f>
        <v>12180</v>
      </c>
      <c r="AM12" s="24">
        <f>'[3]Set Up'!$AA38</f>
        <v>12185</v>
      </c>
      <c r="AN12" s="24">
        <f>'[3]Set Up'!$AA39</f>
        <v>12189</v>
      </c>
      <c r="AO12" s="24">
        <f>'[3]Set Up'!$AA40</f>
        <v>12186</v>
      </c>
      <c r="AP12" s="24">
        <f>'[3]Set Up'!$AA41</f>
        <v>12182</v>
      </c>
      <c r="AQ12" s="24">
        <f>'[3]Set Up'!$AA42</f>
        <v>12180</v>
      </c>
      <c r="AR12" s="24">
        <f>'[3]Set Up'!$AA43</f>
        <v>12177</v>
      </c>
      <c r="AS12" s="24">
        <f>'[3]Set Up'!$AA44</f>
        <v>12173</v>
      </c>
      <c r="AT12" s="24">
        <f>'[3]Set Up'!$AA45</f>
        <v>12168</v>
      </c>
      <c r="AU12" s="24">
        <f>'[3]Set Up'!$AA46</f>
        <v>12165</v>
      </c>
      <c r="AV12" s="24">
        <f>'[3]Set Up'!$AA47</f>
        <v>12159</v>
      </c>
      <c r="AW12" s="24">
        <f>'[3]Set Up'!$AA48</f>
        <v>12155</v>
      </c>
      <c r="AX12" s="24">
        <f>'[3]Set Up'!$AA49</f>
        <v>12151</v>
      </c>
      <c r="AY12" s="24">
        <f>'[3]Set Up'!$AA50</f>
        <v>12146</v>
      </c>
      <c r="AZ12" s="24">
        <f>'[3]Set Up'!$AA51</f>
        <v>12143</v>
      </c>
      <c r="BA12" s="24">
        <f>'[3]Set Up'!$AA52</f>
        <v>12140</v>
      </c>
      <c r="BB12" s="24">
        <f>'[3]Set Up'!$AA53</f>
        <v>12132</v>
      </c>
      <c r="BC12" s="24">
        <f>'[3]Set Up'!$AA54</f>
        <v>12124</v>
      </c>
      <c r="BD12" s="24">
        <f>'[3]Set Up'!$AA55</f>
        <v>0</v>
      </c>
      <c r="BE12" s="24">
        <f>'[3]Set Up'!$AA56</f>
        <v>0</v>
      </c>
      <c r="BF12" s="24">
        <f>'[3]Set Up'!$AA57</f>
        <v>0</v>
      </c>
      <c r="BG12" s="24">
        <f>'[3]Set Up'!$AA58</f>
        <v>0</v>
      </c>
      <c r="BH12" s="24">
        <f>'[3]Set Up'!$AA59</f>
        <v>0</v>
      </c>
      <c r="BI12" s="24">
        <f>'[3]Set Up'!$AA60</f>
        <v>0</v>
      </c>
      <c r="BJ12" s="24">
        <f>'[3]Set Up'!$AA61</f>
        <v>0</v>
      </c>
      <c r="BK12" s="24">
        <f>'[3]Set Up'!$AA62</f>
        <v>0</v>
      </c>
      <c r="BL12" s="24">
        <f>'[3]Set Up'!$AA63</f>
        <v>0</v>
      </c>
      <c r="BM12" s="24">
        <f>'[3]Set Up'!$AA64</f>
        <v>0</v>
      </c>
      <c r="BN12" s="24">
        <f>'[3]Set Up'!$AA65</f>
        <v>0</v>
      </c>
      <c r="BO12" s="24">
        <f>'[3]Set Up'!$AA66</f>
        <v>0</v>
      </c>
      <c r="BP12" s="24">
        <f>'[3]Set Up'!$AA67</f>
        <v>0</v>
      </c>
      <c r="BQ12" s="24">
        <f>'[3]Set Up'!$AA68</f>
        <v>0</v>
      </c>
      <c r="BR12" s="24">
        <f>'[3]Set Up'!$AA69</f>
        <v>0</v>
      </c>
      <c r="BS12" s="24">
        <f>'[3]Set Up'!$AA70</f>
        <v>0</v>
      </c>
      <c r="BT12" s="24">
        <f>'[3]Set Up'!$AA71</f>
        <v>0</v>
      </c>
      <c r="BU12" s="24">
        <f>'[3]Set Up'!$AA72</f>
        <v>0</v>
      </c>
      <c r="BV12" s="24">
        <f>'[3]Set Up'!$AA73</f>
        <v>0</v>
      </c>
      <c r="BW12" s="24">
        <f>'[3]Set Up'!$AA74</f>
        <v>0</v>
      </c>
      <c r="BX12" s="24">
        <f>'[3]Set Up'!$AA75</f>
        <v>0</v>
      </c>
      <c r="BY12" s="24">
        <f>'[3]Set Up'!$AA76</f>
        <v>0</v>
      </c>
      <c r="BZ12" s="8"/>
    </row>
    <row r="13" spans="1:78" x14ac:dyDescent="0.35">
      <c r="A13" s="25" t="s">
        <v>19</v>
      </c>
      <c r="B13" s="196" t="s">
        <v>20</v>
      </c>
      <c r="C13" s="26">
        <f>IF(C8="","",IF(C8&lt;'[3]Set Up'!$J$15,C8*'[3]Set Up'!$N$15,IF(C8&lt;'[3]Set Up'!$J$16,(C8-'[3]Set Up'!$J$15)*'[3]Set Up'!$N$16+'[3]Set Up'!$O$15,IF(C8&lt;'[3]Set Up'!$J$17,(C8-'[3]Set Up'!$J$16)*'[3]Set Up'!$N$17+'[3]Set Up'!$O$15+'[3]Set Up'!$O$16,(C8-'[3]Set Up'!$J$17)*'[3]Set Up'!$N$18 + SUM('[3]Set Up'!$O$15:'[3]Set Up'!$O$17)))))</f>
        <v>417.25367658085446</v>
      </c>
      <c r="D13" s="26">
        <f>IF(D8="","",IF(D8&lt;'[3]Set Up'!$J$15,D8*'[3]Set Up'!$N$15,IF(D8&lt;'[3]Set Up'!$J$16,(D8-'[3]Set Up'!$J$15)*'[3]Set Up'!$N$16+'[3]Set Up'!$O$15,IF(D8&lt;'[3]Set Up'!$J$17,(D8-'[3]Set Up'!$J$16)*'[3]Set Up'!$N$17+'[3]Set Up'!$O$15+'[3]Set Up'!$O$16,(D8-'[3]Set Up'!$J$17)*'[3]Set Up'!$N$18 + SUM('[3]Set Up'!$O$15:'[3]Set Up'!$O$17)))))</f>
        <v>414.28231842475282</v>
      </c>
      <c r="E13" s="26">
        <f>IF(E8="","",IF(E8&lt;'[3]Set Up'!$J$15,E8*'[3]Set Up'!$N$15,IF(E8&lt;'[3]Set Up'!$J$16,(E8-'[3]Set Up'!$J$15)*'[3]Set Up'!$N$16+'[3]Set Up'!$O$15,IF(E8&lt;'[3]Set Up'!$J$17,(E8-'[3]Set Up'!$J$16)*'[3]Set Up'!$N$17+'[3]Set Up'!$O$15+'[3]Set Up'!$O$16,(E8-'[3]Set Up'!$J$17)*'[3]Set Up'!$N$18 + SUM('[3]Set Up'!$O$15:'[3]Set Up'!$O$17)))))</f>
        <v>411.31096026865112</v>
      </c>
      <c r="F13" s="26">
        <f>IF(F8="","",IF(F8&lt;'[3]Set Up'!$J$15,F8*'[3]Set Up'!$N$15,IF(F8&lt;'[3]Set Up'!$J$16,(F8-'[3]Set Up'!$J$15)*'[3]Set Up'!$N$16+'[3]Set Up'!$O$15,IF(F8&lt;'[3]Set Up'!$J$17,(F8-'[3]Set Up'!$J$16)*'[3]Set Up'!$N$17+'[3]Set Up'!$O$15+'[3]Set Up'!$O$16,(F8-'[3]Set Up'!$J$17)*'[3]Set Up'!$N$18 + SUM('[3]Set Up'!$O$15:'[3]Set Up'!$O$17)))))</f>
        <v>408.33960211254941</v>
      </c>
      <c r="G13" s="26">
        <f>IF(G8="","",IF(G8&lt;'[3]Set Up'!$J$15,G8*'[3]Set Up'!$N$15,IF(G8&lt;'[3]Set Up'!$J$16,(G8-'[3]Set Up'!$J$15)*'[3]Set Up'!$N$16+'[3]Set Up'!$O$15,IF(G8&lt;'[3]Set Up'!$J$17,(G8-'[3]Set Up'!$J$16)*'[3]Set Up'!$N$17+'[3]Set Up'!$O$15+'[3]Set Up'!$O$16,(G8-'[3]Set Up'!$J$17)*'[3]Set Up'!$N$18 + SUM('[3]Set Up'!$O$15:'[3]Set Up'!$O$17)))))</f>
        <v>405.36824395644777</v>
      </c>
      <c r="H13" s="26">
        <f>IF(H8="","",IF(H8&lt;'[3]Set Up'!$J$15,H8*'[3]Set Up'!$N$15,IF(H8&lt;'[3]Set Up'!$J$16,(H8-'[3]Set Up'!$J$15)*'[3]Set Up'!$N$16+'[3]Set Up'!$O$15,IF(H8&lt;'[3]Set Up'!$J$17,(H8-'[3]Set Up'!$J$16)*'[3]Set Up'!$N$17+'[3]Set Up'!$O$15+'[3]Set Up'!$O$16,(H8-'[3]Set Up'!$J$17)*'[3]Set Up'!$N$18 + SUM('[3]Set Up'!$O$15:'[3]Set Up'!$O$17)))))</f>
        <v>402.39688580034613</v>
      </c>
      <c r="I13" s="26">
        <f>IF(I8="","",IF(I8&lt;'[3]Set Up'!$J$15,I8*'[3]Set Up'!$N$15,IF(I8&lt;'[3]Set Up'!$J$16,(I8-'[3]Set Up'!$J$15)*'[3]Set Up'!$N$16+'[3]Set Up'!$O$15,IF(I8&lt;'[3]Set Up'!$J$17,(I8-'[3]Set Up'!$J$16)*'[3]Set Up'!$N$17+'[3]Set Up'!$O$15+'[3]Set Up'!$O$16,(I8-'[3]Set Up'!$J$17)*'[3]Set Up'!$N$18 + SUM('[3]Set Up'!$O$15:'[3]Set Up'!$O$17)))))</f>
        <v>399.42552764424443</v>
      </c>
      <c r="J13" s="26">
        <f>IF(J8="","",IF(J8&lt;'[3]Set Up'!$J$15,J8*'[3]Set Up'!$N$15,IF(J8&lt;'[3]Set Up'!$J$16,(J8-'[3]Set Up'!$J$15)*'[3]Set Up'!$N$16+'[3]Set Up'!$O$15,IF(J8&lt;'[3]Set Up'!$J$17,(J8-'[3]Set Up'!$J$16)*'[3]Set Up'!$N$17+'[3]Set Up'!$O$15+'[3]Set Up'!$O$16,(J8-'[3]Set Up'!$J$17)*'[3]Set Up'!$N$18 + SUM('[3]Set Up'!$O$15:'[3]Set Up'!$O$17)))))</f>
        <v>396.45416948814278</v>
      </c>
      <c r="K13" s="26">
        <f>IF(K8="","",IF(K8&lt;'[3]Set Up'!$J$15,K8*'[3]Set Up'!$N$15,IF(K8&lt;'[3]Set Up'!$J$16,(K8-'[3]Set Up'!$J$15)*'[3]Set Up'!$N$16+'[3]Set Up'!$O$15,IF(K8&lt;'[3]Set Up'!$J$17,(K8-'[3]Set Up'!$J$16)*'[3]Set Up'!$N$17+'[3]Set Up'!$O$15+'[3]Set Up'!$O$16,(K8-'[3]Set Up'!$J$17)*'[3]Set Up'!$N$18 + SUM('[3]Set Up'!$O$15:'[3]Set Up'!$O$17)))))</f>
        <v>393.48281133204114</v>
      </c>
      <c r="L13" s="26">
        <f>IF(L8="","",IF(L8&lt;'[3]Set Up'!$J$15,L8*'[3]Set Up'!$N$15,IF(L8&lt;'[3]Set Up'!$J$16,(L8-'[3]Set Up'!$J$15)*'[3]Set Up'!$N$16+'[3]Set Up'!$O$15,IF(L8&lt;'[3]Set Up'!$J$17,(L8-'[3]Set Up'!$J$16)*'[3]Set Up'!$N$17+'[3]Set Up'!$O$15+'[3]Set Up'!$O$16,(L8-'[3]Set Up'!$J$17)*'[3]Set Up'!$N$18 + SUM('[3]Set Up'!$O$15:'[3]Set Up'!$O$17)))))</f>
        <v>390.51145317593944</v>
      </c>
      <c r="M13" s="26">
        <f>IF(M8="","",IF(M8&lt;'[3]Set Up'!$J$15,M8*'[3]Set Up'!$N$15,IF(M8&lt;'[3]Set Up'!$J$16,(M8-'[3]Set Up'!$J$15)*'[3]Set Up'!$N$16+'[3]Set Up'!$O$15,IF(M8&lt;'[3]Set Up'!$J$17,(M8-'[3]Set Up'!$J$16)*'[3]Set Up'!$N$17+'[3]Set Up'!$O$15+'[3]Set Up'!$O$16,(M8-'[3]Set Up'!$J$17)*'[3]Set Up'!$N$18 + SUM('[3]Set Up'!$O$15:'[3]Set Up'!$O$17)))))</f>
        <v>387.54009501983774</v>
      </c>
      <c r="N13" s="26">
        <f>IF(N8="","",IF(N8&lt;'[3]Set Up'!$J$15,N8*'[3]Set Up'!$N$15,IF(N8&lt;'[3]Set Up'!$J$16,(N8-'[3]Set Up'!$J$15)*'[3]Set Up'!$N$16+'[3]Set Up'!$O$15,IF(N8&lt;'[3]Set Up'!$J$17,(N8-'[3]Set Up'!$J$16)*'[3]Set Up'!$N$17+'[3]Set Up'!$O$15+'[3]Set Up'!$O$16,(N8-'[3]Set Up'!$J$17)*'[3]Set Up'!$N$18 + SUM('[3]Set Up'!$O$15:'[3]Set Up'!$O$17)))))</f>
        <v>384.56873686373615</v>
      </c>
      <c r="O13" s="26">
        <f>IF(O8="","",IF(O8&lt;'[3]Set Up'!$J$15,O8*'[3]Set Up'!$N$15,IF(O8&lt;'[3]Set Up'!$J$16,(O8-'[3]Set Up'!$J$15)*'[3]Set Up'!$N$16+'[3]Set Up'!$O$15,IF(O8&lt;'[3]Set Up'!$J$17,(O8-'[3]Set Up'!$J$16)*'[3]Set Up'!$N$17+'[3]Set Up'!$O$15+'[3]Set Up'!$O$16,(O8-'[3]Set Up'!$J$17)*'[3]Set Up'!$N$18 + SUM('[3]Set Up'!$O$15:'[3]Set Up'!$O$17)))))</f>
        <v>381.59737870763445</v>
      </c>
      <c r="P13" s="26">
        <f>IF(P8="","",IF(P8&lt;'[3]Set Up'!$J$15,P8*'[3]Set Up'!$N$15,IF(P8&lt;'[3]Set Up'!$J$16,(P8-'[3]Set Up'!$J$15)*'[3]Set Up'!$N$16+'[3]Set Up'!$O$15,IF(P8&lt;'[3]Set Up'!$J$17,(P8-'[3]Set Up'!$J$16)*'[3]Set Up'!$N$17+'[3]Set Up'!$O$15+'[3]Set Up'!$O$16,(P8-'[3]Set Up'!$J$17)*'[3]Set Up'!$N$18 + SUM('[3]Set Up'!$O$15:'[3]Set Up'!$O$17)))))</f>
        <v>378.62602055153275</v>
      </c>
      <c r="Q13" s="26">
        <f>IF(Q8="","",IF(Q8&lt;'[3]Set Up'!$J$15,Q8*'[3]Set Up'!$N$15,IF(Q8&lt;'[3]Set Up'!$J$16,(Q8-'[3]Set Up'!$J$15)*'[3]Set Up'!$N$16+'[3]Set Up'!$O$15,IF(Q8&lt;'[3]Set Up'!$J$17,(Q8-'[3]Set Up'!$J$16)*'[3]Set Up'!$N$17+'[3]Set Up'!$O$15+'[3]Set Up'!$O$16,(Q8-'[3]Set Up'!$J$17)*'[3]Set Up'!$N$18 + SUM('[3]Set Up'!$O$15:'[3]Set Up'!$O$17)))))</f>
        <v>375.6546623954311</v>
      </c>
      <c r="R13" s="26">
        <f>IF(R8="","",IF(R8&lt;'[3]Set Up'!$J$15,R8*'[3]Set Up'!$N$15,IF(R8&lt;'[3]Set Up'!$J$16,(R8-'[3]Set Up'!$J$15)*'[3]Set Up'!$N$16+'[3]Set Up'!$O$15,IF(R8&lt;'[3]Set Up'!$J$17,(R8-'[3]Set Up'!$J$16)*'[3]Set Up'!$N$17+'[3]Set Up'!$O$15+'[3]Set Up'!$O$16,(R8-'[3]Set Up'!$J$17)*'[3]Set Up'!$N$18 + SUM('[3]Set Up'!$O$15:'[3]Set Up'!$O$17)))))</f>
        <v>372.68330423932946</v>
      </c>
      <c r="S13" s="26">
        <f>IF(S8="","",IF(S8&lt;'[3]Set Up'!$J$15,S8*'[3]Set Up'!$N$15,IF(S8&lt;'[3]Set Up'!$J$16,(S8-'[3]Set Up'!$J$15)*'[3]Set Up'!$N$16+'[3]Set Up'!$O$15,IF(S8&lt;'[3]Set Up'!$J$17,(S8-'[3]Set Up'!$J$16)*'[3]Set Up'!$N$17+'[3]Set Up'!$O$15+'[3]Set Up'!$O$16,(S8-'[3]Set Up'!$J$17)*'[3]Set Up'!$N$18 + SUM('[3]Set Up'!$O$15:'[3]Set Up'!$O$17)))))</f>
        <v>369.71194608322776</v>
      </c>
      <c r="T13" s="26">
        <f>IF(T8="","",IF(T8&lt;'[3]Set Up'!$J$15,T8*'[3]Set Up'!$N$15,IF(T8&lt;'[3]Set Up'!$J$16,(T8-'[3]Set Up'!$J$15)*'[3]Set Up'!$N$16+'[3]Set Up'!$O$15,IF(T8&lt;'[3]Set Up'!$J$17,(T8-'[3]Set Up'!$J$16)*'[3]Set Up'!$N$17+'[3]Set Up'!$O$15+'[3]Set Up'!$O$16,(T8-'[3]Set Up'!$J$17)*'[3]Set Up'!$N$18 + SUM('[3]Set Up'!$O$15:'[3]Set Up'!$O$17)))))</f>
        <v>366.74058792712611</v>
      </c>
      <c r="U13" s="26">
        <f>IF(U8="","",IF(U8&lt;'[3]Set Up'!$J$15,U8*'[3]Set Up'!$N$15,IF(U8&lt;'[3]Set Up'!$J$16,(U8-'[3]Set Up'!$J$15)*'[3]Set Up'!$N$16+'[3]Set Up'!$O$15,IF(U8&lt;'[3]Set Up'!$J$17,(U8-'[3]Set Up'!$J$16)*'[3]Set Up'!$N$17+'[3]Set Up'!$O$15+'[3]Set Up'!$O$16,(U8-'[3]Set Up'!$J$17)*'[3]Set Up'!$N$18 + SUM('[3]Set Up'!$O$15:'[3]Set Up'!$O$17)))))</f>
        <v>363.76922977102447</v>
      </c>
      <c r="V13" s="26">
        <f>IF(V8="","",IF(V8&lt;'[3]Set Up'!$J$15,V8*'[3]Set Up'!$N$15,IF(V8&lt;'[3]Set Up'!$J$16,(V8-'[3]Set Up'!$J$15)*'[3]Set Up'!$N$16+'[3]Set Up'!$O$15,IF(V8&lt;'[3]Set Up'!$J$17,(V8-'[3]Set Up'!$J$16)*'[3]Set Up'!$N$17+'[3]Set Up'!$O$15+'[3]Set Up'!$O$16,(V8-'[3]Set Up'!$J$17)*'[3]Set Up'!$N$18 + SUM('[3]Set Up'!$O$15:'[3]Set Up'!$O$17)))))</f>
        <v>360.79787161492277</v>
      </c>
      <c r="W13" s="26">
        <f>IF(W8="","",IF(W8&lt;'[3]Set Up'!$J$15,W8*'[3]Set Up'!$N$15,IF(W8&lt;'[3]Set Up'!$J$16,(W8-'[3]Set Up'!$J$15)*'[3]Set Up'!$N$16+'[3]Set Up'!$O$15,IF(W8&lt;'[3]Set Up'!$J$17,(W8-'[3]Set Up'!$J$16)*'[3]Set Up'!$N$17+'[3]Set Up'!$O$15+'[3]Set Up'!$O$16,(W8-'[3]Set Up'!$J$17)*'[3]Set Up'!$N$18 + SUM('[3]Set Up'!$O$15:'[3]Set Up'!$O$17)))))</f>
        <v>357.82651345882107</v>
      </c>
      <c r="X13" s="26">
        <f>IF(X8="","",IF(X8&lt;'[3]Set Up'!$J$15,X8*'[3]Set Up'!$N$15,IF(X8&lt;'[3]Set Up'!$J$16,(X8-'[3]Set Up'!$J$15)*'[3]Set Up'!$N$16+'[3]Set Up'!$O$15,IF(X8&lt;'[3]Set Up'!$J$17,(X8-'[3]Set Up'!$J$16)*'[3]Set Up'!$N$17+'[3]Set Up'!$O$15+'[3]Set Up'!$O$16,(X8-'[3]Set Up'!$J$17)*'[3]Set Up'!$N$18 + SUM('[3]Set Up'!$O$15:'[3]Set Up'!$O$17)))))</f>
        <v>354.85515530271942</v>
      </c>
      <c r="Y13" s="26">
        <f>IF(Y8="","",IF(Y8&lt;'[3]Set Up'!$J$15,Y8*'[3]Set Up'!$N$15,IF(Y8&lt;'[3]Set Up'!$J$16,(Y8-'[3]Set Up'!$J$15)*'[3]Set Up'!$N$16+'[3]Set Up'!$O$15,IF(Y8&lt;'[3]Set Up'!$J$17,(Y8-'[3]Set Up'!$J$16)*'[3]Set Up'!$N$17+'[3]Set Up'!$O$15+'[3]Set Up'!$O$16,(Y8-'[3]Set Up'!$J$17)*'[3]Set Up'!$N$18 + SUM('[3]Set Up'!$O$15:'[3]Set Up'!$O$17)))))</f>
        <v>351.88379714661778</v>
      </c>
      <c r="Z13" s="26">
        <f>IF(Z8="","",IF(Z8&lt;'[3]Set Up'!$J$15,Z8*'[3]Set Up'!$N$15,IF(Z8&lt;'[3]Set Up'!$J$16,(Z8-'[3]Set Up'!$J$15)*'[3]Set Up'!$N$16+'[3]Set Up'!$O$15,IF(Z8&lt;'[3]Set Up'!$J$17,(Z8-'[3]Set Up'!$J$16)*'[3]Set Up'!$N$17+'[3]Set Up'!$O$15+'[3]Set Up'!$O$16,(Z8-'[3]Set Up'!$J$17)*'[3]Set Up'!$N$18 + SUM('[3]Set Up'!$O$15:'[3]Set Up'!$O$17)))))</f>
        <v>348.91243899051608</v>
      </c>
      <c r="AA13" s="26">
        <f>IF(AA8="","",IF(AA8&lt;'[3]Set Up'!$J$15,AA8*'[3]Set Up'!$N$15,IF(AA8&lt;'[3]Set Up'!$J$16,(AA8-'[3]Set Up'!$J$15)*'[3]Set Up'!$N$16+'[3]Set Up'!$O$15,IF(AA8&lt;'[3]Set Up'!$J$17,(AA8-'[3]Set Up'!$J$16)*'[3]Set Up'!$N$17+'[3]Set Up'!$O$15+'[3]Set Up'!$O$16,(AA8-'[3]Set Up'!$J$17)*'[3]Set Up'!$N$18 + SUM('[3]Set Up'!$O$15:'[3]Set Up'!$O$17)))))</f>
        <v>345.94108083441444</v>
      </c>
      <c r="AB13" s="26">
        <f>IF(AB8="","",IF(AB8&lt;'[3]Set Up'!$J$15,AB8*'[3]Set Up'!$N$15,IF(AB8&lt;'[3]Set Up'!$J$16,(AB8-'[3]Set Up'!$J$15)*'[3]Set Up'!$N$16+'[3]Set Up'!$O$15,IF(AB8&lt;'[3]Set Up'!$J$17,(AB8-'[3]Set Up'!$J$16)*'[3]Set Up'!$N$17+'[3]Set Up'!$O$15+'[3]Set Up'!$O$16,(AB8-'[3]Set Up'!$J$17)*'[3]Set Up'!$N$18 + SUM('[3]Set Up'!$O$15:'[3]Set Up'!$O$17)))))</f>
        <v>342.96972267831279</v>
      </c>
      <c r="AC13" s="26">
        <f>IF(AC8="","",IF(AC8&lt;'[3]Set Up'!$J$15,AC8*'[3]Set Up'!$N$15,IF(AC8&lt;'[3]Set Up'!$J$16,(AC8-'[3]Set Up'!$J$15)*'[3]Set Up'!$N$16+'[3]Set Up'!$O$15,IF(AC8&lt;'[3]Set Up'!$J$17,(AC8-'[3]Set Up'!$J$16)*'[3]Set Up'!$N$17+'[3]Set Up'!$O$15+'[3]Set Up'!$O$16,(AC8-'[3]Set Up'!$J$17)*'[3]Set Up'!$N$18 + SUM('[3]Set Up'!$O$15:'[3]Set Up'!$O$17)))))</f>
        <v>339.99836452221109</v>
      </c>
      <c r="AD13" s="26">
        <f>IF(AD8="","",IF(AD8&lt;'[3]Set Up'!$J$15,AD8*'[3]Set Up'!$N$15,IF(AD8&lt;'[3]Set Up'!$J$16,(AD8-'[3]Set Up'!$J$15)*'[3]Set Up'!$N$16+'[3]Set Up'!$O$15,IF(AD8&lt;'[3]Set Up'!$J$17,(AD8-'[3]Set Up'!$J$16)*'[3]Set Up'!$N$17+'[3]Set Up'!$O$15+'[3]Set Up'!$O$16,(AD8-'[3]Set Up'!$J$17)*'[3]Set Up'!$N$18 + SUM('[3]Set Up'!$O$15:'[3]Set Up'!$O$17)))))</f>
        <v>337.02700636610945</v>
      </c>
      <c r="AE13" s="26">
        <f>IF(AE8="","",IF(AE8&lt;'[3]Set Up'!$J$15,AE8*'[3]Set Up'!$N$15,IF(AE8&lt;'[3]Set Up'!$J$16,(AE8-'[3]Set Up'!$J$15)*'[3]Set Up'!$N$16+'[3]Set Up'!$O$15,IF(AE8&lt;'[3]Set Up'!$J$17,(AE8-'[3]Set Up'!$J$16)*'[3]Set Up'!$N$17+'[3]Set Up'!$O$15+'[3]Set Up'!$O$16,(AE8-'[3]Set Up'!$J$17)*'[3]Set Up'!$N$18 + SUM('[3]Set Up'!$O$15:'[3]Set Up'!$O$17)))))</f>
        <v>334.05564821000775</v>
      </c>
      <c r="AF13" s="26">
        <f>IF(AF8="","",IF(AF8&lt;'[3]Set Up'!$J$15,AF8*'[3]Set Up'!$N$15,IF(AF8&lt;'[3]Set Up'!$J$16,(AF8-'[3]Set Up'!$J$15)*'[3]Set Up'!$N$16+'[3]Set Up'!$O$15,IF(AF8&lt;'[3]Set Up'!$J$17,(AF8-'[3]Set Up'!$J$16)*'[3]Set Up'!$N$17+'[3]Set Up'!$O$15+'[3]Set Up'!$O$16,(AF8-'[3]Set Up'!$J$17)*'[3]Set Up'!$N$18 + SUM('[3]Set Up'!$O$15:'[3]Set Up'!$O$17)))))</f>
        <v>331.0842900539061</v>
      </c>
      <c r="AG13" s="26">
        <f>IF(AG8="","",IF(AG8&lt;'[3]Set Up'!$J$15,AG8*'[3]Set Up'!$N$15,IF(AG8&lt;'[3]Set Up'!$J$16,(AG8-'[3]Set Up'!$J$15)*'[3]Set Up'!$N$16+'[3]Set Up'!$O$15,IF(AG8&lt;'[3]Set Up'!$J$17,(AG8-'[3]Set Up'!$J$16)*'[3]Set Up'!$N$17+'[3]Set Up'!$O$15+'[3]Set Up'!$O$16,(AG8-'[3]Set Up'!$J$17)*'[3]Set Up'!$N$18 + SUM('[3]Set Up'!$O$15:'[3]Set Up'!$O$17)))))</f>
        <v>328.1129318978044</v>
      </c>
      <c r="AH13" s="26">
        <f>IF(AH8="","",IF(AH8&lt;'[3]Set Up'!$J$15,AH8*'[3]Set Up'!$N$15,IF(AH8&lt;'[3]Set Up'!$J$16,(AH8-'[3]Set Up'!$J$15)*'[3]Set Up'!$N$16+'[3]Set Up'!$O$15,IF(AH8&lt;'[3]Set Up'!$J$17,(AH8-'[3]Set Up'!$J$16)*'[3]Set Up'!$N$17+'[3]Set Up'!$O$15+'[3]Set Up'!$O$16,(AH8-'[3]Set Up'!$J$17)*'[3]Set Up'!$N$18 + SUM('[3]Set Up'!$O$15:'[3]Set Up'!$O$17)))))</f>
        <v>325.14157374170276</v>
      </c>
      <c r="AI13" s="26">
        <f>IF(AI8="","",IF(AI8&lt;'[3]Set Up'!$J$15,AI8*'[3]Set Up'!$N$15,IF(AI8&lt;'[3]Set Up'!$J$16,(AI8-'[3]Set Up'!$J$15)*'[3]Set Up'!$N$16+'[3]Set Up'!$O$15,IF(AI8&lt;'[3]Set Up'!$J$17,(AI8-'[3]Set Up'!$J$16)*'[3]Set Up'!$N$17+'[3]Set Up'!$O$15+'[3]Set Up'!$O$16,(AI8-'[3]Set Up'!$J$17)*'[3]Set Up'!$N$18 + SUM('[3]Set Up'!$O$15:'[3]Set Up'!$O$17)))))</f>
        <v>322.17021558560111</v>
      </c>
      <c r="AJ13" s="26">
        <f>IF(AJ8="","",IF(AJ8&lt;'[3]Set Up'!$J$15,AJ8*'[3]Set Up'!$N$15,IF(AJ8&lt;'[3]Set Up'!$J$16,(AJ8-'[3]Set Up'!$J$15)*'[3]Set Up'!$N$16+'[3]Set Up'!$O$15,IF(AJ8&lt;'[3]Set Up'!$J$17,(AJ8-'[3]Set Up'!$J$16)*'[3]Set Up'!$N$17+'[3]Set Up'!$O$15+'[3]Set Up'!$O$16,(AJ8-'[3]Set Up'!$J$17)*'[3]Set Up'!$N$18 + SUM('[3]Set Up'!$O$15:'[3]Set Up'!$O$17)))))</f>
        <v>319.19885742949941</v>
      </c>
      <c r="AK13" s="26">
        <f>IF(AK8="","",IF(AK8&lt;'[3]Set Up'!$J$15,AK8*'[3]Set Up'!$N$15,IF(AK8&lt;'[3]Set Up'!$J$16,(AK8-'[3]Set Up'!$J$15)*'[3]Set Up'!$N$16+'[3]Set Up'!$O$15,IF(AK8&lt;'[3]Set Up'!$J$17,(AK8-'[3]Set Up'!$J$16)*'[3]Set Up'!$N$17+'[3]Set Up'!$O$15+'[3]Set Up'!$O$16,(AK8-'[3]Set Up'!$J$17)*'[3]Set Up'!$N$18 + SUM('[3]Set Up'!$O$15:'[3]Set Up'!$O$17)))))</f>
        <v>316.22749927339777</v>
      </c>
      <c r="AL13" s="26">
        <f>IF(AL8="","",IF(AL8&lt;'[3]Set Up'!$J$15,AL8*'[3]Set Up'!$N$15,IF(AL8&lt;'[3]Set Up'!$J$16,(AL8-'[3]Set Up'!$J$15)*'[3]Set Up'!$N$16+'[3]Set Up'!$O$15,IF(AL8&lt;'[3]Set Up'!$J$17,(AL8-'[3]Set Up'!$J$16)*'[3]Set Up'!$N$17+'[3]Set Up'!$O$15+'[3]Set Up'!$O$16,(AL8-'[3]Set Up'!$J$17)*'[3]Set Up'!$N$18 + SUM('[3]Set Up'!$O$15:'[3]Set Up'!$O$17)))))</f>
        <v>313.25614111729607</v>
      </c>
      <c r="AM13" s="26">
        <f>IF(AM8="","",IF(AM8&lt;'[3]Set Up'!$J$15,AM8*'[3]Set Up'!$N$15,IF(AM8&lt;'[3]Set Up'!$J$16,(AM8-'[3]Set Up'!$J$15)*'[3]Set Up'!$N$16+'[3]Set Up'!$O$15,IF(AM8&lt;'[3]Set Up'!$J$17,(AM8-'[3]Set Up'!$J$16)*'[3]Set Up'!$N$17+'[3]Set Up'!$O$15+'[3]Set Up'!$O$16,(AM8-'[3]Set Up'!$J$17)*'[3]Set Up'!$N$18 + SUM('[3]Set Up'!$O$15:'[3]Set Up'!$O$17)))))</f>
        <v>310.28478296119442</v>
      </c>
      <c r="AN13" s="26">
        <f>IF(AN8="","",IF(AN8&lt;'[3]Set Up'!$J$15,AN8*'[3]Set Up'!$N$15,IF(AN8&lt;'[3]Set Up'!$J$16,(AN8-'[3]Set Up'!$J$15)*'[3]Set Up'!$N$16+'[3]Set Up'!$O$15,IF(AN8&lt;'[3]Set Up'!$J$17,(AN8-'[3]Set Up'!$J$16)*'[3]Set Up'!$N$17+'[3]Set Up'!$O$15+'[3]Set Up'!$O$16,(AN8-'[3]Set Up'!$J$17)*'[3]Set Up'!$N$18 + SUM('[3]Set Up'!$O$15:'[3]Set Up'!$O$17)))))</f>
        <v>307.31342480509272</v>
      </c>
      <c r="AO13" s="26">
        <f>IF(AO8="","",IF(AO8&lt;'[3]Set Up'!$J$15,AO8*'[3]Set Up'!$N$15,IF(AO8&lt;'[3]Set Up'!$J$16,(AO8-'[3]Set Up'!$J$15)*'[3]Set Up'!$N$16+'[3]Set Up'!$O$15,IF(AO8&lt;'[3]Set Up'!$J$17,(AO8-'[3]Set Up'!$J$16)*'[3]Set Up'!$N$17+'[3]Set Up'!$O$15+'[3]Set Up'!$O$16,(AO8-'[3]Set Up'!$J$17)*'[3]Set Up'!$N$18 + SUM('[3]Set Up'!$O$15:'[3]Set Up'!$O$17)))))</f>
        <v>304.34206664899108</v>
      </c>
      <c r="AP13" s="26">
        <f>IF(AP8="","",IF(AP8&lt;'[3]Set Up'!$J$15,AP8*'[3]Set Up'!$N$15,IF(AP8&lt;'[3]Set Up'!$J$16,(AP8-'[3]Set Up'!$J$15)*'[3]Set Up'!$N$16+'[3]Set Up'!$O$15,IF(AP8&lt;'[3]Set Up'!$J$17,(AP8-'[3]Set Up'!$J$16)*'[3]Set Up'!$N$17+'[3]Set Up'!$O$15+'[3]Set Up'!$O$16,(AP8-'[3]Set Up'!$J$17)*'[3]Set Up'!$N$18 + SUM('[3]Set Up'!$O$15:'[3]Set Up'!$O$17)))))</f>
        <v>301.37070849288943</v>
      </c>
      <c r="AQ13" s="26">
        <f>IF(AQ8="","",IF(AQ8&lt;'[3]Set Up'!$J$15,AQ8*'[3]Set Up'!$N$15,IF(AQ8&lt;'[3]Set Up'!$J$16,(AQ8-'[3]Set Up'!$J$15)*'[3]Set Up'!$N$16+'[3]Set Up'!$O$15,IF(AQ8&lt;'[3]Set Up'!$J$17,(AQ8-'[3]Set Up'!$J$16)*'[3]Set Up'!$N$17+'[3]Set Up'!$O$15+'[3]Set Up'!$O$16,(AQ8-'[3]Set Up'!$J$17)*'[3]Set Up'!$N$18 + SUM('[3]Set Up'!$O$15:'[3]Set Up'!$O$17)))))</f>
        <v>298.39935033678773</v>
      </c>
      <c r="AR13" s="26">
        <f>IF(AR8="","",IF(AR8&lt;'[3]Set Up'!$J$15,AR8*'[3]Set Up'!$N$15,IF(AR8&lt;'[3]Set Up'!$J$16,(AR8-'[3]Set Up'!$J$15)*'[3]Set Up'!$N$16+'[3]Set Up'!$O$15,IF(AR8&lt;'[3]Set Up'!$J$17,(AR8-'[3]Set Up'!$J$16)*'[3]Set Up'!$N$17+'[3]Set Up'!$O$15+'[3]Set Up'!$O$16,(AR8-'[3]Set Up'!$J$17)*'[3]Set Up'!$N$18 + SUM('[3]Set Up'!$O$15:'[3]Set Up'!$O$17)))))</f>
        <v>295.42799218068609</v>
      </c>
      <c r="AS13" s="26">
        <f>IF(AS8="","",IF(AS8&lt;'[3]Set Up'!$J$15,AS8*'[3]Set Up'!$N$15,IF(AS8&lt;'[3]Set Up'!$J$16,(AS8-'[3]Set Up'!$J$15)*'[3]Set Up'!$N$16+'[3]Set Up'!$O$15,IF(AS8&lt;'[3]Set Up'!$J$17,(AS8-'[3]Set Up'!$J$16)*'[3]Set Up'!$N$17+'[3]Set Up'!$O$15+'[3]Set Up'!$O$16,(AS8-'[3]Set Up'!$J$17)*'[3]Set Up'!$N$18 + SUM('[3]Set Up'!$O$15:'[3]Set Up'!$O$17)))))</f>
        <v>292.45663402458445</v>
      </c>
      <c r="AT13" s="26">
        <f>IF(AT8="","",IF(AT8&lt;'[3]Set Up'!$J$15,AT8*'[3]Set Up'!$N$15,IF(AT8&lt;'[3]Set Up'!$J$16,(AT8-'[3]Set Up'!$J$15)*'[3]Set Up'!$N$16+'[3]Set Up'!$O$15,IF(AT8&lt;'[3]Set Up'!$J$17,(AT8-'[3]Set Up'!$J$16)*'[3]Set Up'!$N$17+'[3]Set Up'!$O$15+'[3]Set Up'!$O$16,(AT8-'[3]Set Up'!$J$17)*'[3]Set Up'!$N$18 + SUM('[3]Set Up'!$O$15:'[3]Set Up'!$O$17)))))</f>
        <v>289.48527586848274</v>
      </c>
      <c r="AU13" s="26">
        <f>IF(AU8="","",IF(AU8&lt;'[3]Set Up'!$J$15,AU8*'[3]Set Up'!$N$15,IF(AU8&lt;'[3]Set Up'!$J$16,(AU8-'[3]Set Up'!$J$15)*'[3]Set Up'!$N$16+'[3]Set Up'!$O$15,IF(AU8&lt;'[3]Set Up'!$J$17,(AU8-'[3]Set Up'!$J$16)*'[3]Set Up'!$N$17+'[3]Set Up'!$O$15+'[3]Set Up'!$O$16,(AU8-'[3]Set Up'!$J$17)*'[3]Set Up'!$N$18 + SUM('[3]Set Up'!$O$15:'[3]Set Up'!$O$17)))))</f>
        <v>286.5139177123811</v>
      </c>
      <c r="AV13" s="26">
        <f>IF(AV8="","",IF(AV8&lt;'[3]Set Up'!$J$15,AV8*'[3]Set Up'!$N$15,IF(AV8&lt;'[3]Set Up'!$J$16,(AV8-'[3]Set Up'!$J$15)*'[3]Set Up'!$N$16+'[3]Set Up'!$O$15,IF(AV8&lt;'[3]Set Up'!$J$17,(AV8-'[3]Set Up'!$J$16)*'[3]Set Up'!$N$17+'[3]Set Up'!$O$15+'[3]Set Up'!$O$16,(AV8-'[3]Set Up'!$J$17)*'[3]Set Up'!$N$18 + SUM('[3]Set Up'!$O$15:'[3]Set Up'!$O$17)))))</f>
        <v>283.5425595562794</v>
      </c>
      <c r="AW13" s="26">
        <f>IF(AW8="","",IF(AW8&lt;'[3]Set Up'!$J$15,AW8*'[3]Set Up'!$N$15,IF(AW8&lt;'[3]Set Up'!$J$16,(AW8-'[3]Set Up'!$J$15)*'[3]Set Up'!$N$16+'[3]Set Up'!$O$15,IF(AW8&lt;'[3]Set Up'!$J$17,(AW8-'[3]Set Up'!$J$16)*'[3]Set Up'!$N$17+'[3]Set Up'!$O$15+'[3]Set Up'!$O$16,(AW8-'[3]Set Up'!$J$17)*'[3]Set Up'!$N$18 + SUM('[3]Set Up'!$O$15:'[3]Set Up'!$O$17)))))</f>
        <v>280.57120140017776</v>
      </c>
      <c r="AX13" s="26">
        <f>IF(AX8="","",IF(AX8&lt;'[3]Set Up'!$J$15,AX8*'[3]Set Up'!$N$15,IF(AX8&lt;'[3]Set Up'!$J$16,(AX8-'[3]Set Up'!$J$15)*'[3]Set Up'!$N$16+'[3]Set Up'!$O$15,IF(AX8&lt;'[3]Set Up'!$J$17,(AX8-'[3]Set Up'!$J$16)*'[3]Set Up'!$N$17+'[3]Set Up'!$O$15+'[3]Set Up'!$O$16,(AX8-'[3]Set Up'!$J$17)*'[3]Set Up'!$N$18 + SUM('[3]Set Up'!$O$15:'[3]Set Up'!$O$17)))))</f>
        <v>277.59984324407606</v>
      </c>
      <c r="AY13" s="26">
        <f>IF(AY8="","",IF(AY8&lt;'[3]Set Up'!$J$15,AY8*'[3]Set Up'!$N$15,IF(AY8&lt;'[3]Set Up'!$J$16,(AY8-'[3]Set Up'!$J$15)*'[3]Set Up'!$N$16+'[3]Set Up'!$O$15,IF(AY8&lt;'[3]Set Up'!$J$17,(AY8-'[3]Set Up'!$J$16)*'[3]Set Up'!$N$17+'[3]Set Up'!$O$15+'[3]Set Up'!$O$16,(AY8-'[3]Set Up'!$J$17)*'[3]Set Up'!$N$18 + SUM('[3]Set Up'!$O$15:'[3]Set Up'!$O$17)))))</f>
        <v>274.62848508797441</v>
      </c>
      <c r="AZ13" s="26">
        <f>IF(AZ8="","",IF(AZ8&lt;'[3]Set Up'!$J$15,AZ8*'[3]Set Up'!$N$15,IF(AZ8&lt;'[3]Set Up'!$J$16,(AZ8-'[3]Set Up'!$J$15)*'[3]Set Up'!$N$16+'[3]Set Up'!$O$15,IF(AZ8&lt;'[3]Set Up'!$J$17,(AZ8-'[3]Set Up'!$J$16)*'[3]Set Up'!$N$17+'[3]Set Up'!$O$15+'[3]Set Up'!$O$16,(AZ8-'[3]Set Up'!$J$17)*'[3]Set Up'!$N$18 + SUM('[3]Set Up'!$O$15:'[3]Set Up'!$O$17)))))</f>
        <v>271.65712693187277</v>
      </c>
      <c r="BA13" s="26">
        <f>IF(BA8="","",IF(BA8&lt;'[3]Set Up'!$J$15,BA8*'[3]Set Up'!$N$15,IF(BA8&lt;'[3]Set Up'!$J$16,(BA8-'[3]Set Up'!$J$15)*'[3]Set Up'!$N$16+'[3]Set Up'!$O$15,IF(BA8&lt;'[3]Set Up'!$J$17,(BA8-'[3]Set Up'!$J$16)*'[3]Set Up'!$N$17+'[3]Set Up'!$O$15+'[3]Set Up'!$O$16,(BA8-'[3]Set Up'!$J$17)*'[3]Set Up'!$N$18 + SUM('[3]Set Up'!$O$15:'[3]Set Up'!$O$17)))))</f>
        <v>268.68576877577107</v>
      </c>
      <c r="BB13" s="26">
        <f>IF(BB8="","",IF(BB8&lt;'[3]Set Up'!$J$15,BB8*'[3]Set Up'!$N$15,IF(BB8&lt;'[3]Set Up'!$J$16,(BB8-'[3]Set Up'!$J$15)*'[3]Set Up'!$N$16+'[3]Set Up'!$O$15,IF(BB8&lt;'[3]Set Up'!$J$17,(BB8-'[3]Set Up'!$J$16)*'[3]Set Up'!$N$17+'[3]Set Up'!$O$15+'[3]Set Up'!$O$16,(BB8-'[3]Set Up'!$J$17)*'[3]Set Up'!$N$18 + SUM('[3]Set Up'!$O$15:'[3]Set Up'!$O$17)))))</f>
        <v>265.71441061966942</v>
      </c>
      <c r="BC13" s="26">
        <f>IF(BC8="","",IF(BC8&lt;'[3]Set Up'!$J$15,BC8*'[3]Set Up'!$N$15,IF(BC8&lt;'[3]Set Up'!$J$16,(BC8-'[3]Set Up'!$J$15)*'[3]Set Up'!$N$16+'[3]Set Up'!$O$15,IF(BC8&lt;'[3]Set Up'!$J$17,(BC8-'[3]Set Up'!$J$16)*'[3]Set Up'!$N$17+'[3]Set Up'!$O$15+'[3]Set Up'!$O$16,(BC8-'[3]Set Up'!$J$17)*'[3]Set Up'!$N$18 + SUM('[3]Set Up'!$O$15:'[3]Set Up'!$O$17)))))</f>
        <v>262.74305246356772</v>
      </c>
      <c r="BD13" s="26">
        <f>IF(BD8="","",IF(BD8&lt;'[3]Set Up'!$J$15,BD8*'[3]Set Up'!$N$15,IF(BD8&lt;'[3]Set Up'!$J$16,(BD8-'[3]Set Up'!$J$15)*'[3]Set Up'!$N$16+'[3]Set Up'!$O$15,IF(BD8&lt;'[3]Set Up'!$J$17,(BD8-'[3]Set Up'!$J$16)*'[3]Set Up'!$N$17+'[3]Set Up'!$O$15+'[3]Set Up'!$O$16,(BD8-'[3]Set Up'!$J$17)*'[3]Set Up'!$N$18 + SUM('[3]Set Up'!$O$15:'[3]Set Up'!$O$17)))))</f>
        <v>0</v>
      </c>
      <c r="BE13" s="26">
        <f>IF(BE8="","",IF(BE8&lt;'[3]Set Up'!$J$15,BE8*'[3]Set Up'!$N$15,IF(BE8&lt;'[3]Set Up'!$J$16,(BE8-'[3]Set Up'!$J$15)*'[3]Set Up'!$N$16+'[3]Set Up'!$O$15,IF(BE8&lt;'[3]Set Up'!$J$17,(BE8-'[3]Set Up'!$J$16)*'[3]Set Up'!$N$17+'[3]Set Up'!$O$15+'[3]Set Up'!$O$16,(BE8-'[3]Set Up'!$J$17)*'[3]Set Up'!$N$18 + SUM('[3]Set Up'!$O$15:'[3]Set Up'!$O$17)))))</f>
        <v>0</v>
      </c>
      <c r="BF13" s="26">
        <f>IF(BF8="","",IF(BF8&lt;'[3]Set Up'!$J$15,BF8*'[3]Set Up'!$N$15,IF(BF8&lt;'[3]Set Up'!$J$16,(BF8-'[3]Set Up'!$J$15)*'[3]Set Up'!$N$16+'[3]Set Up'!$O$15,IF(BF8&lt;'[3]Set Up'!$J$17,(BF8-'[3]Set Up'!$J$16)*'[3]Set Up'!$N$17+'[3]Set Up'!$O$15+'[3]Set Up'!$O$16,(BF8-'[3]Set Up'!$J$17)*'[3]Set Up'!$N$18 + SUM('[3]Set Up'!$O$15:'[3]Set Up'!$O$17)))))</f>
        <v>0</v>
      </c>
      <c r="BG13" s="26">
        <f>IF(BG8="","",IF(BG8&lt;'[3]Set Up'!$J$15,BG8*'[3]Set Up'!$N$15,IF(BG8&lt;'[3]Set Up'!$J$16,(BG8-'[3]Set Up'!$J$15)*'[3]Set Up'!$N$16+'[3]Set Up'!$O$15,IF(BG8&lt;'[3]Set Up'!$J$17,(BG8-'[3]Set Up'!$J$16)*'[3]Set Up'!$N$17+'[3]Set Up'!$O$15+'[3]Set Up'!$O$16,(BG8-'[3]Set Up'!$J$17)*'[3]Set Up'!$N$18 + SUM('[3]Set Up'!$O$15:'[3]Set Up'!$O$17)))))</f>
        <v>0</v>
      </c>
      <c r="BH13" s="26">
        <f>IF(BH8="","",IF(BH8&lt;'[3]Set Up'!$J$15,BH8*'[3]Set Up'!$N$15,IF(BH8&lt;'[3]Set Up'!$J$16,(BH8-'[3]Set Up'!$J$15)*'[3]Set Up'!$N$16+'[3]Set Up'!$O$15,IF(BH8&lt;'[3]Set Up'!$J$17,(BH8-'[3]Set Up'!$J$16)*'[3]Set Up'!$N$17+'[3]Set Up'!$O$15+'[3]Set Up'!$O$16,(BH8-'[3]Set Up'!$J$17)*'[3]Set Up'!$N$18 + SUM('[3]Set Up'!$O$15:'[3]Set Up'!$O$17)))))</f>
        <v>0</v>
      </c>
      <c r="BI13" s="26">
        <f>IF(BI8="","",IF(BI8&lt;'[3]Set Up'!$J$15,BI8*'[3]Set Up'!$N$15,IF(BI8&lt;'[3]Set Up'!$J$16,(BI8-'[3]Set Up'!$J$15)*'[3]Set Up'!$N$16+'[3]Set Up'!$O$15,IF(BI8&lt;'[3]Set Up'!$J$17,(BI8-'[3]Set Up'!$J$16)*'[3]Set Up'!$N$17+'[3]Set Up'!$O$15+'[3]Set Up'!$O$16,(BI8-'[3]Set Up'!$J$17)*'[3]Set Up'!$N$18 + SUM('[3]Set Up'!$O$15:'[3]Set Up'!$O$17)))))</f>
        <v>0</v>
      </c>
      <c r="BJ13" s="26">
        <f>IF(BJ8="","",IF(BJ8&lt;'[3]Set Up'!$J$15,BJ8*'[3]Set Up'!$N$15,IF(BJ8&lt;'[3]Set Up'!$J$16,(BJ8-'[3]Set Up'!$J$15)*'[3]Set Up'!$N$16+'[3]Set Up'!$O$15,IF(BJ8&lt;'[3]Set Up'!$J$17,(BJ8-'[3]Set Up'!$J$16)*'[3]Set Up'!$N$17+'[3]Set Up'!$O$15+'[3]Set Up'!$O$16,(BJ8-'[3]Set Up'!$J$17)*'[3]Set Up'!$N$18 + SUM('[3]Set Up'!$O$15:'[3]Set Up'!$O$17)))))</f>
        <v>0</v>
      </c>
      <c r="BK13" s="26">
        <f>IF(BK8="","",IF(BK8&lt;'[3]Set Up'!$J$15,BK8*'[3]Set Up'!$N$15,IF(BK8&lt;'[3]Set Up'!$J$16,(BK8-'[3]Set Up'!$J$15)*'[3]Set Up'!$N$16+'[3]Set Up'!$O$15,IF(BK8&lt;'[3]Set Up'!$J$17,(BK8-'[3]Set Up'!$J$16)*'[3]Set Up'!$N$17+'[3]Set Up'!$O$15+'[3]Set Up'!$O$16,(BK8-'[3]Set Up'!$J$17)*'[3]Set Up'!$N$18 + SUM('[3]Set Up'!$O$15:'[3]Set Up'!$O$17)))))</f>
        <v>0</v>
      </c>
      <c r="BL13" s="26">
        <f>IF(BL8="","",IF(BL8&lt;'[3]Set Up'!$J$15,BL8*'[3]Set Up'!$N$15,IF(BL8&lt;'[3]Set Up'!$J$16,(BL8-'[3]Set Up'!$J$15)*'[3]Set Up'!$N$16+'[3]Set Up'!$O$15,IF(BL8&lt;'[3]Set Up'!$J$17,(BL8-'[3]Set Up'!$J$16)*'[3]Set Up'!$N$17+'[3]Set Up'!$O$15+'[3]Set Up'!$O$16,(BL8-'[3]Set Up'!$J$17)*'[3]Set Up'!$N$18 + SUM('[3]Set Up'!$O$15:'[3]Set Up'!$O$17)))))</f>
        <v>0</v>
      </c>
      <c r="BM13" s="26">
        <f>IF(BM8="","",IF(BM8&lt;'[3]Set Up'!$J$15,BM8*'[3]Set Up'!$N$15,IF(BM8&lt;'[3]Set Up'!$J$16,(BM8-'[3]Set Up'!$J$15)*'[3]Set Up'!$N$16+'[3]Set Up'!$O$15,IF(BM8&lt;'[3]Set Up'!$J$17,(BM8-'[3]Set Up'!$J$16)*'[3]Set Up'!$N$17+'[3]Set Up'!$O$15+'[3]Set Up'!$O$16,(BM8-'[3]Set Up'!$J$17)*'[3]Set Up'!$N$18 + SUM('[3]Set Up'!$O$15:'[3]Set Up'!$O$17)))))</f>
        <v>0</v>
      </c>
      <c r="BN13" s="26">
        <f>IF(BN8="","",IF(BN8&lt;'[3]Set Up'!$J$15,BN8*'[3]Set Up'!$N$15,IF(BN8&lt;'[3]Set Up'!$J$16,(BN8-'[3]Set Up'!$J$15)*'[3]Set Up'!$N$16+'[3]Set Up'!$O$15,IF(BN8&lt;'[3]Set Up'!$J$17,(BN8-'[3]Set Up'!$J$16)*'[3]Set Up'!$N$17+'[3]Set Up'!$O$15+'[3]Set Up'!$O$16,(BN8-'[3]Set Up'!$J$17)*'[3]Set Up'!$N$18 + SUM('[3]Set Up'!$O$15:'[3]Set Up'!$O$17)))))</f>
        <v>0</v>
      </c>
      <c r="BO13" s="26">
        <f>IF(BO8="","",IF(BO8&lt;'[3]Set Up'!$J$15,BO8*'[3]Set Up'!$N$15,IF(BO8&lt;'[3]Set Up'!$J$16,(BO8-'[3]Set Up'!$J$15)*'[3]Set Up'!$N$16+'[3]Set Up'!$O$15,IF(BO8&lt;'[3]Set Up'!$J$17,(BO8-'[3]Set Up'!$J$16)*'[3]Set Up'!$N$17+'[3]Set Up'!$O$15+'[3]Set Up'!$O$16,(BO8-'[3]Set Up'!$J$17)*'[3]Set Up'!$N$18 + SUM('[3]Set Up'!$O$15:'[3]Set Up'!$O$17)))))</f>
        <v>0</v>
      </c>
      <c r="BP13" s="26">
        <f>IF(BP8="","",IF(BP8&lt;'[3]Set Up'!$J$15,BP8*'[3]Set Up'!$N$15,IF(BP8&lt;'[3]Set Up'!$J$16,(BP8-'[3]Set Up'!$J$15)*'[3]Set Up'!$N$16+'[3]Set Up'!$O$15,IF(BP8&lt;'[3]Set Up'!$J$17,(BP8-'[3]Set Up'!$J$16)*'[3]Set Up'!$N$17+'[3]Set Up'!$O$15+'[3]Set Up'!$O$16,(BP8-'[3]Set Up'!$J$17)*'[3]Set Up'!$N$18 + SUM('[3]Set Up'!$O$15:'[3]Set Up'!$O$17)))))</f>
        <v>0</v>
      </c>
      <c r="BQ13" s="26">
        <f>IF(BQ8="","",IF(BQ8&lt;'[3]Set Up'!$J$15,BQ8*'[3]Set Up'!$N$15,IF(BQ8&lt;'[3]Set Up'!$J$16,(BQ8-'[3]Set Up'!$J$15)*'[3]Set Up'!$N$16+'[3]Set Up'!$O$15,IF(BQ8&lt;'[3]Set Up'!$J$17,(BQ8-'[3]Set Up'!$J$16)*'[3]Set Up'!$N$17+'[3]Set Up'!$O$15+'[3]Set Up'!$O$16,(BQ8-'[3]Set Up'!$J$17)*'[3]Set Up'!$N$18 + SUM('[3]Set Up'!$O$15:'[3]Set Up'!$O$17)))))</f>
        <v>0</v>
      </c>
      <c r="BR13" s="26">
        <f>IF(BR8="","",IF(BR8&lt;'[3]Set Up'!$J$15,BR8*'[3]Set Up'!$N$15,IF(BR8&lt;'[3]Set Up'!$J$16,(BR8-'[3]Set Up'!$J$15)*'[3]Set Up'!$N$16+'[3]Set Up'!$O$15,IF(BR8&lt;'[3]Set Up'!$J$17,(BR8-'[3]Set Up'!$J$16)*'[3]Set Up'!$N$17+'[3]Set Up'!$O$15+'[3]Set Up'!$O$16,(BR8-'[3]Set Up'!$J$17)*'[3]Set Up'!$N$18 + SUM('[3]Set Up'!$O$15:'[3]Set Up'!$O$17)))))</f>
        <v>0</v>
      </c>
      <c r="BS13" s="26">
        <f>IF(BS8="","",IF(BS8&lt;'[3]Set Up'!$J$15,BS8*'[3]Set Up'!$N$15,IF(BS8&lt;'[3]Set Up'!$J$16,(BS8-'[3]Set Up'!$J$15)*'[3]Set Up'!$N$16+'[3]Set Up'!$O$15,IF(BS8&lt;'[3]Set Up'!$J$17,(BS8-'[3]Set Up'!$J$16)*'[3]Set Up'!$N$17+'[3]Set Up'!$O$15+'[3]Set Up'!$O$16,(BS8-'[3]Set Up'!$J$17)*'[3]Set Up'!$N$18 + SUM('[3]Set Up'!$O$15:'[3]Set Up'!$O$17)))))</f>
        <v>0</v>
      </c>
      <c r="BT13" s="26">
        <f>IF(BT8="","",IF(BT8&lt;'[3]Set Up'!$J$15,BT8*'[3]Set Up'!$N$15,IF(BT8&lt;'[3]Set Up'!$J$16,(BT8-'[3]Set Up'!$J$15)*'[3]Set Up'!$N$16+'[3]Set Up'!$O$15,IF(BT8&lt;'[3]Set Up'!$J$17,(BT8-'[3]Set Up'!$J$16)*'[3]Set Up'!$N$17+'[3]Set Up'!$O$15+'[3]Set Up'!$O$16,(BT8-'[3]Set Up'!$J$17)*'[3]Set Up'!$N$18 + SUM('[3]Set Up'!$O$15:'[3]Set Up'!$O$17)))))</f>
        <v>0</v>
      </c>
      <c r="BU13" s="26">
        <f>IF(BU8="","",IF(BU8&lt;'[3]Set Up'!$J$15,BU8*'[3]Set Up'!$N$15,IF(BU8&lt;'[3]Set Up'!$J$16,(BU8-'[3]Set Up'!$J$15)*'[3]Set Up'!$N$16+'[3]Set Up'!$O$15,IF(BU8&lt;'[3]Set Up'!$J$17,(BU8-'[3]Set Up'!$J$16)*'[3]Set Up'!$N$17+'[3]Set Up'!$O$15+'[3]Set Up'!$O$16,(BU8-'[3]Set Up'!$J$17)*'[3]Set Up'!$N$18 + SUM('[3]Set Up'!$O$15:'[3]Set Up'!$O$17)))))</f>
        <v>0</v>
      </c>
      <c r="BV13" s="26">
        <f>IF(BV8="","",IF(BV8&lt;'[3]Set Up'!$J$15,BV8*'[3]Set Up'!$N$15,IF(BV8&lt;'[3]Set Up'!$J$16,(BV8-'[3]Set Up'!$J$15)*'[3]Set Up'!$N$16+'[3]Set Up'!$O$15,IF(BV8&lt;'[3]Set Up'!$J$17,(BV8-'[3]Set Up'!$J$16)*'[3]Set Up'!$N$17+'[3]Set Up'!$O$15+'[3]Set Up'!$O$16,(BV8-'[3]Set Up'!$J$17)*'[3]Set Up'!$N$18 + SUM('[3]Set Up'!$O$15:'[3]Set Up'!$O$17)))))</f>
        <v>0</v>
      </c>
      <c r="BW13" s="26">
        <f>IF(BW8="","",IF(BW8&lt;'[3]Set Up'!$J$15,BW8*'[3]Set Up'!$N$15,IF(BW8&lt;'[3]Set Up'!$J$16,(BW8-'[3]Set Up'!$J$15)*'[3]Set Up'!$N$16+'[3]Set Up'!$O$15,IF(BW8&lt;'[3]Set Up'!$J$17,(BW8-'[3]Set Up'!$J$16)*'[3]Set Up'!$N$17+'[3]Set Up'!$O$15+'[3]Set Up'!$O$16,(BW8-'[3]Set Up'!$J$17)*'[3]Set Up'!$N$18 + SUM('[3]Set Up'!$O$15:'[3]Set Up'!$O$17)))))</f>
        <v>0</v>
      </c>
      <c r="BX13" s="26">
        <f>IF(BX8="","",IF(BX8&lt;'[3]Set Up'!$J$15,BX8*'[3]Set Up'!$N$15,IF(BX8&lt;'[3]Set Up'!$J$16,(BX8-'[3]Set Up'!$J$15)*'[3]Set Up'!$N$16+'[3]Set Up'!$O$15,IF(BX8&lt;'[3]Set Up'!$J$17,(BX8-'[3]Set Up'!$J$16)*'[3]Set Up'!$N$17+'[3]Set Up'!$O$15+'[3]Set Up'!$O$16,(BX8-'[3]Set Up'!$J$17)*'[3]Set Up'!$N$18 + SUM('[3]Set Up'!$O$15:'[3]Set Up'!$O$17)))))</f>
        <v>0</v>
      </c>
      <c r="BY13" s="26">
        <f>IF(BY8="","",IF(BY8&lt;'[3]Set Up'!$J$15,BY8*'[3]Set Up'!$N$15,IF(BY8&lt;'[3]Set Up'!$J$16,(BY8-'[3]Set Up'!$J$15)*'[3]Set Up'!$N$16+'[3]Set Up'!$O$15,IF(BY8&lt;'[3]Set Up'!$J$17,(BY8-'[3]Set Up'!$J$16)*'[3]Set Up'!$N$17+'[3]Set Up'!$O$15+'[3]Set Up'!$O$16,(BY8-'[3]Set Up'!$J$17)*'[3]Set Up'!$N$18 + SUM('[3]Set Up'!$O$15:'[3]Set Up'!$O$17)))))</f>
        <v>0</v>
      </c>
      <c r="BZ13" s="8"/>
    </row>
    <row r="14" spans="1:78" x14ac:dyDescent="0.35">
      <c r="A14" s="27" t="s">
        <v>21</v>
      </c>
      <c r="B14" s="195"/>
      <c r="C14" s="28">
        <f>IF(C9="","",IF(C9&lt;'[3]Set Up'!$J$15,C9*'[3]Set Up'!$N$15,IF(C9&lt;'[3]Set Up'!$J$16,(C9-'[3]Set Up'!$J$15)*'[3]Set Up'!$N$16+'[3]Set Up'!$O$15,IF(C9&lt;'[3]Set Up'!$J$17,(C9-'[3]Set Up'!$J$16)*'[3]Set Up'!$N$17+'[3]Set Up'!$O$15+'[3]Set Up'!$O$16,(C9-'[3]Set Up'!$J$17)*'[3]Set Up'!$N$18 + SUM('[3]Set Up'!$O$15:'[3]Set Up'!$O$17)))))</f>
        <v>419.64270826415225</v>
      </c>
      <c r="D14" s="28">
        <f>IF(D9="","",IF(D9&lt;'[3]Set Up'!$J$15,D9*'[3]Set Up'!$N$15,IF(D9&lt;'[3]Set Up'!$J$16,(D9-'[3]Set Up'!$J$15)*'[3]Set Up'!$N$16+'[3]Set Up'!$O$15,IF(D9&lt;'[3]Set Up'!$J$17,(D9-'[3]Set Up'!$J$16)*'[3]Set Up'!$N$17+'[3]Set Up'!$O$15+'[3]Set Up'!$O$16,(D9-'[3]Set Up'!$J$17)*'[3]Set Up'!$N$18 + SUM('[3]Set Up'!$O$15:'[3]Set Up'!$O$17)))))</f>
        <v>416.6713501080506</v>
      </c>
      <c r="E14" s="28">
        <f>IF(E9="","",IF(E9&lt;'[3]Set Up'!$J$15,E9*'[3]Set Up'!$N$15,IF(E9&lt;'[3]Set Up'!$J$16,(E9-'[3]Set Up'!$J$15)*'[3]Set Up'!$N$16+'[3]Set Up'!$O$15,IF(E9&lt;'[3]Set Up'!$J$17,(E9-'[3]Set Up'!$J$16)*'[3]Set Up'!$N$17+'[3]Set Up'!$O$15+'[3]Set Up'!$O$16,(E9-'[3]Set Up'!$J$17)*'[3]Set Up'!$N$18 + SUM('[3]Set Up'!$O$15:'[3]Set Up'!$O$17)))))</f>
        <v>413.69999195194896</v>
      </c>
      <c r="F14" s="28">
        <f>IF(F9="","",IF(F9&lt;'[3]Set Up'!$J$15,F9*'[3]Set Up'!$N$15,IF(F9&lt;'[3]Set Up'!$J$16,(F9-'[3]Set Up'!$J$15)*'[3]Set Up'!$N$16+'[3]Set Up'!$O$15,IF(F9&lt;'[3]Set Up'!$J$17,(F9-'[3]Set Up'!$J$16)*'[3]Set Up'!$N$17+'[3]Set Up'!$O$15+'[3]Set Up'!$O$16,(F9-'[3]Set Up'!$J$17)*'[3]Set Up'!$N$18 + SUM('[3]Set Up'!$O$15:'[3]Set Up'!$O$17)))))</f>
        <v>410.72863379584726</v>
      </c>
      <c r="G14" s="28">
        <f>IF(G9="","",IF(G9&lt;'[3]Set Up'!$J$15,G9*'[3]Set Up'!$N$15,IF(G9&lt;'[3]Set Up'!$J$16,(G9-'[3]Set Up'!$J$15)*'[3]Set Up'!$N$16+'[3]Set Up'!$O$15,IF(G9&lt;'[3]Set Up'!$J$17,(G9-'[3]Set Up'!$J$16)*'[3]Set Up'!$N$17+'[3]Set Up'!$O$15+'[3]Set Up'!$O$16,(G9-'[3]Set Up'!$J$17)*'[3]Set Up'!$N$18 + SUM('[3]Set Up'!$O$15:'[3]Set Up'!$O$17)))))</f>
        <v>407.75727563974561</v>
      </c>
      <c r="H14" s="28">
        <f>IF(H9="","",IF(H9&lt;'[3]Set Up'!$J$15,H9*'[3]Set Up'!$N$15,IF(H9&lt;'[3]Set Up'!$J$16,(H9-'[3]Set Up'!$J$15)*'[3]Set Up'!$N$16+'[3]Set Up'!$O$15,IF(H9&lt;'[3]Set Up'!$J$17,(H9-'[3]Set Up'!$J$16)*'[3]Set Up'!$N$17+'[3]Set Up'!$O$15+'[3]Set Up'!$O$16,(H9-'[3]Set Up'!$J$17)*'[3]Set Up'!$N$18 + SUM('[3]Set Up'!$O$15:'[3]Set Up'!$O$17)))))</f>
        <v>404.78591748364397</v>
      </c>
      <c r="I14" s="28">
        <f>IF(I9="","",IF(I9&lt;'[3]Set Up'!$J$15,I9*'[3]Set Up'!$N$15,IF(I9&lt;'[3]Set Up'!$J$16,(I9-'[3]Set Up'!$J$15)*'[3]Set Up'!$N$16+'[3]Set Up'!$O$15,IF(I9&lt;'[3]Set Up'!$J$17,(I9-'[3]Set Up'!$J$16)*'[3]Set Up'!$N$17+'[3]Set Up'!$O$15+'[3]Set Up'!$O$16,(I9-'[3]Set Up'!$J$17)*'[3]Set Up'!$N$18 + SUM('[3]Set Up'!$O$15:'[3]Set Up'!$O$17)))))</f>
        <v>401.81455932754227</v>
      </c>
      <c r="J14" s="28">
        <f>IF(J9="","",IF(J9&lt;'[3]Set Up'!$J$15,J9*'[3]Set Up'!$N$15,IF(J9&lt;'[3]Set Up'!$J$16,(J9-'[3]Set Up'!$J$15)*'[3]Set Up'!$N$16+'[3]Set Up'!$O$15,IF(J9&lt;'[3]Set Up'!$J$17,(J9-'[3]Set Up'!$J$16)*'[3]Set Up'!$N$17+'[3]Set Up'!$O$15+'[3]Set Up'!$O$16,(J9-'[3]Set Up'!$J$17)*'[3]Set Up'!$N$18 + SUM('[3]Set Up'!$O$15:'[3]Set Up'!$O$17)))))</f>
        <v>398.84320117144057</v>
      </c>
      <c r="K14" s="28">
        <f>IF(K9="","",IF(K9&lt;'[3]Set Up'!$J$15,K9*'[3]Set Up'!$N$15,IF(K9&lt;'[3]Set Up'!$J$16,(K9-'[3]Set Up'!$J$15)*'[3]Set Up'!$N$16+'[3]Set Up'!$O$15,IF(K9&lt;'[3]Set Up'!$J$17,(K9-'[3]Set Up'!$J$16)*'[3]Set Up'!$N$17+'[3]Set Up'!$O$15+'[3]Set Up'!$O$16,(K9-'[3]Set Up'!$J$17)*'[3]Set Up'!$N$18 + SUM('[3]Set Up'!$O$15:'[3]Set Up'!$O$17)))))</f>
        <v>395.87184301533892</v>
      </c>
      <c r="L14" s="28">
        <f>IF(L9="","",IF(L9&lt;'[3]Set Up'!$J$15,L9*'[3]Set Up'!$N$15,IF(L9&lt;'[3]Set Up'!$J$16,(L9-'[3]Set Up'!$J$15)*'[3]Set Up'!$N$16+'[3]Set Up'!$O$15,IF(L9&lt;'[3]Set Up'!$J$17,(L9-'[3]Set Up'!$J$16)*'[3]Set Up'!$N$17+'[3]Set Up'!$O$15+'[3]Set Up'!$O$16,(L9-'[3]Set Up'!$J$17)*'[3]Set Up'!$N$18 + SUM('[3]Set Up'!$O$15:'[3]Set Up'!$O$17)))))</f>
        <v>392.90048485923728</v>
      </c>
      <c r="M14" s="28">
        <f>IF(M9="","",IF(M9&lt;'[3]Set Up'!$J$15,M9*'[3]Set Up'!$N$15,IF(M9&lt;'[3]Set Up'!$J$16,(M9-'[3]Set Up'!$J$15)*'[3]Set Up'!$N$16+'[3]Set Up'!$O$15,IF(M9&lt;'[3]Set Up'!$J$17,(M9-'[3]Set Up'!$J$16)*'[3]Set Up'!$N$17+'[3]Set Up'!$O$15+'[3]Set Up'!$O$16,(M9-'[3]Set Up'!$J$17)*'[3]Set Up'!$N$18 + SUM('[3]Set Up'!$O$15:'[3]Set Up'!$O$17)))))</f>
        <v>389.92912670313558</v>
      </c>
      <c r="N14" s="28">
        <f>IF(N9="","",IF(N9&lt;'[3]Set Up'!$J$15,N9*'[3]Set Up'!$N$15,IF(N9&lt;'[3]Set Up'!$J$16,(N9-'[3]Set Up'!$J$15)*'[3]Set Up'!$N$16+'[3]Set Up'!$O$15,IF(N9&lt;'[3]Set Up'!$J$17,(N9-'[3]Set Up'!$J$16)*'[3]Set Up'!$N$17+'[3]Set Up'!$O$15+'[3]Set Up'!$O$16,(N9-'[3]Set Up'!$J$17)*'[3]Set Up'!$N$18 + SUM('[3]Set Up'!$O$15:'[3]Set Up'!$O$17)))))</f>
        <v>386.95776854703394</v>
      </c>
      <c r="O14" s="28">
        <f>IF(O9="","",IF(O9&lt;'[3]Set Up'!$J$15,O9*'[3]Set Up'!$N$15,IF(O9&lt;'[3]Set Up'!$J$16,(O9-'[3]Set Up'!$J$15)*'[3]Set Up'!$N$16+'[3]Set Up'!$O$15,IF(O9&lt;'[3]Set Up'!$J$17,(O9-'[3]Set Up'!$J$16)*'[3]Set Up'!$N$17+'[3]Set Up'!$O$15+'[3]Set Up'!$O$16,(O9-'[3]Set Up'!$J$17)*'[3]Set Up'!$N$18 + SUM('[3]Set Up'!$O$15:'[3]Set Up'!$O$17)))))</f>
        <v>383.98641039093229</v>
      </c>
      <c r="P14" s="28">
        <f>IF(P9="","",IF(P9&lt;'[3]Set Up'!$J$15,P9*'[3]Set Up'!$N$15,IF(P9&lt;'[3]Set Up'!$J$16,(P9-'[3]Set Up'!$J$15)*'[3]Set Up'!$N$16+'[3]Set Up'!$O$15,IF(P9&lt;'[3]Set Up'!$J$17,(P9-'[3]Set Up'!$J$16)*'[3]Set Up'!$N$17+'[3]Set Up'!$O$15+'[3]Set Up'!$O$16,(P9-'[3]Set Up'!$J$17)*'[3]Set Up'!$N$18 + SUM('[3]Set Up'!$O$15:'[3]Set Up'!$O$17)))))</f>
        <v>381.01505223483059</v>
      </c>
      <c r="Q14" s="28">
        <f>IF(Q9="","",IF(Q9&lt;'[3]Set Up'!$J$15,Q9*'[3]Set Up'!$N$15,IF(Q9&lt;'[3]Set Up'!$J$16,(Q9-'[3]Set Up'!$J$15)*'[3]Set Up'!$N$16+'[3]Set Up'!$O$15,IF(Q9&lt;'[3]Set Up'!$J$17,(Q9-'[3]Set Up'!$J$16)*'[3]Set Up'!$N$17+'[3]Set Up'!$O$15+'[3]Set Up'!$O$16,(Q9-'[3]Set Up'!$J$17)*'[3]Set Up'!$N$18 + SUM('[3]Set Up'!$O$15:'[3]Set Up'!$O$17)))))</f>
        <v>378.04369407872895</v>
      </c>
      <c r="R14" s="28">
        <f>IF(R9="","",IF(R9&lt;'[3]Set Up'!$J$15,R9*'[3]Set Up'!$N$15,IF(R9&lt;'[3]Set Up'!$J$16,(R9-'[3]Set Up'!$J$15)*'[3]Set Up'!$N$16+'[3]Set Up'!$O$15,IF(R9&lt;'[3]Set Up'!$J$17,(R9-'[3]Set Up'!$J$16)*'[3]Set Up'!$N$17+'[3]Set Up'!$O$15+'[3]Set Up'!$O$16,(R9-'[3]Set Up'!$J$17)*'[3]Set Up'!$N$18 + SUM('[3]Set Up'!$O$15:'[3]Set Up'!$O$17)))))</f>
        <v>375.07233592262725</v>
      </c>
      <c r="S14" s="28">
        <f>IF(S9="","",IF(S9&lt;'[3]Set Up'!$J$15,S9*'[3]Set Up'!$N$15,IF(S9&lt;'[3]Set Up'!$J$16,(S9-'[3]Set Up'!$J$15)*'[3]Set Up'!$N$16+'[3]Set Up'!$O$15,IF(S9&lt;'[3]Set Up'!$J$17,(S9-'[3]Set Up'!$J$16)*'[3]Set Up'!$N$17+'[3]Set Up'!$O$15+'[3]Set Up'!$O$16,(S9-'[3]Set Up'!$J$17)*'[3]Set Up'!$N$18 + SUM('[3]Set Up'!$O$15:'[3]Set Up'!$O$17)))))</f>
        <v>372.1009777665256</v>
      </c>
      <c r="T14" s="28">
        <f>IF(T9="","",IF(T9&lt;'[3]Set Up'!$J$15,T9*'[3]Set Up'!$N$15,IF(T9&lt;'[3]Set Up'!$J$16,(T9-'[3]Set Up'!$J$15)*'[3]Set Up'!$N$16+'[3]Set Up'!$O$15,IF(T9&lt;'[3]Set Up'!$J$17,(T9-'[3]Set Up'!$J$16)*'[3]Set Up'!$N$17+'[3]Set Up'!$O$15+'[3]Set Up'!$O$16,(T9-'[3]Set Up'!$J$17)*'[3]Set Up'!$N$18 + SUM('[3]Set Up'!$O$15:'[3]Set Up'!$O$17)))))</f>
        <v>369.1296196104239</v>
      </c>
      <c r="U14" s="28">
        <f>IF(U9="","",IF(U9&lt;'[3]Set Up'!$J$15,U9*'[3]Set Up'!$N$15,IF(U9&lt;'[3]Set Up'!$J$16,(U9-'[3]Set Up'!$J$15)*'[3]Set Up'!$N$16+'[3]Set Up'!$O$15,IF(U9&lt;'[3]Set Up'!$J$17,(U9-'[3]Set Up'!$J$16)*'[3]Set Up'!$N$17+'[3]Set Up'!$O$15+'[3]Set Up'!$O$16,(U9-'[3]Set Up'!$J$17)*'[3]Set Up'!$N$18 + SUM('[3]Set Up'!$O$15:'[3]Set Up'!$O$17)))))</f>
        <v>366.15826145432226</v>
      </c>
      <c r="V14" s="28">
        <f>IF(V9="","",IF(V9&lt;'[3]Set Up'!$J$15,V9*'[3]Set Up'!$N$15,IF(V9&lt;'[3]Set Up'!$J$16,(V9-'[3]Set Up'!$J$15)*'[3]Set Up'!$N$16+'[3]Set Up'!$O$15,IF(V9&lt;'[3]Set Up'!$J$17,(V9-'[3]Set Up'!$J$16)*'[3]Set Up'!$N$17+'[3]Set Up'!$O$15+'[3]Set Up'!$O$16,(V9-'[3]Set Up'!$J$17)*'[3]Set Up'!$N$18 + SUM('[3]Set Up'!$O$15:'[3]Set Up'!$O$17)))))</f>
        <v>363.18690329822061</v>
      </c>
      <c r="W14" s="28">
        <f>IF(W9="","",IF(W9&lt;'[3]Set Up'!$J$15,W9*'[3]Set Up'!$N$15,IF(W9&lt;'[3]Set Up'!$J$16,(W9-'[3]Set Up'!$J$15)*'[3]Set Up'!$N$16+'[3]Set Up'!$O$15,IF(W9&lt;'[3]Set Up'!$J$17,(W9-'[3]Set Up'!$J$16)*'[3]Set Up'!$N$17+'[3]Set Up'!$O$15+'[3]Set Up'!$O$16,(W9-'[3]Set Up'!$J$17)*'[3]Set Up'!$N$18 + SUM('[3]Set Up'!$O$15:'[3]Set Up'!$O$17)))))</f>
        <v>360.21554514211891</v>
      </c>
      <c r="X14" s="28">
        <f>IF(X9="","",IF(X9&lt;'[3]Set Up'!$J$15,X9*'[3]Set Up'!$N$15,IF(X9&lt;'[3]Set Up'!$J$16,(X9-'[3]Set Up'!$J$15)*'[3]Set Up'!$N$16+'[3]Set Up'!$O$15,IF(X9&lt;'[3]Set Up'!$J$17,(X9-'[3]Set Up'!$J$16)*'[3]Set Up'!$N$17+'[3]Set Up'!$O$15+'[3]Set Up'!$O$16,(X9-'[3]Set Up'!$J$17)*'[3]Set Up'!$N$18 + SUM('[3]Set Up'!$O$15:'[3]Set Up'!$O$17)))))</f>
        <v>357.24418698601727</v>
      </c>
      <c r="Y14" s="28">
        <f>IF(Y9="","",IF(Y9&lt;'[3]Set Up'!$J$15,Y9*'[3]Set Up'!$N$15,IF(Y9&lt;'[3]Set Up'!$J$16,(Y9-'[3]Set Up'!$J$15)*'[3]Set Up'!$N$16+'[3]Set Up'!$O$15,IF(Y9&lt;'[3]Set Up'!$J$17,(Y9-'[3]Set Up'!$J$16)*'[3]Set Up'!$N$17+'[3]Set Up'!$O$15+'[3]Set Up'!$O$16,(Y9-'[3]Set Up'!$J$17)*'[3]Set Up'!$N$18 + SUM('[3]Set Up'!$O$15:'[3]Set Up'!$O$17)))))</f>
        <v>354.27282882991557</v>
      </c>
      <c r="Z14" s="28">
        <f>IF(Z9="","",IF(Z9&lt;'[3]Set Up'!$J$15,Z9*'[3]Set Up'!$N$15,IF(Z9&lt;'[3]Set Up'!$J$16,(Z9-'[3]Set Up'!$J$15)*'[3]Set Up'!$N$16+'[3]Set Up'!$O$15,IF(Z9&lt;'[3]Set Up'!$J$17,(Z9-'[3]Set Up'!$J$16)*'[3]Set Up'!$N$17+'[3]Set Up'!$O$15+'[3]Set Up'!$O$16,(Z9-'[3]Set Up'!$J$17)*'[3]Set Up'!$N$18 + SUM('[3]Set Up'!$O$15:'[3]Set Up'!$O$17)))))</f>
        <v>351.30147067381392</v>
      </c>
      <c r="AA14" s="28">
        <f>IF(AA9="","",IF(AA9&lt;'[3]Set Up'!$J$15,AA9*'[3]Set Up'!$N$15,IF(AA9&lt;'[3]Set Up'!$J$16,(AA9-'[3]Set Up'!$J$15)*'[3]Set Up'!$N$16+'[3]Set Up'!$O$15,IF(AA9&lt;'[3]Set Up'!$J$17,(AA9-'[3]Set Up'!$J$16)*'[3]Set Up'!$N$17+'[3]Set Up'!$O$15+'[3]Set Up'!$O$16,(AA9-'[3]Set Up'!$J$17)*'[3]Set Up'!$N$18 + SUM('[3]Set Up'!$O$15:'[3]Set Up'!$O$17)))))</f>
        <v>348.33011251771222</v>
      </c>
      <c r="AB14" s="28">
        <f>IF(AB9="","",IF(AB9&lt;'[3]Set Up'!$J$15,AB9*'[3]Set Up'!$N$15,IF(AB9&lt;'[3]Set Up'!$J$16,(AB9-'[3]Set Up'!$J$15)*'[3]Set Up'!$N$16+'[3]Set Up'!$O$15,IF(AB9&lt;'[3]Set Up'!$J$17,(AB9-'[3]Set Up'!$J$16)*'[3]Set Up'!$N$17+'[3]Set Up'!$O$15+'[3]Set Up'!$O$16,(AB9-'[3]Set Up'!$J$17)*'[3]Set Up'!$N$18 + SUM('[3]Set Up'!$O$15:'[3]Set Up'!$O$17)))))</f>
        <v>345.35875436161058</v>
      </c>
      <c r="AC14" s="28">
        <f>IF(AC9="","",IF(AC9&lt;'[3]Set Up'!$J$15,AC9*'[3]Set Up'!$N$15,IF(AC9&lt;'[3]Set Up'!$J$16,(AC9-'[3]Set Up'!$J$15)*'[3]Set Up'!$N$16+'[3]Set Up'!$O$15,IF(AC9&lt;'[3]Set Up'!$J$17,(AC9-'[3]Set Up'!$J$16)*'[3]Set Up'!$N$17+'[3]Set Up'!$O$15+'[3]Set Up'!$O$16,(AC9-'[3]Set Up'!$J$17)*'[3]Set Up'!$N$18 + SUM('[3]Set Up'!$O$15:'[3]Set Up'!$O$17)))))</f>
        <v>342.38739620550894</v>
      </c>
      <c r="AD14" s="28">
        <f>IF(AD9="","",IF(AD9&lt;'[3]Set Up'!$J$15,AD9*'[3]Set Up'!$N$15,IF(AD9&lt;'[3]Set Up'!$J$16,(AD9-'[3]Set Up'!$J$15)*'[3]Set Up'!$N$16+'[3]Set Up'!$O$15,IF(AD9&lt;'[3]Set Up'!$J$17,(AD9-'[3]Set Up'!$J$16)*'[3]Set Up'!$N$17+'[3]Set Up'!$O$15+'[3]Set Up'!$O$16,(AD9-'[3]Set Up'!$J$17)*'[3]Set Up'!$N$18 + SUM('[3]Set Up'!$O$15:'[3]Set Up'!$O$17)))))</f>
        <v>339.41603804940723</v>
      </c>
      <c r="AE14" s="28">
        <f>IF(AE9="","",IF(AE9&lt;'[3]Set Up'!$J$15,AE9*'[3]Set Up'!$N$15,IF(AE9&lt;'[3]Set Up'!$J$16,(AE9-'[3]Set Up'!$J$15)*'[3]Set Up'!$N$16+'[3]Set Up'!$O$15,IF(AE9&lt;'[3]Set Up'!$J$17,(AE9-'[3]Set Up'!$J$16)*'[3]Set Up'!$N$17+'[3]Set Up'!$O$15+'[3]Set Up'!$O$16,(AE9-'[3]Set Up'!$J$17)*'[3]Set Up'!$N$18 + SUM('[3]Set Up'!$O$15:'[3]Set Up'!$O$17)))))</f>
        <v>336.44467989330559</v>
      </c>
      <c r="AF14" s="28">
        <f>IF(AF9="","",IF(AF9&lt;'[3]Set Up'!$J$15,AF9*'[3]Set Up'!$N$15,IF(AF9&lt;'[3]Set Up'!$J$16,(AF9-'[3]Set Up'!$J$15)*'[3]Set Up'!$N$16+'[3]Set Up'!$O$15,IF(AF9&lt;'[3]Set Up'!$J$17,(AF9-'[3]Set Up'!$J$16)*'[3]Set Up'!$N$17+'[3]Set Up'!$O$15+'[3]Set Up'!$O$16,(AF9-'[3]Set Up'!$J$17)*'[3]Set Up'!$N$18 + SUM('[3]Set Up'!$O$15:'[3]Set Up'!$O$17)))))</f>
        <v>333.47332173720395</v>
      </c>
      <c r="AG14" s="28">
        <f>IF(AG9="","",IF(AG9&lt;'[3]Set Up'!$J$15,AG9*'[3]Set Up'!$N$15,IF(AG9&lt;'[3]Set Up'!$J$16,(AG9-'[3]Set Up'!$J$15)*'[3]Set Up'!$N$16+'[3]Set Up'!$O$15,IF(AG9&lt;'[3]Set Up'!$J$17,(AG9-'[3]Set Up'!$J$16)*'[3]Set Up'!$N$17+'[3]Set Up'!$O$15+'[3]Set Up'!$O$16,(AG9-'[3]Set Up'!$J$17)*'[3]Set Up'!$N$18 + SUM('[3]Set Up'!$O$15:'[3]Set Up'!$O$17)))))</f>
        <v>330.50196358110225</v>
      </c>
      <c r="AH14" s="28">
        <f>IF(AH9="","",IF(AH9&lt;'[3]Set Up'!$J$15,AH9*'[3]Set Up'!$N$15,IF(AH9&lt;'[3]Set Up'!$J$16,(AH9-'[3]Set Up'!$J$15)*'[3]Set Up'!$N$16+'[3]Set Up'!$O$15,IF(AH9&lt;'[3]Set Up'!$J$17,(AH9-'[3]Set Up'!$J$16)*'[3]Set Up'!$N$17+'[3]Set Up'!$O$15+'[3]Set Up'!$O$16,(AH9-'[3]Set Up'!$J$17)*'[3]Set Up'!$N$18 + SUM('[3]Set Up'!$O$15:'[3]Set Up'!$O$17)))))</f>
        <v>327.5306054250006</v>
      </c>
      <c r="AI14" s="28">
        <f>IF(AI9="","",IF(AI9&lt;'[3]Set Up'!$J$15,AI9*'[3]Set Up'!$N$15,IF(AI9&lt;'[3]Set Up'!$J$16,(AI9-'[3]Set Up'!$J$15)*'[3]Set Up'!$N$16+'[3]Set Up'!$O$15,IF(AI9&lt;'[3]Set Up'!$J$17,(AI9-'[3]Set Up'!$J$16)*'[3]Set Up'!$N$17+'[3]Set Up'!$O$15+'[3]Set Up'!$O$16,(AI9-'[3]Set Up'!$J$17)*'[3]Set Up'!$N$18 + SUM('[3]Set Up'!$O$15:'[3]Set Up'!$O$17)))))</f>
        <v>324.5592472688989</v>
      </c>
      <c r="AJ14" s="28">
        <f>IF(AJ9="","",IF(AJ9&lt;'[3]Set Up'!$J$15,AJ9*'[3]Set Up'!$N$15,IF(AJ9&lt;'[3]Set Up'!$J$16,(AJ9-'[3]Set Up'!$J$15)*'[3]Set Up'!$N$16+'[3]Set Up'!$O$15,IF(AJ9&lt;'[3]Set Up'!$J$17,(AJ9-'[3]Set Up'!$J$16)*'[3]Set Up'!$N$17+'[3]Set Up'!$O$15+'[3]Set Up'!$O$16,(AJ9-'[3]Set Up'!$J$17)*'[3]Set Up'!$N$18 + SUM('[3]Set Up'!$O$15:'[3]Set Up'!$O$17)))))</f>
        <v>321.58788911279726</v>
      </c>
      <c r="AK14" s="28">
        <f>IF(AK9="","",IF(AK9&lt;'[3]Set Up'!$J$15,AK9*'[3]Set Up'!$N$15,IF(AK9&lt;'[3]Set Up'!$J$16,(AK9-'[3]Set Up'!$J$15)*'[3]Set Up'!$N$16+'[3]Set Up'!$O$15,IF(AK9&lt;'[3]Set Up'!$J$17,(AK9-'[3]Set Up'!$J$16)*'[3]Set Up'!$N$17+'[3]Set Up'!$O$15+'[3]Set Up'!$O$16,(AK9-'[3]Set Up'!$J$17)*'[3]Set Up'!$N$18 + SUM('[3]Set Up'!$O$15:'[3]Set Up'!$O$17)))))</f>
        <v>318.61653095669556</v>
      </c>
      <c r="AL14" s="28">
        <f>IF(AL9="","",IF(AL9&lt;'[3]Set Up'!$J$15,AL9*'[3]Set Up'!$N$15,IF(AL9&lt;'[3]Set Up'!$J$16,(AL9-'[3]Set Up'!$J$15)*'[3]Set Up'!$N$16+'[3]Set Up'!$O$15,IF(AL9&lt;'[3]Set Up'!$J$17,(AL9-'[3]Set Up'!$J$16)*'[3]Set Up'!$N$17+'[3]Set Up'!$O$15+'[3]Set Up'!$O$16,(AL9-'[3]Set Up'!$J$17)*'[3]Set Up'!$N$18 + SUM('[3]Set Up'!$O$15:'[3]Set Up'!$O$17)))))</f>
        <v>315.64517280059391</v>
      </c>
      <c r="AM14" s="28">
        <f>IF(AM9="","",IF(AM9&lt;'[3]Set Up'!$J$15,AM9*'[3]Set Up'!$N$15,IF(AM9&lt;'[3]Set Up'!$J$16,(AM9-'[3]Set Up'!$J$15)*'[3]Set Up'!$N$16+'[3]Set Up'!$O$15,IF(AM9&lt;'[3]Set Up'!$J$17,(AM9-'[3]Set Up'!$J$16)*'[3]Set Up'!$N$17+'[3]Set Up'!$O$15+'[3]Set Up'!$O$16,(AM9-'[3]Set Up'!$J$17)*'[3]Set Up'!$N$18 + SUM('[3]Set Up'!$O$15:'[3]Set Up'!$O$17)))))</f>
        <v>312.67381464449227</v>
      </c>
      <c r="AN14" s="28">
        <f>IF(AN9="","",IF(AN9&lt;'[3]Set Up'!$J$15,AN9*'[3]Set Up'!$N$15,IF(AN9&lt;'[3]Set Up'!$J$16,(AN9-'[3]Set Up'!$J$15)*'[3]Set Up'!$N$16+'[3]Set Up'!$O$15,IF(AN9&lt;'[3]Set Up'!$J$17,(AN9-'[3]Set Up'!$J$16)*'[3]Set Up'!$N$17+'[3]Set Up'!$O$15+'[3]Set Up'!$O$16,(AN9-'[3]Set Up'!$J$17)*'[3]Set Up'!$N$18 + SUM('[3]Set Up'!$O$15:'[3]Set Up'!$O$17)))))</f>
        <v>309.70245648839057</v>
      </c>
      <c r="AO14" s="28">
        <f>IF(AO9="","",IF(AO9&lt;'[3]Set Up'!$J$15,AO9*'[3]Set Up'!$N$15,IF(AO9&lt;'[3]Set Up'!$J$16,(AO9-'[3]Set Up'!$J$15)*'[3]Set Up'!$N$16+'[3]Set Up'!$O$15,IF(AO9&lt;'[3]Set Up'!$J$17,(AO9-'[3]Set Up'!$J$16)*'[3]Set Up'!$N$17+'[3]Set Up'!$O$15+'[3]Set Up'!$O$16,(AO9-'[3]Set Up'!$J$17)*'[3]Set Up'!$N$18 + SUM('[3]Set Up'!$O$15:'[3]Set Up'!$O$17)))))</f>
        <v>306.73109833228892</v>
      </c>
      <c r="AP14" s="28">
        <f>IF(AP9="","",IF(AP9&lt;'[3]Set Up'!$J$15,AP9*'[3]Set Up'!$N$15,IF(AP9&lt;'[3]Set Up'!$J$16,(AP9-'[3]Set Up'!$J$15)*'[3]Set Up'!$N$16+'[3]Set Up'!$O$15,IF(AP9&lt;'[3]Set Up'!$J$17,(AP9-'[3]Set Up'!$J$16)*'[3]Set Up'!$N$17+'[3]Set Up'!$O$15+'[3]Set Up'!$O$16,(AP9-'[3]Set Up'!$J$17)*'[3]Set Up'!$N$18 + SUM('[3]Set Up'!$O$15:'[3]Set Up'!$O$17)))))</f>
        <v>303.75974017618722</v>
      </c>
      <c r="AQ14" s="28">
        <f>IF(AQ9="","",IF(AQ9&lt;'[3]Set Up'!$J$15,AQ9*'[3]Set Up'!$N$15,IF(AQ9&lt;'[3]Set Up'!$J$16,(AQ9-'[3]Set Up'!$J$15)*'[3]Set Up'!$N$16+'[3]Set Up'!$O$15,IF(AQ9&lt;'[3]Set Up'!$J$17,(AQ9-'[3]Set Up'!$J$16)*'[3]Set Up'!$N$17+'[3]Set Up'!$O$15+'[3]Set Up'!$O$16,(AQ9-'[3]Set Up'!$J$17)*'[3]Set Up'!$N$18 + SUM('[3]Set Up'!$O$15:'[3]Set Up'!$O$17)))))</f>
        <v>300.78838202008558</v>
      </c>
      <c r="AR14" s="28">
        <f>IF(AR9="","",IF(AR9&lt;'[3]Set Up'!$J$15,AR9*'[3]Set Up'!$N$15,IF(AR9&lt;'[3]Set Up'!$J$16,(AR9-'[3]Set Up'!$J$15)*'[3]Set Up'!$N$16+'[3]Set Up'!$O$15,IF(AR9&lt;'[3]Set Up'!$J$17,(AR9-'[3]Set Up'!$J$16)*'[3]Set Up'!$N$17+'[3]Set Up'!$O$15+'[3]Set Up'!$O$16,(AR9-'[3]Set Up'!$J$17)*'[3]Set Up'!$N$18 + SUM('[3]Set Up'!$O$15:'[3]Set Up'!$O$17)))))</f>
        <v>297.81702386398388</v>
      </c>
      <c r="AS14" s="28">
        <f>IF(AS9="","",IF(AS9&lt;'[3]Set Up'!$J$15,AS9*'[3]Set Up'!$N$15,IF(AS9&lt;'[3]Set Up'!$J$16,(AS9-'[3]Set Up'!$J$15)*'[3]Set Up'!$N$16+'[3]Set Up'!$O$15,IF(AS9&lt;'[3]Set Up'!$J$17,(AS9-'[3]Set Up'!$J$16)*'[3]Set Up'!$N$17+'[3]Set Up'!$O$15+'[3]Set Up'!$O$16,(AS9-'[3]Set Up'!$J$17)*'[3]Set Up'!$N$18 + SUM('[3]Set Up'!$O$15:'[3]Set Up'!$O$17)))))</f>
        <v>294.84566570788223</v>
      </c>
      <c r="AT14" s="28">
        <f>IF(AT9="","",IF(AT9&lt;'[3]Set Up'!$J$15,AT9*'[3]Set Up'!$N$15,IF(AT9&lt;'[3]Set Up'!$J$16,(AT9-'[3]Set Up'!$J$15)*'[3]Set Up'!$N$16+'[3]Set Up'!$O$15,IF(AT9&lt;'[3]Set Up'!$J$17,(AT9-'[3]Set Up'!$J$16)*'[3]Set Up'!$N$17+'[3]Set Up'!$O$15+'[3]Set Up'!$O$16,(AT9-'[3]Set Up'!$J$17)*'[3]Set Up'!$N$18 + SUM('[3]Set Up'!$O$15:'[3]Set Up'!$O$17)))))</f>
        <v>291.87430755178059</v>
      </c>
      <c r="AU14" s="28">
        <f>IF(AU9="","",IF(AU9&lt;'[3]Set Up'!$J$15,AU9*'[3]Set Up'!$N$15,IF(AU9&lt;'[3]Set Up'!$J$16,(AU9-'[3]Set Up'!$J$15)*'[3]Set Up'!$N$16+'[3]Set Up'!$O$15,IF(AU9&lt;'[3]Set Up'!$J$17,(AU9-'[3]Set Up'!$J$16)*'[3]Set Up'!$N$17+'[3]Set Up'!$O$15+'[3]Set Up'!$O$16,(AU9-'[3]Set Up'!$J$17)*'[3]Set Up'!$N$18 + SUM('[3]Set Up'!$O$15:'[3]Set Up'!$O$17)))))</f>
        <v>288.90294939567889</v>
      </c>
      <c r="AV14" s="28">
        <f>IF(AV9="","",IF(AV9&lt;'[3]Set Up'!$J$15,AV9*'[3]Set Up'!$N$15,IF(AV9&lt;'[3]Set Up'!$J$16,(AV9-'[3]Set Up'!$J$15)*'[3]Set Up'!$N$16+'[3]Set Up'!$O$15,IF(AV9&lt;'[3]Set Up'!$J$17,(AV9-'[3]Set Up'!$J$16)*'[3]Set Up'!$N$17+'[3]Set Up'!$O$15+'[3]Set Up'!$O$16,(AV9-'[3]Set Up'!$J$17)*'[3]Set Up'!$N$18 + SUM('[3]Set Up'!$O$15:'[3]Set Up'!$O$17)))))</f>
        <v>285.93159123957724</v>
      </c>
      <c r="AW14" s="28">
        <f>IF(AW9="","",IF(AW9&lt;'[3]Set Up'!$J$15,AW9*'[3]Set Up'!$N$15,IF(AW9&lt;'[3]Set Up'!$J$16,(AW9-'[3]Set Up'!$J$15)*'[3]Set Up'!$N$16+'[3]Set Up'!$O$15,IF(AW9&lt;'[3]Set Up'!$J$17,(AW9-'[3]Set Up'!$J$16)*'[3]Set Up'!$N$17+'[3]Set Up'!$O$15+'[3]Set Up'!$O$16,(AW9-'[3]Set Up'!$J$17)*'[3]Set Up'!$N$18 + SUM('[3]Set Up'!$O$15:'[3]Set Up'!$O$17)))))</f>
        <v>282.96023308347554</v>
      </c>
      <c r="AX14" s="28">
        <f>IF(AX9="","",IF(AX9&lt;'[3]Set Up'!$J$15,AX9*'[3]Set Up'!$N$15,IF(AX9&lt;'[3]Set Up'!$J$16,(AX9-'[3]Set Up'!$J$15)*'[3]Set Up'!$N$16+'[3]Set Up'!$O$15,IF(AX9&lt;'[3]Set Up'!$J$17,(AX9-'[3]Set Up'!$J$16)*'[3]Set Up'!$N$17+'[3]Set Up'!$O$15+'[3]Set Up'!$O$16,(AX9-'[3]Set Up'!$J$17)*'[3]Set Up'!$N$18 + SUM('[3]Set Up'!$O$15:'[3]Set Up'!$O$17)))))</f>
        <v>279.9888749273739</v>
      </c>
      <c r="AY14" s="28">
        <f>IF(AY9="","",IF(AY9&lt;'[3]Set Up'!$J$15,AY9*'[3]Set Up'!$N$15,IF(AY9&lt;'[3]Set Up'!$J$16,(AY9-'[3]Set Up'!$J$15)*'[3]Set Up'!$N$16+'[3]Set Up'!$O$15,IF(AY9&lt;'[3]Set Up'!$J$17,(AY9-'[3]Set Up'!$J$16)*'[3]Set Up'!$N$17+'[3]Set Up'!$O$15+'[3]Set Up'!$O$16,(AY9-'[3]Set Up'!$J$17)*'[3]Set Up'!$N$18 + SUM('[3]Set Up'!$O$15:'[3]Set Up'!$O$17)))))</f>
        <v>277.01751677127226</v>
      </c>
      <c r="AZ14" s="28">
        <f>IF(AZ9="","",IF(AZ9&lt;'[3]Set Up'!$J$15,AZ9*'[3]Set Up'!$N$15,IF(AZ9&lt;'[3]Set Up'!$J$16,(AZ9-'[3]Set Up'!$J$15)*'[3]Set Up'!$N$16+'[3]Set Up'!$O$15,IF(AZ9&lt;'[3]Set Up'!$J$17,(AZ9-'[3]Set Up'!$J$16)*'[3]Set Up'!$N$17+'[3]Set Up'!$O$15+'[3]Set Up'!$O$16,(AZ9-'[3]Set Up'!$J$17)*'[3]Set Up'!$N$18 + SUM('[3]Set Up'!$O$15:'[3]Set Up'!$O$17)))))</f>
        <v>274.04615861517055</v>
      </c>
      <c r="BA14" s="28">
        <f>IF(BA9="","",IF(BA9&lt;'[3]Set Up'!$J$15,BA9*'[3]Set Up'!$N$15,IF(BA9&lt;'[3]Set Up'!$J$16,(BA9-'[3]Set Up'!$J$15)*'[3]Set Up'!$N$16+'[3]Set Up'!$O$15,IF(BA9&lt;'[3]Set Up'!$J$17,(BA9-'[3]Set Up'!$J$16)*'[3]Set Up'!$N$17+'[3]Set Up'!$O$15+'[3]Set Up'!$O$16,(BA9-'[3]Set Up'!$J$17)*'[3]Set Up'!$N$18 + SUM('[3]Set Up'!$O$15:'[3]Set Up'!$O$17)))))</f>
        <v>271.07480045906891</v>
      </c>
      <c r="BB14" s="28">
        <f>IF(BB9="","",IF(BB9&lt;'[3]Set Up'!$J$15,BB9*'[3]Set Up'!$N$15,IF(BB9&lt;'[3]Set Up'!$J$16,(BB9-'[3]Set Up'!$J$15)*'[3]Set Up'!$N$16+'[3]Set Up'!$O$15,IF(BB9&lt;'[3]Set Up'!$J$17,(BB9-'[3]Set Up'!$J$16)*'[3]Set Up'!$N$17+'[3]Set Up'!$O$15+'[3]Set Up'!$O$16,(BB9-'[3]Set Up'!$J$17)*'[3]Set Up'!$N$18 + SUM('[3]Set Up'!$O$15:'[3]Set Up'!$O$17)))))</f>
        <v>268.10344230296721</v>
      </c>
      <c r="BC14" s="28">
        <f>IF(BC9="","",IF(BC9&lt;'[3]Set Up'!$J$15,BC9*'[3]Set Up'!$N$15,IF(BC9&lt;'[3]Set Up'!$J$16,(BC9-'[3]Set Up'!$J$15)*'[3]Set Up'!$N$16+'[3]Set Up'!$O$15,IF(BC9&lt;'[3]Set Up'!$J$17,(BC9-'[3]Set Up'!$J$16)*'[3]Set Up'!$N$17+'[3]Set Up'!$O$15+'[3]Set Up'!$O$16,(BC9-'[3]Set Up'!$J$17)*'[3]Set Up'!$N$18 + SUM('[3]Set Up'!$O$15:'[3]Set Up'!$O$17)))))</f>
        <v>265.13208414686557</v>
      </c>
      <c r="BD14" s="28">
        <f>IF(BD9="","",IF(BD9&lt;'[3]Set Up'!$J$15,BD9*'[3]Set Up'!$N$15,IF(BD9&lt;'[3]Set Up'!$J$16,(BD9-'[3]Set Up'!$J$15)*'[3]Set Up'!$N$16+'[3]Set Up'!$O$15,IF(BD9&lt;'[3]Set Up'!$J$17,(BD9-'[3]Set Up'!$J$16)*'[3]Set Up'!$N$17+'[3]Set Up'!$O$15+'[3]Set Up'!$O$16,(BD9-'[3]Set Up'!$J$17)*'[3]Set Up'!$N$18 + SUM('[3]Set Up'!$O$15:'[3]Set Up'!$O$17)))))</f>
        <v>0</v>
      </c>
      <c r="BE14" s="28">
        <f>IF(BE9="","",IF(BE9&lt;'[3]Set Up'!$J$15,BE9*'[3]Set Up'!$N$15,IF(BE9&lt;'[3]Set Up'!$J$16,(BE9-'[3]Set Up'!$J$15)*'[3]Set Up'!$N$16+'[3]Set Up'!$O$15,IF(BE9&lt;'[3]Set Up'!$J$17,(BE9-'[3]Set Up'!$J$16)*'[3]Set Up'!$N$17+'[3]Set Up'!$O$15+'[3]Set Up'!$O$16,(BE9-'[3]Set Up'!$J$17)*'[3]Set Up'!$N$18 + SUM('[3]Set Up'!$O$15:'[3]Set Up'!$O$17)))))</f>
        <v>0</v>
      </c>
      <c r="BF14" s="28">
        <f>IF(BF9="","",IF(BF9&lt;'[3]Set Up'!$J$15,BF9*'[3]Set Up'!$N$15,IF(BF9&lt;'[3]Set Up'!$J$16,(BF9-'[3]Set Up'!$J$15)*'[3]Set Up'!$N$16+'[3]Set Up'!$O$15,IF(BF9&lt;'[3]Set Up'!$J$17,(BF9-'[3]Set Up'!$J$16)*'[3]Set Up'!$N$17+'[3]Set Up'!$O$15+'[3]Set Up'!$O$16,(BF9-'[3]Set Up'!$J$17)*'[3]Set Up'!$N$18 + SUM('[3]Set Up'!$O$15:'[3]Set Up'!$O$17)))))</f>
        <v>0</v>
      </c>
      <c r="BG14" s="28">
        <f>IF(BG9="","",IF(BG9&lt;'[3]Set Up'!$J$15,BG9*'[3]Set Up'!$N$15,IF(BG9&lt;'[3]Set Up'!$J$16,(BG9-'[3]Set Up'!$J$15)*'[3]Set Up'!$N$16+'[3]Set Up'!$O$15,IF(BG9&lt;'[3]Set Up'!$J$17,(BG9-'[3]Set Up'!$J$16)*'[3]Set Up'!$N$17+'[3]Set Up'!$O$15+'[3]Set Up'!$O$16,(BG9-'[3]Set Up'!$J$17)*'[3]Set Up'!$N$18 + SUM('[3]Set Up'!$O$15:'[3]Set Up'!$O$17)))))</f>
        <v>0</v>
      </c>
      <c r="BH14" s="28">
        <f>IF(BH9="","",IF(BH9&lt;'[3]Set Up'!$J$15,BH9*'[3]Set Up'!$N$15,IF(BH9&lt;'[3]Set Up'!$J$16,(BH9-'[3]Set Up'!$J$15)*'[3]Set Up'!$N$16+'[3]Set Up'!$O$15,IF(BH9&lt;'[3]Set Up'!$J$17,(BH9-'[3]Set Up'!$J$16)*'[3]Set Up'!$N$17+'[3]Set Up'!$O$15+'[3]Set Up'!$O$16,(BH9-'[3]Set Up'!$J$17)*'[3]Set Up'!$N$18 + SUM('[3]Set Up'!$O$15:'[3]Set Up'!$O$17)))))</f>
        <v>0</v>
      </c>
      <c r="BI14" s="28">
        <f>IF(BI9="","",IF(BI9&lt;'[3]Set Up'!$J$15,BI9*'[3]Set Up'!$N$15,IF(BI9&lt;'[3]Set Up'!$J$16,(BI9-'[3]Set Up'!$J$15)*'[3]Set Up'!$N$16+'[3]Set Up'!$O$15,IF(BI9&lt;'[3]Set Up'!$J$17,(BI9-'[3]Set Up'!$J$16)*'[3]Set Up'!$N$17+'[3]Set Up'!$O$15+'[3]Set Up'!$O$16,(BI9-'[3]Set Up'!$J$17)*'[3]Set Up'!$N$18 + SUM('[3]Set Up'!$O$15:'[3]Set Up'!$O$17)))))</f>
        <v>0</v>
      </c>
      <c r="BJ14" s="28">
        <f>IF(BJ9="","",IF(BJ9&lt;'[3]Set Up'!$J$15,BJ9*'[3]Set Up'!$N$15,IF(BJ9&lt;'[3]Set Up'!$J$16,(BJ9-'[3]Set Up'!$J$15)*'[3]Set Up'!$N$16+'[3]Set Up'!$O$15,IF(BJ9&lt;'[3]Set Up'!$J$17,(BJ9-'[3]Set Up'!$J$16)*'[3]Set Up'!$N$17+'[3]Set Up'!$O$15+'[3]Set Up'!$O$16,(BJ9-'[3]Set Up'!$J$17)*'[3]Set Up'!$N$18 + SUM('[3]Set Up'!$O$15:'[3]Set Up'!$O$17)))))</f>
        <v>0</v>
      </c>
      <c r="BK14" s="28">
        <f>IF(BK9="","",IF(BK9&lt;'[3]Set Up'!$J$15,BK9*'[3]Set Up'!$N$15,IF(BK9&lt;'[3]Set Up'!$J$16,(BK9-'[3]Set Up'!$J$15)*'[3]Set Up'!$N$16+'[3]Set Up'!$O$15,IF(BK9&lt;'[3]Set Up'!$J$17,(BK9-'[3]Set Up'!$J$16)*'[3]Set Up'!$N$17+'[3]Set Up'!$O$15+'[3]Set Up'!$O$16,(BK9-'[3]Set Up'!$J$17)*'[3]Set Up'!$N$18 + SUM('[3]Set Up'!$O$15:'[3]Set Up'!$O$17)))))</f>
        <v>0</v>
      </c>
      <c r="BL14" s="28">
        <f>IF(BL9="","",IF(BL9&lt;'[3]Set Up'!$J$15,BL9*'[3]Set Up'!$N$15,IF(BL9&lt;'[3]Set Up'!$J$16,(BL9-'[3]Set Up'!$J$15)*'[3]Set Up'!$N$16+'[3]Set Up'!$O$15,IF(BL9&lt;'[3]Set Up'!$J$17,(BL9-'[3]Set Up'!$J$16)*'[3]Set Up'!$N$17+'[3]Set Up'!$O$15+'[3]Set Up'!$O$16,(BL9-'[3]Set Up'!$J$17)*'[3]Set Up'!$N$18 + SUM('[3]Set Up'!$O$15:'[3]Set Up'!$O$17)))))</f>
        <v>0</v>
      </c>
      <c r="BM14" s="28">
        <f>IF(BM9="","",IF(BM9&lt;'[3]Set Up'!$J$15,BM9*'[3]Set Up'!$N$15,IF(BM9&lt;'[3]Set Up'!$J$16,(BM9-'[3]Set Up'!$J$15)*'[3]Set Up'!$N$16+'[3]Set Up'!$O$15,IF(BM9&lt;'[3]Set Up'!$J$17,(BM9-'[3]Set Up'!$J$16)*'[3]Set Up'!$N$17+'[3]Set Up'!$O$15+'[3]Set Up'!$O$16,(BM9-'[3]Set Up'!$J$17)*'[3]Set Up'!$N$18 + SUM('[3]Set Up'!$O$15:'[3]Set Up'!$O$17)))))</f>
        <v>0</v>
      </c>
      <c r="BN14" s="28">
        <f>IF(BN9="","",IF(BN9&lt;'[3]Set Up'!$J$15,BN9*'[3]Set Up'!$N$15,IF(BN9&lt;'[3]Set Up'!$J$16,(BN9-'[3]Set Up'!$J$15)*'[3]Set Up'!$N$16+'[3]Set Up'!$O$15,IF(BN9&lt;'[3]Set Up'!$J$17,(BN9-'[3]Set Up'!$J$16)*'[3]Set Up'!$N$17+'[3]Set Up'!$O$15+'[3]Set Up'!$O$16,(BN9-'[3]Set Up'!$J$17)*'[3]Set Up'!$N$18 + SUM('[3]Set Up'!$O$15:'[3]Set Up'!$O$17)))))</f>
        <v>0</v>
      </c>
      <c r="BO14" s="28">
        <f>IF(BO9="","",IF(BO9&lt;'[3]Set Up'!$J$15,BO9*'[3]Set Up'!$N$15,IF(BO9&lt;'[3]Set Up'!$J$16,(BO9-'[3]Set Up'!$J$15)*'[3]Set Up'!$N$16+'[3]Set Up'!$O$15,IF(BO9&lt;'[3]Set Up'!$J$17,(BO9-'[3]Set Up'!$J$16)*'[3]Set Up'!$N$17+'[3]Set Up'!$O$15+'[3]Set Up'!$O$16,(BO9-'[3]Set Up'!$J$17)*'[3]Set Up'!$N$18 + SUM('[3]Set Up'!$O$15:'[3]Set Up'!$O$17)))))</f>
        <v>0</v>
      </c>
      <c r="BP14" s="28">
        <f>IF(BP9="","",IF(BP9&lt;'[3]Set Up'!$J$15,BP9*'[3]Set Up'!$N$15,IF(BP9&lt;'[3]Set Up'!$J$16,(BP9-'[3]Set Up'!$J$15)*'[3]Set Up'!$N$16+'[3]Set Up'!$O$15,IF(BP9&lt;'[3]Set Up'!$J$17,(BP9-'[3]Set Up'!$J$16)*'[3]Set Up'!$N$17+'[3]Set Up'!$O$15+'[3]Set Up'!$O$16,(BP9-'[3]Set Up'!$J$17)*'[3]Set Up'!$N$18 + SUM('[3]Set Up'!$O$15:'[3]Set Up'!$O$17)))))</f>
        <v>0</v>
      </c>
      <c r="BQ14" s="28">
        <f>IF(BQ9="","",IF(BQ9&lt;'[3]Set Up'!$J$15,BQ9*'[3]Set Up'!$N$15,IF(BQ9&lt;'[3]Set Up'!$J$16,(BQ9-'[3]Set Up'!$J$15)*'[3]Set Up'!$N$16+'[3]Set Up'!$O$15,IF(BQ9&lt;'[3]Set Up'!$J$17,(BQ9-'[3]Set Up'!$J$16)*'[3]Set Up'!$N$17+'[3]Set Up'!$O$15+'[3]Set Up'!$O$16,(BQ9-'[3]Set Up'!$J$17)*'[3]Set Up'!$N$18 + SUM('[3]Set Up'!$O$15:'[3]Set Up'!$O$17)))))</f>
        <v>0</v>
      </c>
      <c r="BR14" s="28">
        <f>IF(BR9="","",IF(BR9&lt;'[3]Set Up'!$J$15,BR9*'[3]Set Up'!$N$15,IF(BR9&lt;'[3]Set Up'!$J$16,(BR9-'[3]Set Up'!$J$15)*'[3]Set Up'!$N$16+'[3]Set Up'!$O$15,IF(BR9&lt;'[3]Set Up'!$J$17,(BR9-'[3]Set Up'!$J$16)*'[3]Set Up'!$N$17+'[3]Set Up'!$O$15+'[3]Set Up'!$O$16,(BR9-'[3]Set Up'!$J$17)*'[3]Set Up'!$N$18 + SUM('[3]Set Up'!$O$15:'[3]Set Up'!$O$17)))))</f>
        <v>0</v>
      </c>
      <c r="BS14" s="28">
        <f>IF(BS9="","",IF(BS9&lt;'[3]Set Up'!$J$15,BS9*'[3]Set Up'!$N$15,IF(BS9&lt;'[3]Set Up'!$J$16,(BS9-'[3]Set Up'!$J$15)*'[3]Set Up'!$N$16+'[3]Set Up'!$O$15,IF(BS9&lt;'[3]Set Up'!$J$17,(BS9-'[3]Set Up'!$J$16)*'[3]Set Up'!$N$17+'[3]Set Up'!$O$15+'[3]Set Up'!$O$16,(BS9-'[3]Set Up'!$J$17)*'[3]Set Up'!$N$18 + SUM('[3]Set Up'!$O$15:'[3]Set Up'!$O$17)))))</f>
        <v>0</v>
      </c>
      <c r="BT14" s="28">
        <f>IF(BT9="","",IF(BT9&lt;'[3]Set Up'!$J$15,BT9*'[3]Set Up'!$N$15,IF(BT9&lt;'[3]Set Up'!$J$16,(BT9-'[3]Set Up'!$J$15)*'[3]Set Up'!$N$16+'[3]Set Up'!$O$15,IF(BT9&lt;'[3]Set Up'!$J$17,(BT9-'[3]Set Up'!$J$16)*'[3]Set Up'!$N$17+'[3]Set Up'!$O$15+'[3]Set Up'!$O$16,(BT9-'[3]Set Up'!$J$17)*'[3]Set Up'!$N$18 + SUM('[3]Set Up'!$O$15:'[3]Set Up'!$O$17)))))</f>
        <v>0</v>
      </c>
      <c r="BU14" s="28">
        <f>IF(BU9="","",IF(BU9&lt;'[3]Set Up'!$J$15,BU9*'[3]Set Up'!$N$15,IF(BU9&lt;'[3]Set Up'!$J$16,(BU9-'[3]Set Up'!$J$15)*'[3]Set Up'!$N$16+'[3]Set Up'!$O$15,IF(BU9&lt;'[3]Set Up'!$J$17,(BU9-'[3]Set Up'!$J$16)*'[3]Set Up'!$N$17+'[3]Set Up'!$O$15+'[3]Set Up'!$O$16,(BU9-'[3]Set Up'!$J$17)*'[3]Set Up'!$N$18 + SUM('[3]Set Up'!$O$15:'[3]Set Up'!$O$17)))))</f>
        <v>0</v>
      </c>
      <c r="BV14" s="28">
        <f>IF(BV9="","",IF(BV9&lt;'[3]Set Up'!$J$15,BV9*'[3]Set Up'!$N$15,IF(BV9&lt;'[3]Set Up'!$J$16,(BV9-'[3]Set Up'!$J$15)*'[3]Set Up'!$N$16+'[3]Set Up'!$O$15,IF(BV9&lt;'[3]Set Up'!$J$17,(BV9-'[3]Set Up'!$J$16)*'[3]Set Up'!$N$17+'[3]Set Up'!$O$15+'[3]Set Up'!$O$16,(BV9-'[3]Set Up'!$J$17)*'[3]Set Up'!$N$18 + SUM('[3]Set Up'!$O$15:'[3]Set Up'!$O$17)))))</f>
        <v>0</v>
      </c>
      <c r="BW14" s="28">
        <f>IF(BW9="","",IF(BW9&lt;'[3]Set Up'!$J$15,BW9*'[3]Set Up'!$N$15,IF(BW9&lt;'[3]Set Up'!$J$16,(BW9-'[3]Set Up'!$J$15)*'[3]Set Up'!$N$16+'[3]Set Up'!$O$15,IF(BW9&lt;'[3]Set Up'!$J$17,(BW9-'[3]Set Up'!$J$16)*'[3]Set Up'!$N$17+'[3]Set Up'!$O$15+'[3]Set Up'!$O$16,(BW9-'[3]Set Up'!$J$17)*'[3]Set Up'!$N$18 + SUM('[3]Set Up'!$O$15:'[3]Set Up'!$O$17)))))</f>
        <v>0</v>
      </c>
      <c r="BX14" s="28">
        <f>IF(BX9="","",IF(BX9&lt;'[3]Set Up'!$J$15,BX9*'[3]Set Up'!$N$15,IF(BX9&lt;'[3]Set Up'!$J$16,(BX9-'[3]Set Up'!$J$15)*'[3]Set Up'!$N$16+'[3]Set Up'!$O$15,IF(BX9&lt;'[3]Set Up'!$J$17,(BX9-'[3]Set Up'!$J$16)*'[3]Set Up'!$N$17+'[3]Set Up'!$O$15+'[3]Set Up'!$O$16,(BX9-'[3]Set Up'!$J$17)*'[3]Set Up'!$N$18 + SUM('[3]Set Up'!$O$15:'[3]Set Up'!$O$17)))))</f>
        <v>0</v>
      </c>
      <c r="BY14" s="28">
        <f>IF(BY9="","",IF(BY9&lt;'[3]Set Up'!$J$15,BY9*'[3]Set Up'!$N$15,IF(BY9&lt;'[3]Set Up'!$J$16,(BY9-'[3]Set Up'!$J$15)*'[3]Set Up'!$N$16+'[3]Set Up'!$O$15,IF(BY9&lt;'[3]Set Up'!$J$17,(BY9-'[3]Set Up'!$J$16)*'[3]Set Up'!$N$17+'[3]Set Up'!$O$15+'[3]Set Up'!$O$16,(BY9-'[3]Set Up'!$J$17)*'[3]Set Up'!$N$18 + SUM('[3]Set Up'!$O$15:'[3]Set Up'!$O$17)))))</f>
        <v>0</v>
      </c>
      <c r="BZ14" s="8"/>
    </row>
    <row r="15" spans="1:78" ht="15" thickBot="1" x14ac:dyDescent="0.4">
      <c r="A15" s="29" t="s">
        <v>22</v>
      </c>
      <c r="B15" s="197"/>
      <c r="C15" s="30">
        <f>IF(C11="","",IF(C11&lt;'[3]Set Up'!$J$15,C11*'[3]Set Up'!$N$15,IF(C11&lt;'[3]Set Up'!$J$16,(C11-'[3]Set Up'!$J$15)*'[3]Set Up'!$N$16+'[3]Set Up'!$O$15,IF(C11&lt;'[3]Set Up'!$J$17,(C11-'[3]Set Up'!$J$16)*'[3]Set Up'!$N$17+'[3]Set Up'!$O$15+'[3]Set Up'!$O$16,(C11-'[3]Set Up'!$J$17)*'[3]Set Up'!$N$18 + SUM('[3]Set Up'!$O$15:'[3]Set Up'!$O$17)))))</f>
        <v>419.9264057765439</v>
      </c>
      <c r="D15" s="30">
        <f>IF(D11="","",IF(D11&lt;'[3]Set Up'!$J$15,D11*'[3]Set Up'!$N$15,IF(D11&lt;'[3]Set Up'!$J$16,(D11-'[3]Set Up'!$J$15)*'[3]Set Up'!$N$16+'[3]Set Up'!$O$15,IF(D11&lt;'[3]Set Up'!$J$17,(D11-'[3]Set Up'!$J$16)*'[3]Set Up'!$N$17+'[3]Set Up'!$O$15+'[3]Set Up'!$O$16,(D11-'[3]Set Up'!$J$17)*'[3]Set Up'!$N$18 + SUM('[3]Set Up'!$O$15:'[3]Set Up'!$O$17)))))</f>
        <v>416.9550476204422</v>
      </c>
      <c r="E15" s="30">
        <f>IF(E11="","",IF(E11&lt;'[3]Set Up'!$J$15,E11*'[3]Set Up'!$N$15,IF(E11&lt;'[3]Set Up'!$J$16,(E11-'[3]Set Up'!$J$15)*'[3]Set Up'!$N$16+'[3]Set Up'!$O$15,IF(E11&lt;'[3]Set Up'!$J$17,(E11-'[3]Set Up'!$J$16)*'[3]Set Up'!$N$17+'[3]Set Up'!$O$15+'[3]Set Up'!$O$16,(E11-'[3]Set Up'!$J$17)*'[3]Set Up'!$N$18 + SUM('[3]Set Up'!$O$15:'[3]Set Up'!$O$17)))))</f>
        <v>413.98368946434056</v>
      </c>
      <c r="F15" s="30">
        <f>IF(F11="","",IF(F11&lt;'[3]Set Up'!$J$15,F11*'[3]Set Up'!$N$15,IF(F11&lt;'[3]Set Up'!$J$16,(F11-'[3]Set Up'!$J$15)*'[3]Set Up'!$N$16+'[3]Set Up'!$O$15,IF(F11&lt;'[3]Set Up'!$J$17,(F11-'[3]Set Up'!$J$16)*'[3]Set Up'!$N$17+'[3]Set Up'!$O$15+'[3]Set Up'!$O$16,(F11-'[3]Set Up'!$J$17)*'[3]Set Up'!$N$18 + SUM('[3]Set Up'!$O$15:'[3]Set Up'!$O$17)))))</f>
        <v>411.01233130823891</v>
      </c>
      <c r="G15" s="30">
        <f>IF(G11="","",IF(G11&lt;'[3]Set Up'!$J$15,G11*'[3]Set Up'!$N$15,IF(G11&lt;'[3]Set Up'!$J$16,(G11-'[3]Set Up'!$J$15)*'[3]Set Up'!$N$16+'[3]Set Up'!$O$15,IF(G11&lt;'[3]Set Up'!$J$17,(G11-'[3]Set Up'!$J$16)*'[3]Set Up'!$N$17+'[3]Set Up'!$O$15+'[3]Set Up'!$O$16,(G11-'[3]Set Up'!$J$17)*'[3]Set Up'!$N$18 + SUM('[3]Set Up'!$O$15:'[3]Set Up'!$O$17)))))</f>
        <v>408.04097315213721</v>
      </c>
      <c r="H15" s="30">
        <f>IF(H11="","",IF(H11&lt;'[3]Set Up'!$J$15,H11*'[3]Set Up'!$N$15,IF(H11&lt;'[3]Set Up'!$J$16,(H11-'[3]Set Up'!$J$15)*'[3]Set Up'!$N$16+'[3]Set Up'!$O$15,IF(H11&lt;'[3]Set Up'!$J$17,(H11-'[3]Set Up'!$J$16)*'[3]Set Up'!$N$17+'[3]Set Up'!$O$15+'[3]Set Up'!$O$16,(H11-'[3]Set Up'!$J$17)*'[3]Set Up'!$N$18 + SUM('[3]Set Up'!$O$15:'[3]Set Up'!$O$17)))))</f>
        <v>405.06961499603551</v>
      </c>
      <c r="I15" s="30">
        <f>IF(I11="","",IF(I11&lt;'[3]Set Up'!$J$15,I11*'[3]Set Up'!$N$15,IF(I11&lt;'[3]Set Up'!$J$16,(I11-'[3]Set Up'!$J$15)*'[3]Set Up'!$N$16+'[3]Set Up'!$O$15,IF(I11&lt;'[3]Set Up'!$J$17,(I11-'[3]Set Up'!$J$16)*'[3]Set Up'!$N$17+'[3]Set Up'!$O$15+'[3]Set Up'!$O$16,(I11-'[3]Set Up'!$J$17)*'[3]Set Up'!$N$18 + SUM('[3]Set Up'!$O$15:'[3]Set Up'!$O$17)))))</f>
        <v>402.09825683993392</v>
      </c>
      <c r="J15" s="30">
        <f>IF(J11="","",IF(J11&lt;'[3]Set Up'!$J$15,J11*'[3]Set Up'!$N$15,IF(J11&lt;'[3]Set Up'!$J$16,(J11-'[3]Set Up'!$J$15)*'[3]Set Up'!$N$16+'[3]Set Up'!$O$15,IF(J11&lt;'[3]Set Up'!$J$17,(J11-'[3]Set Up'!$J$16)*'[3]Set Up'!$N$17+'[3]Set Up'!$O$15+'[3]Set Up'!$O$16,(J11-'[3]Set Up'!$J$17)*'[3]Set Up'!$N$18 + SUM('[3]Set Up'!$O$15:'[3]Set Up'!$O$17)))))</f>
        <v>399.12689868383222</v>
      </c>
      <c r="K15" s="30">
        <f>IF(K11="","",IF(K11&lt;'[3]Set Up'!$J$15,K11*'[3]Set Up'!$N$15,IF(K11&lt;'[3]Set Up'!$J$16,(K11-'[3]Set Up'!$J$15)*'[3]Set Up'!$N$16+'[3]Set Up'!$O$15,IF(K11&lt;'[3]Set Up'!$J$17,(K11-'[3]Set Up'!$J$16)*'[3]Set Up'!$N$17+'[3]Set Up'!$O$15+'[3]Set Up'!$O$16,(K11-'[3]Set Up'!$J$17)*'[3]Set Up'!$N$18 + SUM('[3]Set Up'!$O$15:'[3]Set Up'!$O$17)))))</f>
        <v>396.15554052773052</v>
      </c>
      <c r="L15" s="30">
        <f>IF(L11="","",IF(L11&lt;'[3]Set Up'!$J$15,L11*'[3]Set Up'!$N$15,IF(L11&lt;'[3]Set Up'!$J$16,(L11-'[3]Set Up'!$J$15)*'[3]Set Up'!$N$16+'[3]Set Up'!$O$15,IF(L11&lt;'[3]Set Up'!$J$17,(L11-'[3]Set Up'!$J$16)*'[3]Set Up'!$N$17+'[3]Set Up'!$O$15+'[3]Set Up'!$O$16,(L11-'[3]Set Up'!$J$17)*'[3]Set Up'!$N$18 + SUM('[3]Set Up'!$O$15:'[3]Set Up'!$O$17)))))</f>
        <v>393.04979933944338</v>
      </c>
      <c r="M15" s="30">
        <f>IF(M11="","",IF(M11&lt;'[3]Set Up'!$J$15,M11*'[3]Set Up'!$N$15,IF(M11&lt;'[3]Set Up'!$J$16,(M11-'[3]Set Up'!$J$15)*'[3]Set Up'!$N$16+'[3]Set Up'!$O$15,IF(M11&lt;'[3]Set Up'!$J$17,(M11-'[3]Set Up'!$J$16)*'[3]Set Up'!$N$17+'[3]Set Up'!$O$15+'[3]Set Up'!$O$16,(M11-'[3]Set Up'!$J$17)*'[3]Set Up'!$N$18 + SUM('[3]Set Up'!$O$15:'[3]Set Up'!$O$17)))))</f>
        <v>390.21282421552723</v>
      </c>
      <c r="N15" s="30">
        <f>IF(N11="","",IF(N11&lt;'[3]Set Up'!$J$15,N11*'[3]Set Up'!$N$15,IF(N11&lt;'[3]Set Up'!$J$16,(N11-'[3]Set Up'!$J$15)*'[3]Set Up'!$N$16+'[3]Set Up'!$O$15,IF(N11&lt;'[3]Set Up'!$J$17,(N11-'[3]Set Up'!$J$16)*'[3]Set Up'!$N$17+'[3]Set Up'!$O$15+'[3]Set Up'!$O$16,(N11-'[3]Set Up'!$J$17)*'[3]Set Up'!$N$18 + SUM('[3]Set Up'!$O$15:'[3]Set Up'!$O$17)))))</f>
        <v>387.24146605942553</v>
      </c>
      <c r="O15" s="30">
        <f>IF(O11="","",IF(O11&lt;'[3]Set Up'!$J$15,O11*'[3]Set Up'!$N$15,IF(O11&lt;'[3]Set Up'!$J$16,(O11-'[3]Set Up'!$J$15)*'[3]Set Up'!$N$16+'[3]Set Up'!$O$15,IF(O11&lt;'[3]Set Up'!$J$17,(O11-'[3]Set Up'!$J$16)*'[3]Set Up'!$N$17+'[3]Set Up'!$O$15+'[3]Set Up'!$O$16,(O11-'[3]Set Up'!$J$17)*'[3]Set Up'!$N$18 + SUM('[3]Set Up'!$O$15:'[3]Set Up'!$O$17)))))</f>
        <v>384.27010790332389</v>
      </c>
      <c r="P15" s="30">
        <f>IF(P11="","",IF(P11&lt;'[3]Set Up'!$J$15,P11*'[3]Set Up'!$N$15,IF(P11&lt;'[3]Set Up'!$J$16,(P11-'[3]Set Up'!$J$15)*'[3]Set Up'!$N$16+'[3]Set Up'!$O$15,IF(P11&lt;'[3]Set Up'!$J$17,(P11-'[3]Set Up'!$J$16)*'[3]Set Up'!$N$17+'[3]Set Up'!$O$15+'[3]Set Up'!$O$16,(P11-'[3]Set Up'!$J$17)*'[3]Set Up'!$N$18 + SUM('[3]Set Up'!$O$15:'[3]Set Up'!$O$17)))))</f>
        <v>381.29874974722225</v>
      </c>
      <c r="Q15" s="30">
        <f>IF(Q11="","",IF(Q11&lt;'[3]Set Up'!$J$15,Q11*'[3]Set Up'!$N$15,IF(Q11&lt;'[3]Set Up'!$J$16,(Q11-'[3]Set Up'!$J$15)*'[3]Set Up'!$N$16+'[3]Set Up'!$O$15,IF(Q11&lt;'[3]Set Up'!$J$17,(Q11-'[3]Set Up'!$J$16)*'[3]Set Up'!$N$17+'[3]Set Up'!$O$15+'[3]Set Up'!$O$16,(Q11-'[3]Set Up'!$J$17)*'[3]Set Up'!$N$18 + SUM('[3]Set Up'!$O$15:'[3]Set Up'!$O$17)))))</f>
        <v>378.32739159112054</v>
      </c>
      <c r="R15" s="30">
        <f>IF(R11="","",IF(R11&lt;'[3]Set Up'!$J$15,R11*'[3]Set Up'!$N$15,IF(R11&lt;'[3]Set Up'!$J$16,(R11-'[3]Set Up'!$J$15)*'[3]Set Up'!$N$16+'[3]Set Up'!$O$15,IF(R11&lt;'[3]Set Up'!$J$17,(R11-'[3]Set Up'!$J$16)*'[3]Set Up'!$N$17+'[3]Set Up'!$O$15+'[3]Set Up'!$O$16,(R11-'[3]Set Up'!$J$17)*'[3]Set Up'!$N$18 + SUM('[3]Set Up'!$O$15:'[3]Set Up'!$O$17)))))</f>
        <v>375.35603343501884</v>
      </c>
      <c r="S15" s="30">
        <f>IF(S11="","",IF(S11&lt;'[3]Set Up'!$J$15,S11*'[3]Set Up'!$N$15,IF(S11&lt;'[3]Set Up'!$J$16,(S11-'[3]Set Up'!$J$15)*'[3]Set Up'!$N$16+'[3]Set Up'!$O$15,IF(S11&lt;'[3]Set Up'!$J$17,(S11-'[3]Set Up'!$J$16)*'[3]Set Up'!$N$17+'[3]Set Up'!$O$15+'[3]Set Up'!$O$16,(S11-'[3]Set Up'!$J$17)*'[3]Set Up'!$N$18 + SUM('[3]Set Up'!$O$15:'[3]Set Up'!$O$17)))))</f>
        <v>372.3846752789172</v>
      </c>
      <c r="T15" s="30">
        <f>IF(T11="","",IF(T11&lt;'[3]Set Up'!$J$15,T11*'[3]Set Up'!$N$15,IF(T11&lt;'[3]Set Up'!$J$16,(T11-'[3]Set Up'!$J$15)*'[3]Set Up'!$N$16+'[3]Set Up'!$O$15,IF(T11&lt;'[3]Set Up'!$J$17,(T11-'[3]Set Up'!$J$16)*'[3]Set Up'!$N$17+'[3]Set Up'!$O$15+'[3]Set Up'!$O$16,(T11-'[3]Set Up'!$J$17)*'[3]Set Up'!$N$18 + SUM('[3]Set Up'!$O$15:'[3]Set Up'!$O$17)))))</f>
        <v>369.41331712281556</v>
      </c>
      <c r="U15" s="30">
        <f>IF(U11="","",IF(U11&lt;'[3]Set Up'!$J$15,U11*'[3]Set Up'!$N$15,IF(U11&lt;'[3]Set Up'!$J$16,(U11-'[3]Set Up'!$J$15)*'[3]Set Up'!$N$16+'[3]Set Up'!$O$15,IF(U11&lt;'[3]Set Up'!$J$17,(U11-'[3]Set Up'!$J$16)*'[3]Set Up'!$N$17+'[3]Set Up'!$O$15+'[3]Set Up'!$O$16,(U11-'[3]Set Up'!$J$17)*'[3]Set Up'!$N$18 + SUM('[3]Set Up'!$O$15:'[3]Set Up'!$O$17)))))</f>
        <v>366.44195896671386</v>
      </c>
      <c r="V15" s="30">
        <f>IF(V11="","",IF(V11&lt;'[3]Set Up'!$J$15,V11*'[3]Set Up'!$N$15,IF(V11&lt;'[3]Set Up'!$J$16,(V11-'[3]Set Up'!$J$15)*'[3]Set Up'!$N$16+'[3]Set Up'!$O$15,IF(V11&lt;'[3]Set Up'!$J$17,(V11-'[3]Set Up'!$J$16)*'[3]Set Up'!$N$17+'[3]Set Up'!$O$15+'[3]Set Up'!$O$16,(V11-'[3]Set Up'!$J$17)*'[3]Set Up'!$N$18 + SUM('[3]Set Up'!$O$15:'[3]Set Up'!$O$17)))))</f>
        <v>363.47060081061221</v>
      </c>
      <c r="W15" s="30">
        <f>IF(W11="","",IF(W11&lt;'[3]Set Up'!$J$15,W11*'[3]Set Up'!$N$15,IF(W11&lt;'[3]Set Up'!$J$16,(W11-'[3]Set Up'!$J$15)*'[3]Set Up'!$N$16+'[3]Set Up'!$O$15,IF(W11&lt;'[3]Set Up'!$J$17,(W11-'[3]Set Up'!$J$16)*'[3]Set Up'!$N$17+'[3]Set Up'!$O$15+'[3]Set Up'!$O$16,(W11-'[3]Set Up'!$J$17)*'[3]Set Up'!$N$18 + SUM('[3]Set Up'!$O$15:'[3]Set Up'!$O$17)))))</f>
        <v>360.49924265451057</v>
      </c>
      <c r="X15" s="30">
        <f>IF(X11="","",IF(X11&lt;'[3]Set Up'!$J$15,X11*'[3]Set Up'!$N$15,IF(X11&lt;'[3]Set Up'!$J$16,(X11-'[3]Set Up'!$J$15)*'[3]Set Up'!$N$16+'[3]Set Up'!$O$15,IF(X11&lt;'[3]Set Up'!$J$17,(X11-'[3]Set Up'!$J$16)*'[3]Set Up'!$N$17+'[3]Set Up'!$O$15+'[3]Set Up'!$O$16,(X11-'[3]Set Up'!$J$17)*'[3]Set Up'!$N$18 + SUM('[3]Set Up'!$O$15:'[3]Set Up'!$O$17)))))</f>
        <v>357.52788449840887</v>
      </c>
      <c r="Y15" s="30">
        <f>IF(Y11="","",IF(Y11&lt;'[3]Set Up'!$J$15,Y11*'[3]Set Up'!$N$15,IF(Y11&lt;'[3]Set Up'!$J$16,(Y11-'[3]Set Up'!$J$15)*'[3]Set Up'!$N$16+'[3]Set Up'!$O$15,IF(Y11&lt;'[3]Set Up'!$J$17,(Y11-'[3]Set Up'!$J$16)*'[3]Set Up'!$N$17+'[3]Set Up'!$O$15+'[3]Set Up'!$O$16,(Y11-'[3]Set Up'!$J$17)*'[3]Set Up'!$N$18 + SUM('[3]Set Up'!$O$15:'[3]Set Up'!$O$17)))))</f>
        <v>354.55652634230722</v>
      </c>
      <c r="Z15" s="30">
        <f>IF(Z11="","",IF(Z11&lt;'[3]Set Up'!$J$15,Z11*'[3]Set Up'!$N$15,IF(Z11&lt;'[3]Set Up'!$J$16,(Z11-'[3]Set Up'!$J$15)*'[3]Set Up'!$N$16+'[3]Set Up'!$O$15,IF(Z11&lt;'[3]Set Up'!$J$17,(Z11-'[3]Set Up'!$J$16)*'[3]Set Up'!$N$17+'[3]Set Up'!$O$15+'[3]Set Up'!$O$16,(Z11-'[3]Set Up'!$J$17)*'[3]Set Up'!$N$18 + SUM('[3]Set Up'!$O$15:'[3]Set Up'!$O$17)))))</f>
        <v>351.58516818620552</v>
      </c>
      <c r="AA15" s="30">
        <f>IF(AA11="","",IF(AA11&lt;'[3]Set Up'!$J$15,AA11*'[3]Set Up'!$N$15,IF(AA11&lt;'[3]Set Up'!$J$16,(AA11-'[3]Set Up'!$J$15)*'[3]Set Up'!$N$16+'[3]Set Up'!$O$15,IF(AA11&lt;'[3]Set Up'!$J$17,(AA11-'[3]Set Up'!$J$16)*'[3]Set Up'!$N$17+'[3]Set Up'!$O$15+'[3]Set Up'!$O$16,(AA11-'[3]Set Up'!$J$17)*'[3]Set Up'!$N$18 + SUM('[3]Set Up'!$O$15:'[3]Set Up'!$O$17)))))</f>
        <v>348.61381003010388</v>
      </c>
      <c r="AB15" s="30">
        <f>IF(AB11="","",IF(AB11&lt;'[3]Set Up'!$J$15,AB11*'[3]Set Up'!$N$15,IF(AB11&lt;'[3]Set Up'!$J$16,(AB11-'[3]Set Up'!$J$15)*'[3]Set Up'!$N$16+'[3]Set Up'!$O$15,IF(AB11&lt;'[3]Set Up'!$J$17,(AB11-'[3]Set Up'!$J$16)*'[3]Set Up'!$N$17+'[3]Set Up'!$O$15+'[3]Set Up'!$O$16,(AB11-'[3]Set Up'!$J$17)*'[3]Set Up'!$N$18 + SUM('[3]Set Up'!$O$15:'[3]Set Up'!$O$17)))))</f>
        <v>345.64245187400218</v>
      </c>
      <c r="AC15" s="30">
        <f>IF(AC11="","",IF(AC11&lt;'[3]Set Up'!$J$15,AC11*'[3]Set Up'!$N$15,IF(AC11&lt;'[3]Set Up'!$J$16,(AC11-'[3]Set Up'!$J$15)*'[3]Set Up'!$N$16+'[3]Set Up'!$O$15,IF(AC11&lt;'[3]Set Up'!$J$17,(AC11-'[3]Set Up'!$J$16)*'[3]Set Up'!$N$17+'[3]Set Up'!$O$15+'[3]Set Up'!$O$16,(AC11-'[3]Set Up'!$J$17)*'[3]Set Up'!$N$18 + SUM('[3]Set Up'!$O$15:'[3]Set Up'!$O$17)))))</f>
        <v>342.67109371790053</v>
      </c>
      <c r="AD15" s="30">
        <f>IF(AD11="","",IF(AD11&lt;'[3]Set Up'!$J$15,AD11*'[3]Set Up'!$N$15,IF(AD11&lt;'[3]Set Up'!$J$16,(AD11-'[3]Set Up'!$J$15)*'[3]Set Up'!$N$16+'[3]Set Up'!$O$15,IF(AD11&lt;'[3]Set Up'!$J$17,(AD11-'[3]Set Up'!$J$16)*'[3]Set Up'!$N$17+'[3]Set Up'!$O$15+'[3]Set Up'!$O$16,(AD11-'[3]Set Up'!$J$17)*'[3]Set Up'!$N$18 + SUM('[3]Set Up'!$O$15:'[3]Set Up'!$O$17)))))</f>
        <v>339.69973556179889</v>
      </c>
      <c r="AE15" s="30">
        <f>IF(AE11="","",IF(AE11&lt;'[3]Set Up'!$J$15,AE11*'[3]Set Up'!$N$15,IF(AE11&lt;'[3]Set Up'!$J$16,(AE11-'[3]Set Up'!$J$15)*'[3]Set Up'!$N$16+'[3]Set Up'!$O$15,IF(AE11&lt;'[3]Set Up'!$J$17,(AE11-'[3]Set Up'!$J$16)*'[3]Set Up'!$N$17+'[3]Set Up'!$O$15+'[3]Set Up'!$O$16,(AE11-'[3]Set Up'!$J$17)*'[3]Set Up'!$N$18 + SUM('[3]Set Up'!$O$15:'[3]Set Up'!$O$17)))))</f>
        <v>336.72837740569719</v>
      </c>
      <c r="AF15" s="30">
        <f>IF(AF11="","",IF(AF11&lt;'[3]Set Up'!$J$15,AF11*'[3]Set Up'!$N$15,IF(AF11&lt;'[3]Set Up'!$J$16,(AF11-'[3]Set Up'!$J$15)*'[3]Set Up'!$N$16+'[3]Set Up'!$O$15,IF(AF11&lt;'[3]Set Up'!$J$17,(AF11-'[3]Set Up'!$J$16)*'[3]Set Up'!$N$17+'[3]Set Up'!$O$15+'[3]Set Up'!$O$16,(AF11-'[3]Set Up'!$J$17)*'[3]Set Up'!$N$18 + SUM('[3]Set Up'!$O$15:'[3]Set Up'!$O$17)))))</f>
        <v>333.75701924959554</v>
      </c>
      <c r="AG15" s="30">
        <f>IF(AG11="","",IF(AG11&lt;'[3]Set Up'!$J$15,AG11*'[3]Set Up'!$N$15,IF(AG11&lt;'[3]Set Up'!$J$16,(AG11-'[3]Set Up'!$J$15)*'[3]Set Up'!$N$16+'[3]Set Up'!$O$15,IF(AG11&lt;'[3]Set Up'!$J$17,(AG11-'[3]Set Up'!$J$16)*'[3]Set Up'!$N$17+'[3]Set Up'!$O$15+'[3]Set Up'!$O$16,(AG11-'[3]Set Up'!$J$17)*'[3]Set Up'!$N$18 + SUM('[3]Set Up'!$O$15:'[3]Set Up'!$O$17)))))</f>
        <v>330.7856610934939</v>
      </c>
      <c r="AH15" s="30">
        <f>IF(AH11="","",IF(AH11&lt;'[3]Set Up'!$J$15,AH11*'[3]Set Up'!$N$15,IF(AH11&lt;'[3]Set Up'!$J$16,(AH11-'[3]Set Up'!$J$15)*'[3]Set Up'!$N$16+'[3]Set Up'!$O$15,IF(AH11&lt;'[3]Set Up'!$J$17,(AH11-'[3]Set Up'!$J$16)*'[3]Set Up'!$N$17+'[3]Set Up'!$O$15+'[3]Set Up'!$O$16,(AH11-'[3]Set Up'!$J$17)*'[3]Set Up'!$N$18 + SUM('[3]Set Up'!$O$15:'[3]Set Up'!$O$17)))))</f>
        <v>327.8143029373922</v>
      </c>
      <c r="AI15" s="30">
        <f>IF(AI11="","",IF(AI11&lt;'[3]Set Up'!$J$15,AI11*'[3]Set Up'!$N$15,IF(AI11&lt;'[3]Set Up'!$J$16,(AI11-'[3]Set Up'!$J$15)*'[3]Set Up'!$N$16+'[3]Set Up'!$O$15,IF(AI11&lt;'[3]Set Up'!$J$17,(AI11-'[3]Set Up'!$J$16)*'[3]Set Up'!$N$17+'[3]Set Up'!$O$15+'[3]Set Up'!$O$16,(AI11-'[3]Set Up'!$J$17)*'[3]Set Up'!$N$18 + SUM('[3]Set Up'!$O$15:'[3]Set Up'!$O$17)))))</f>
        <v>324.8429447812905</v>
      </c>
      <c r="AJ15" s="30">
        <f>IF(AJ11="","",IF(AJ11&lt;'[3]Set Up'!$J$15,AJ11*'[3]Set Up'!$N$15,IF(AJ11&lt;'[3]Set Up'!$J$16,(AJ11-'[3]Set Up'!$J$15)*'[3]Set Up'!$N$16+'[3]Set Up'!$O$15,IF(AJ11&lt;'[3]Set Up'!$J$17,(AJ11-'[3]Set Up'!$J$16)*'[3]Set Up'!$N$17+'[3]Set Up'!$O$15+'[3]Set Up'!$O$16,(AJ11-'[3]Set Up'!$J$17)*'[3]Set Up'!$N$18 + SUM('[3]Set Up'!$O$15:'[3]Set Up'!$O$17)))))</f>
        <v>321.87158662518885</v>
      </c>
      <c r="AK15" s="30">
        <f>IF(AK11="","",IF(AK11&lt;'[3]Set Up'!$J$15,AK11*'[3]Set Up'!$N$15,IF(AK11&lt;'[3]Set Up'!$J$16,(AK11-'[3]Set Up'!$J$15)*'[3]Set Up'!$N$16+'[3]Set Up'!$O$15,IF(AK11&lt;'[3]Set Up'!$J$17,(AK11-'[3]Set Up'!$J$16)*'[3]Set Up'!$N$17+'[3]Set Up'!$O$15+'[3]Set Up'!$O$16,(AK11-'[3]Set Up'!$J$17)*'[3]Set Up'!$N$18 + SUM('[3]Set Up'!$O$15:'[3]Set Up'!$O$17)))))</f>
        <v>318.90022846908721</v>
      </c>
      <c r="AL15" s="30">
        <f>IF(AL11="","",IF(AL11&lt;'[3]Set Up'!$J$15,AL11*'[3]Set Up'!$N$15,IF(AL11&lt;'[3]Set Up'!$J$16,(AL11-'[3]Set Up'!$J$15)*'[3]Set Up'!$N$16+'[3]Set Up'!$O$15,IF(AL11&lt;'[3]Set Up'!$J$17,(AL11-'[3]Set Up'!$J$16)*'[3]Set Up'!$N$17+'[3]Set Up'!$O$15+'[3]Set Up'!$O$16,(AL11-'[3]Set Up'!$J$17)*'[3]Set Up'!$N$18 + SUM('[3]Set Up'!$O$15:'[3]Set Up'!$O$17)))))</f>
        <v>315.92887031298551</v>
      </c>
      <c r="AM15" s="30">
        <f>IF(AM11="","",IF(AM11&lt;'[3]Set Up'!$J$15,AM11*'[3]Set Up'!$N$15,IF(AM11&lt;'[3]Set Up'!$J$16,(AM11-'[3]Set Up'!$J$15)*'[3]Set Up'!$N$16+'[3]Set Up'!$O$15,IF(AM11&lt;'[3]Set Up'!$J$17,(AM11-'[3]Set Up'!$J$16)*'[3]Set Up'!$N$17+'[3]Set Up'!$O$15+'[3]Set Up'!$O$16,(AM11-'[3]Set Up'!$J$17)*'[3]Set Up'!$N$18 + SUM('[3]Set Up'!$O$15:'[3]Set Up'!$O$17)))))</f>
        <v>312.95751215688387</v>
      </c>
      <c r="AN15" s="30">
        <f>IF(AN11="","",IF(AN11&lt;'[3]Set Up'!$J$15,AN11*'[3]Set Up'!$N$15,IF(AN11&lt;'[3]Set Up'!$J$16,(AN11-'[3]Set Up'!$J$15)*'[3]Set Up'!$N$16+'[3]Set Up'!$O$15,IF(AN11&lt;'[3]Set Up'!$J$17,(AN11-'[3]Set Up'!$J$16)*'[3]Set Up'!$N$17+'[3]Set Up'!$O$15+'[3]Set Up'!$O$16,(AN11-'[3]Set Up'!$J$17)*'[3]Set Up'!$N$18 + SUM('[3]Set Up'!$O$15:'[3]Set Up'!$O$17)))))</f>
        <v>309.98615400078222</v>
      </c>
      <c r="AO15" s="30">
        <f>IF(AO11="","",IF(AO11&lt;'[3]Set Up'!$J$15,AO11*'[3]Set Up'!$N$15,IF(AO11&lt;'[3]Set Up'!$J$16,(AO11-'[3]Set Up'!$J$15)*'[3]Set Up'!$N$16+'[3]Set Up'!$O$15,IF(AO11&lt;'[3]Set Up'!$J$17,(AO11-'[3]Set Up'!$J$16)*'[3]Set Up'!$N$17+'[3]Set Up'!$O$15+'[3]Set Up'!$O$16,(AO11-'[3]Set Up'!$J$17)*'[3]Set Up'!$N$18 + SUM('[3]Set Up'!$O$15:'[3]Set Up'!$O$17)))))</f>
        <v>307.01479584468052</v>
      </c>
      <c r="AP15" s="30">
        <f>IF(AP11="","",IF(AP11&lt;'[3]Set Up'!$J$15,AP11*'[3]Set Up'!$N$15,IF(AP11&lt;'[3]Set Up'!$J$16,(AP11-'[3]Set Up'!$J$15)*'[3]Set Up'!$N$16+'[3]Set Up'!$O$15,IF(AP11&lt;'[3]Set Up'!$J$17,(AP11-'[3]Set Up'!$J$16)*'[3]Set Up'!$N$17+'[3]Set Up'!$O$15+'[3]Set Up'!$O$16,(AP11-'[3]Set Up'!$J$17)*'[3]Set Up'!$N$18 + SUM('[3]Set Up'!$O$15:'[3]Set Up'!$O$17)))))</f>
        <v>304.04343768857888</v>
      </c>
      <c r="AQ15" s="30">
        <f>IF(AQ11="","",IF(AQ11&lt;'[3]Set Up'!$J$15,AQ11*'[3]Set Up'!$N$15,IF(AQ11&lt;'[3]Set Up'!$J$16,(AQ11-'[3]Set Up'!$J$15)*'[3]Set Up'!$N$16+'[3]Set Up'!$O$15,IF(AQ11&lt;'[3]Set Up'!$J$17,(AQ11-'[3]Set Up'!$J$16)*'[3]Set Up'!$N$17+'[3]Set Up'!$O$15+'[3]Set Up'!$O$16,(AQ11-'[3]Set Up'!$J$17)*'[3]Set Up'!$N$18 + SUM('[3]Set Up'!$O$15:'[3]Set Up'!$O$17)))))</f>
        <v>301.07207953247718</v>
      </c>
      <c r="AR15" s="30">
        <f>IF(AR11="","",IF(AR11&lt;'[3]Set Up'!$J$15,AR11*'[3]Set Up'!$N$15,IF(AR11&lt;'[3]Set Up'!$J$16,(AR11-'[3]Set Up'!$J$15)*'[3]Set Up'!$N$16+'[3]Set Up'!$O$15,IF(AR11&lt;'[3]Set Up'!$J$17,(AR11-'[3]Set Up'!$J$16)*'[3]Set Up'!$N$17+'[3]Set Up'!$O$15+'[3]Set Up'!$O$16,(AR11-'[3]Set Up'!$J$17)*'[3]Set Up'!$N$18 + SUM('[3]Set Up'!$O$15:'[3]Set Up'!$O$17)))))</f>
        <v>298.10072137637553</v>
      </c>
      <c r="AS15" s="30">
        <f>IF(AS11="","",IF(AS11&lt;'[3]Set Up'!$J$15,AS11*'[3]Set Up'!$N$15,IF(AS11&lt;'[3]Set Up'!$J$16,(AS11-'[3]Set Up'!$J$15)*'[3]Set Up'!$N$16+'[3]Set Up'!$O$15,IF(AS11&lt;'[3]Set Up'!$J$17,(AS11-'[3]Set Up'!$J$16)*'[3]Set Up'!$N$17+'[3]Set Up'!$O$15+'[3]Set Up'!$O$16,(AS11-'[3]Set Up'!$J$17)*'[3]Set Up'!$N$18 + SUM('[3]Set Up'!$O$15:'[3]Set Up'!$O$17)))))</f>
        <v>295.12936322027383</v>
      </c>
      <c r="AT15" s="30">
        <f>IF(AT11="","",IF(AT11&lt;'[3]Set Up'!$J$15,AT11*'[3]Set Up'!$N$15,IF(AT11&lt;'[3]Set Up'!$J$16,(AT11-'[3]Set Up'!$J$15)*'[3]Set Up'!$N$16+'[3]Set Up'!$O$15,IF(AT11&lt;'[3]Set Up'!$J$17,(AT11-'[3]Set Up'!$J$16)*'[3]Set Up'!$N$17+'[3]Set Up'!$O$15+'[3]Set Up'!$O$16,(AT11-'[3]Set Up'!$J$17)*'[3]Set Up'!$N$18 + SUM('[3]Set Up'!$O$15:'[3]Set Up'!$O$17)))))</f>
        <v>292.15800506417219</v>
      </c>
      <c r="AU15" s="30">
        <f>IF(AU11="","",IF(AU11&lt;'[3]Set Up'!$J$15,AU11*'[3]Set Up'!$N$15,IF(AU11&lt;'[3]Set Up'!$J$16,(AU11-'[3]Set Up'!$J$15)*'[3]Set Up'!$N$16+'[3]Set Up'!$O$15,IF(AU11&lt;'[3]Set Up'!$J$17,(AU11-'[3]Set Up'!$J$16)*'[3]Set Up'!$N$17+'[3]Set Up'!$O$15+'[3]Set Up'!$O$16,(AU11-'[3]Set Up'!$J$17)*'[3]Set Up'!$N$18 + SUM('[3]Set Up'!$O$15:'[3]Set Up'!$O$17)))))</f>
        <v>289.18664690807054</v>
      </c>
      <c r="AV15" s="30">
        <f>IF(AV11="","",IF(AV11&lt;'[3]Set Up'!$J$15,AV11*'[3]Set Up'!$N$15,IF(AV11&lt;'[3]Set Up'!$J$16,(AV11-'[3]Set Up'!$J$15)*'[3]Set Up'!$N$16+'[3]Set Up'!$O$15,IF(AV11&lt;'[3]Set Up'!$J$17,(AV11-'[3]Set Up'!$J$16)*'[3]Set Up'!$N$17+'[3]Set Up'!$O$15+'[3]Set Up'!$O$16,(AV11-'[3]Set Up'!$J$17)*'[3]Set Up'!$N$18 + SUM('[3]Set Up'!$O$15:'[3]Set Up'!$O$17)))))</f>
        <v>286.21528875196884</v>
      </c>
      <c r="AW15" s="30">
        <f>IF(AW11="","",IF(AW11&lt;'[3]Set Up'!$J$15,AW11*'[3]Set Up'!$N$15,IF(AW11&lt;'[3]Set Up'!$J$16,(AW11-'[3]Set Up'!$J$15)*'[3]Set Up'!$N$16+'[3]Set Up'!$O$15,IF(AW11&lt;'[3]Set Up'!$J$17,(AW11-'[3]Set Up'!$J$16)*'[3]Set Up'!$N$17+'[3]Set Up'!$O$15+'[3]Set Up'!$O$16,(AW11-'[3]Set Up'!$J$17)*'[3]Set Up'!$N$18 + SUM('[3]Set Up'!$O$15:'[3]Set Up'!$O$17)))))</f>
        <v>283.2439305958672</v>
      </c>
      <c r="AX15" s="30">
        <f>IF(AX11="","",IF(AX11&lt;'[3]Set Up'!$J$15,AX11*'[3]Set Up'!$N$15,IF(AX11&lt;'[3]Set Up'!$J$16,(AX11-'[3]Set Up'!$J$15)*'[3]Set Up'!$N$16+'[3]Set Up'!$O$15,IF(AX11&lt;'[3]Set Up'!$J$17,(AX11-'[3]Set Up'!$J$16)*'[3]Set Up'!$N$17+'[3]Set Up'!$O$15+'[3]Set Up'!$O$16,(AX11-'[3]Set Up'!$J$17)*'[3]Set Up'!$N$18 + SUM('[3]Set Up'!$O$15:'[3]Set Up'!$O$17)))))</f>
        <v>280.2725724397655</v>
      </c>
      <c r="AY15" s="30">
        <f>IF(AY11="","",IF(AY11&lt;'[3]Set Up'!$J$15,AY11*'[3]Set Up'!$N$15,IF(AY11&lt;'[3]Set Up'!$J$16,(AY11-'[3]Set Up'!$J$15)*'[3]Set Up'!$N$16+'[3]Set Up'!$O$15,IF(AY11&lt;'[3]Set Up'!$J$17,(AY11-'[3]Set Up'!$J$16)*'[3]Set Up'!$N$17+'[3]Set Up'!$O$15+'[3]Set Up'!$O$16,(AY11-'[3]Set Up'!$J$17)*'[3]Set Up'!$N$18 + SUM('[3]Set Up'!$O$15:'[3]Set Up'!$O$17)))))</f>
        <v>277.30121428366385</v>
      </c>
      <c r="AZ15" s="30">
        <f>IF(AZ11="","",IF(AZ11&lt;'[3]Set Up'!$J$15,AZ11*'[3]Set Up'!$N$15,IF(AZ11&lt;'[3]Set Up'!$J$16,(AZ11-'[3]Set Up'!$J$15)*'[3]Set Up'!$N$16+'[3]Set Up'!$O$15,IF(AZ11&lt;'[3]Set Up'!$J$17,(AZ11-'[3]Set Up'!$J$16)*'[3]Set Up'!$N$17+'[3]Set Up'!$O$15+'[3]Set Up'!$O$16,(AZ11-'[3]Set Up'!$J$17)*'[3]Set Up'!$N$18 + SUM('[3]Set Up'!$O$15:'[3]Set Up'!$O$17)))))</f>
        <v>274.32985612756221</v>
      </c>
      <c r="BA15" s="30">
        <f>IF(BA11="","",IF(BA11&lt;'[3]Set Up'!$J$15,BA11*'[3]Set Up'!$N$15,IF(BA11&lt;'[3]Set Up'!$J$16,(BA11-'[3]Set Up'!$J$15)*'[3]Set Up'!$N$16+'[3]Set Up'!$O$15,IF(BA11&lt;'[3]Set Up'!$J$17,(BA11-'[3]Set Up'!$J$16)*'[3]Set Up'!$N$17+'[3]Set Up'!$O$15+'[3]Set Up'!$O$16,(BA11-'[3]Set Up'!$J$17)*'[3]Set Up'!$N$18 + SUM('[3]Set Up'!$O$15:'[3]Set Up'!$O$17)))))</f>
        <v>271.35849797146051</v>
      </c>
      <c r="BB15" s="30">
        <f>IF(BB11="","",IF(BB11&lt;'[3]Set Up'!$J$15,BB11*'[3]Set Up'!$N$15,IF(BB11&lt;'[3]Set Up'!$J$16,(BB11-'[3]Set Up'!$J$15)*'[3]Set Up'!$N$16+'[3]Set Up'!$O$15,IF(BB11&lt;'[3]Set Up'!$J$17,(BB11-'[3]Set Up'!$J$16)*'[3]Set Up'!$N$17+'[3]Set Up'!$O$15+'[3]Set Up'!$O$16,(BB11-'[3]Set Up'!$J$17)*'[3]Set Up'!$N$18 + SUM('[3]Set Up'!$O$15:'[3]Set Up'!$O$17)))))</f>
        <v>268.38713981535886</v>
      </c>
      <c r="BC15" s="30">
        <f>IF(BC11="","",IF(BC11&lt;'[3]Set Up'!$J$15,BC11*'[3]Set Up'!$N$15,IF(BC11&lt;'[3]Set Up'!$J$16,(BC11-'[3]Set Up'!$J$15)*'[3]Set Up'!$N$16+'[3]Set Up'!$O$15,IF(BC11&lt;'[3]Set Up'!$J$17,(BC11-'[3]Set Up'!$J$16)*'[3]Set Up'!$N$17+'[3]Set Up'!$O$15+'[3]Set Up'!$O$16,(BC11-'[3]Set Up'!$J$17)*'[3]Set Up'!$N$18 + SUM('[3]Set Up'!$O$15:'[3]Set Up'!$O$17)))))</f>
        <v>265.41578165925716</v>
      </c>
      <c r="BD15" s="30">
        <f>IF(BD11="","",IF(BD11&lt;'[3]Set Up'!$J$15,BD11*'[3]Set Up'!$N$15,IF(BD11&lt;'[3]Set Up'!$J$16,(BD11-'[3]Set Up'!$J$15)*'[3]Set Up'!$N$16+'[3]Set Up'!$O$15,IF(BD11&lt;'[3]Set Up'!$J$17,(BD11-'[3]Set Up'!$J$16)*'[3]Set Up'!$N$17+'[3]Set Up'!$O$15+'[3]Set Up'!$O$16,(BD11-'[3]Set Up'!$J$17)*'[3]Set Up'!$N$18 + SUM('[3]Set Up'!$O$15:'[3]Set Up'!$O$17)))))</f>
        <v>0</v>
      </c>
      <c r="BE15" s="30">
        <f>IF(BE11="","",IF(BE11&lt;'[3]Set Up'!$J$15,BE11*'[3]Set Up'!$N$15,IF(BE11&lt;'[3]Set Up'!$J$16,(BE11-'[3]Set Up'!$J$15)*'[3]Set Up'!$N$16+'[3]Set Up'!$O$15,IF(BE11&lt;'[3]Set Up'!$J$17,(BE11-'[3]Set Up'!$J$16)*'[3]Set Up'!$N$17+'[3]Set Up'!$O$15+'[3]Set Up'!$O$16,(BE11-'[3]Set Up'!$J$17)*'[3]Set Up'!$N$18 + SUM('[3]Set Up'!$O$15:'[3]Set Up'!$O$17)))))</f>
        <v>0</v>
      </c>
      <c r="BF15" s="30">
        <f>IF(BF11="","",IF(BF11&lt;'[3]Set Up'!$J$15,BF11*'[3]Set Up'!$N$15,IF(BF11&lt;'[3]Set Up'!$J$16,(BF11-'[3]Set Up'!$J$15)*'[3]Set Up'!$N$16+'[3]Set Up'!$O$15,IF(BF11&lt;'[3]Set Up'!$J$17,(BF11-'[3]Set Up'!$J$16)*'[3]Set Up'!$N$17+'[3]Set Up'!$O$15+'[3]Set Up'!$O$16,(BF11-'[3]Set Up'!$J$17)*'[3]Set Up'!$N$18 + SUM('[3]Set Up'!$O$15:'[3]Set Up'!$O$17)))))</f>
        <v>0</v>
      </c>
      <c r="BG15" s="30">
        <f>IF(BG11="","",IF(BG11&lt;'[3]Set Up'!$J$15,BG11*'[3]Set Up'!$N$15,IF(BG11&lt;'[3]Set Up'!$J$16,(BG11-'[3]Set Up'!$J$15)*'[3]Set Up'!$N$16+'[3]Set Up'!$O$15,IF(BG11&lt;'[3]Set Up'!$J$17,(BG11-'[3]Set Up'!$J$16)*'[3]Set Up'!$N$17+'[3]Set Up'!$O$15+'[3]Set Up'!$O$16,(BG11-'[3]Set Up'!$J$17)*'[3]Set Up'!$N$18 + SUM('[3]Set Up'!$O$15:'[3]Set Up'!$O$17)))))</f>
        <v>0</v>
      </c>
      <c r="BH15" s="30">
        <f>IF(BH11="","",IF(BH11&lt;'[3]Set Up'!$J$15,BH11*'[3]Set Up'!$N$15,IF(BH11&lt;'[3]Set Up'!$J$16,(BH11-'[3]Set Up'!$J$15)*'[3]Set Up'!$N$16+'[3]Set Up'!$O$15,IF(BH11&lt;'[3]Set Up'!$J$17,(BH11-'[3]Set Up'!$J$16)*'[3]Set Up'!$N$17+'[3]Set Up'!$O$15+'[3]Set Up'!$O$16,(BH11-'[3]Set Up'!$J$17)*'[3]Set Up'!$N$18 + SUM('[3]Set Up'!$O$15:'[3]Set Up'!$O$17)))))</f>
        <v>0</v>
      </c>
      <c r="BI15" s="30">
        <f>IF(BI11="","",IF(BI11&lt;'[3]Set Up'!$J$15,BI11*'[3]Set Up'!$N$15,IF(BI11&lt;'[3]Set Up'!$J$16,(BI11-'[3]Set Up'!$J$15)*'[3]Set Up'!$N$16+'[3]Set Up'!$O$15,IF(BI11&lt;'[3]Set Up'!$J$17,(BI11-'[3]Set Up'!$J$16)*'[3]Set Up'!$N$17+'[3]Set Up'!$O$15+'[3]Set Up'!$O$16,(BI11-'[3]Set Up'!$J$17)*'[3]Set Up'!$N$18 + SUM('[3]Set Up'!$O$15:'[3]Set Up'!$O$17)))))</f>
        <v>0</v>
      </c>
      <c r="BJ15" s="30">
        <f>IF(BJ11="","",IF(BJ11&lt;'[3]Set Up'!$J$15,BJ11*'[3]Set Up'!$N$15,IF(BJ11&lt;'[3]Set Up'!$J$16,(BJ11-'[3]Set Up'!$J$15)*'[3]Set Up'!$N$16+'[3]Set Up'!$O$15,IF(BJ11&lt;'[3]Set Up'!$J$17,(BJ11-'[3]Set Up'!$J$16)*'[3]Set Up'!$N$17+'[3]Set Up'!$O$15+'[3]Set Up'!$O$16,(BJ11-'[3]Set Up'!$J$17)*'[3]Set Up'!$N$18 + SUM('[3]Set Up'!$O$15:'[3]Set Up'!$O$17)))))</f>
        <v>0</v>
      </c>
      <c r="BK15" s="30">
        <f>IF(BK11="","",IF(BK11&lt;'[3]Set Up'!$J$15,BK11*'[3]Set Up'!$N$15,IF(BK11&lt;'[3]Set Up'!$J$16,(BK11-'[3]Set Up'!$J$15)*'[3]Set Up'!$N$16+'[3]Set Up'!$O$15,IF(BK11&lt;'[3]Set Up'!$J$17,(BK11-'[3]Set Up'!$J$16)*'[3]Set Up'!$N$17+'[3]Set Up'!$O$15+'[3]Set Up'!$O$16,(BK11-'[3]Set Up'!$J$17)*'[3]Set Up'!$N$18 + SUM('[3]Set Up'!$O$15:'[3]Set Up'!$O$17)))))</f>
        <v>0</v>
      </c>
      <c r="BL15" s="30">
        <f>IF(BL11="","",IF(BL11&lt;'[3]Set Up'!$J$15,BL11*'[3]Set Up'!$N$15,IF(BL11&lt;'[3]Set Up'!$J$16,(BL11-'[3]Set Up'!$J$15)*'[3]Set Up'!$N$16+'[3]Set Up'!$O$15,IF(BL11&lt;'[3]Set Up'!$J$17,(BL11-'[3]Set Up'!$J$16)*'[3]Set Up'!$N$17+'[3]Set Up'!$O$15+'[3]Set Up'!$O$16,(BL11-'[3]Set Up'!$J$17)*'[3]Set Up'!$N$18 + SUM('[3]Set Up'!$O$15:'[3]Set Up'!$O$17)))))</f>
        <v>0</v>
      </c>
      <c r="BM15" s="30">
        <f>IF(BM11="","",IF(BM11&lt;'[3]Set Up'!$J$15,BM11*'[3]Set Up'!$N$15,IF(BM11&lt;'[3]Set Up'!$J$16,(BM11-'[3]Set Up'!$J$15)*'[3]Set Up'!$N$16+'[3]Set Up'!$O$15,IF(BM11&lt;'[3]Set Up'!$J$17,(BM11-'[3]Set Up'!$J$16)*'[3]Set Up'!$N$17+'[3]Set Up'!$O$15+'[3]Set Up'!$O$16,(BM11-'[3]Set Up'!$J$17)*'[3]Set Up'!$N$18 + SUM('[3]Set Up'!$O$15:'[3]Set Up'!$O$17)))))</f>
        <v>0</v>
      </c>
      <c r="BN15" s="30">
        <f>IF(BN11="","",IF(BN11&lt;'[3]Set Up'!$J$15,BN11*'[3]Set Up'!$N$15,IF(BN11&lt;'[3]Set Up'!$J$16,(BN11-'[3]Set Up'!$J$15)*'[3]Set Up'!$N$16+'[3]Set Up'!$O$15,IF(BN11&lt;'[3]Set Up'!$J$17,(BN11-'[3]Set Up'!$J$16)*'[3]Set Up'!$N$17+'[3]Set Up'!$O$15+'[3]Set Up'!$O$16,(BN11-'[3]Set Up'!$J$17)*'[3]Set Up'!$N$18 + SUM('[3]Set Up'!$O$15:'[3]Set Up'!$O$17)))))</f>
        <v>0</v>
      </c>
      <c r="BO15" s="30">
        <f>IF(BO11="","",IF(BO11&lt;'[3]Set Up'!$J$15,BO11*'[3]Set Up'!$N$15,IF(BO11&lt;'[3]Set Up'!$J$16,(BO11-'[3]Set Up'!$J$15)*'[3]Set Up'!$N$16+'[3]Set Up'!$O$15,IF(BO11&lt;'[3]Set Up'!$J$17,(BO11-'[3]Set Up'!$J$16)*'[3]Set Up'!$N$17+'[3]Set Up'!$O$15+'[3]Set Up'!$O$16,(BO11-'[3]Set Up'!$J$17)*'[3]Set Up'!$N$18 + SUM('[3]Set Up'!$O$15:'[3]Set Up'!$O$17)))))</f>
        <v>0</v>
      </c>
      <c r="BP15" s="30">
        <f>IF(BP11="","",IF(BP11&lt;'[3]Set Up'!$J$15,BP11*'[3]Set Up'!$N$15,IF(BP11&lt;'[3]Set Up'!$J$16,(BP11-'[3]Set Up'!$J$15)*'[3]Set Up'!$N$16+'[3]Set Up'!$O$15,IF(BP11&lt;'[3]Set Up'!$J$17,(BP11-'[3]Set Up'!$J$16)*'[3]Set Up'!$N$17+'[3]Set Up'!$O$15+'[3]Set Up'!$O$16,(BP11-'[3]Set Up'!$J$17)*'[3]Set Up'!$N$18 + SUM('[3]Set Up'!$O$15:'[3]Set Up'!$O$17)))))</f>
        <v>0</v>
      </c>
      <c r="BQ15" s="30">
        <f>IF(BQ11="","",IF(BQ11&lt;'[3]Set Up'!$J$15,BQ11*'[3]Set Up'!$N$15,IF(BQ11&lt;'[3]Set Up'!$J$16,(BQ11-'[3]Set Up'!$J$15)*'[3]Set Up'!$N$16+'[3]Set Up'!$O$15,IF(BQ11&lt;'[3]Set Up'!$J$17,(BQ11-'[3]Set Up'!$J$16)*'[3]Set Up'!$N$17+'[3]Set Up'!$O$15+'[3]Set Up'!$O$16,(BQ11-'[3]Set Up'!$J$17)*'[3]Set Up'!$N$18 + SUM('[3]Set Up'!$O$15:'[3]Set Up'!$O$17)))))</f>
        <v>0</v>
      </c>
      <c r="BR15" s="30">
        <f>IF(BR11="","",IF(BR11&lt;'[3]Set Up'!$J$15,BR11*'[3]Set Up'!$N$15,IF(BR11&lt;'[3]Set Up'!$J$16,(BR11-'[3]Set Up'!$J$15)*'[3]Set Up'!$N$16+'[3]Set Up'!$O$15,IF(BR11&lt;'[3]Set Up'!$J$17,(BR11-'[3]Set Up'!$J$16)*'[3]Set Up'!$N$17+'[3]Set Up'!$O$15+'[3]Set Up'!$O$16,(BR11-'[3]Set Up'!$J$17)*'[3]Set Up'!$N$18 + SUM('[3]Set Up'!$O$15:'[3]Set Up'!$O$17)))))</f>
        <v>0</v>
      </c>
      <c r="BS15" s="30">
        <f>IF(BS11="","",IF(BS11&lt;'[3]Set Up'!$J$15,BS11*'[3]Set Up'!$N$15,IF(BS11&lt;'[3]Set Up'!$J$16,(BS11-'[3]Set Up'!$J$15)*'[3]Set Up'!$N$16+'[3]Set Up'!$O$15,IF(BS11&lt;'[3]Set Up'!$J$17,(BS11-'[3]Set Up'!$J$16)*'[3]Set Up'!$N$17+'[3]Set Up'!$O$15+'[3]Set Up'!$O$16,(BS11-'[3]Set Up'!$J$17)*'[3]Set Up'!$N$18 + SUM('[3]Set Up'!$O$15:'[3]Set Up'!$O$17)))))</f>
        <v>0</v>
      </c>
      <c r="BT15" s="30">
        <f>IF(BT11="","",IF(BT11&lt;'[3]Set Up'!$J$15,BT11*'[3]Set Up'!$N$15,IF(BT11&lt;'[3]Set Up'!$J$16,(BT11-'[3]Set Up'!$J$15)*'[3]Set Up'!$N$16+'[3]Set Up'!$O$15,IF(BT11&lt;'[3]Set Up'!$J$17,(BT11-'[3]Set Up'!$J$16)*'[3]Set Up'!$N$17+'[3]Set Up'!$O$15+'[3]Set Up'!$O$16,(BT11-'[3]Set Up'!$J$17)*'[3]Set Up'!$N$18 + SUM('[3]Set Up'!$O$15:'[3]Set Up'!$O$17)))))</f>
        <v>0</v>
      </c>
      <c r="BU15" s="30">
        <f>IF(BU11="","",IF(BU11&lt;'[3]Set Up'!$J$15,BU11*'[3]Set Up'!$N$15,IF(BU11&lt;'[3]Set Up'!$J$16,(BU11-'[3]Set Up'!$J$15)*'[3]Set Up'!$N$16+'[3]Set Up'!$O$15,IF(BU11&lt;'[3]Set Up'!$J$17,(BU11-'[3]Set Up'!$J$16)*'[3]Set Up'!$N$17+'[3]Set Up'!$O$15+'[3]Set Up'!$O$16,(BU11-'[3]Set Up'!$J$17)*'[3]Set Up'!$N$18 + SUM('[3]Set Up'!$O$15:'[3]Set Up'!$O$17)))))</f>
        <v>0</v>
      </c>
      <c r="BV15" s="30">
        <f>IF(BV11="","",IF(BV11&lt;'[3]Set Up'!$J$15,BV11*'[3]Set Up'!$N$15,IF(BV11&lt;'[3]Set Up'!$J$16,(BV11-'[3]Set Up'!$J$15)*'[3]Set Up'!$N$16+'[3]Set Up'!$O$15,IF(BV11&lt;'[3]Set Up'!$J$17,(BV11-'[3]Set Up'!$J$16)*'[3]Set Up'!$N$17+'[3]Set Up'!$O$15+'[3]Set Up'!$O$16,(BV11-'[3]Set Up'!$J$17)*'[3]Set Up'!$N$18 + SUM('[3]Set Up'!$O$15:'[3]Set Up'!$O$17)))))</f>
        <v>0</v>
      </c>
      <c r="BW15" s="30">
        <f>IF(BW11="","",IF(BW11&lt;'[3]Set Up'!$J$15,BW11*'[3]Set Up'!$N$15,IF(BW11&lt;'[3]Set Up'!$J$16,(BW11-'[3]Set Up'!$J$15)*'[3]Set Up'!$N$16+'[3]Set Up'!$O$15,IF(BW11&lt;'[3]Set Up'!$J$17,(BW11-'[3]Set Up'!$J$16)*'[3]Set Up'!$N$17+'[3]Set Up'!$O$15+'[3]Set Up'!$O$16,(BW11-'[3]Set Up'!$J$17)*'[3]Set Up'!$N$18 + SUM('[3]Set Up'!$O$15:'[3]Set Up'!$O$17)))))</f>
        <v>0</v>
      </c>
      <c r="BX15" s="30">
        <f>IF(BX11="","",IF(BX11&lt;'[3]Set Up'!$J$15,BX11*'[3]Set Up'!$N$15,IF(BX11&lt;'[3]Set Up'!$J$16,(BX11-'[3]Set Up'!$J$15)*'[3]Set Up'!$N$16+'[3]Set Up'!$O$15,IF(BX11&lt;'[3]Set Up'!$J$17,(BX11-'[3]Set Up'!$J$16)*'[3]Set Up'!$N$17+'[3]Set Up'!$O$15+'[3]Set Up'!$O$16,(BX11-'[3]Set Up'!$J$17)*'[3]Set Up'!$N$18 + SUM('[3]Set Up'!$O$15:'[3]Set Up'!$O$17)))))</f>
        <v>0</v>
      </c>
      <c r="BY15" s="30">
        <f>IF(BY11="","",IF(BY11&lt;'[3]Set Up'!$J$15,BY11*'[3]Set Up'!$N$15,IF(BY11&lt;'[3]Set Up'!$J$16,(BY11-'[3]Set Up'!$J$15)*'[3]Set Up'!$N$16+'[3]Set Up'!$O$15,IF(BY11&lt;'[3]Set Up'!$J$17,(BY11-'[3]Set Up'!$J$16)*'[3]Set Up'!$N$17+'[3]Set Up'!$O$15+'[3]Set Up'!$O$16,(BY11-'[3]Set Up'!$J$17)*'[3]Set Up'!$N$18 + SUM('[3]Set Up'!$O$15:'[3]Set Up'!$O$17)))))</f>
        <v>0</v>
      </c>
      <c r="BZ15" s="8"/>
    </row>
    <row r="16" spans="1:78" ht="15" thickBot="1" x14ac:dyDescent="0.4">
      <c r="A16" s="31"/>
      <c r="B16" s="32"/>
      <c r="C16" s="183" t="s">
        <v>23</v>
      </c>
      <c r="D16" s="184"/>
      <c r="E16" s="184"/>
      <c r="F16" s="184"/>
      <c r="G16" s="184"/>
      <c r="H16" s="184"/>
      <c r="I16" s="185"/>
      <c r="J16" s="32"/>
      <c r="K16" s="32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8"/>
    </row>
    <row r="17" spans="1:78" x14ac:dyDescent="0.35">
      <c r="A17" s="34" t="s">
        <v>24</v>
      </c>
      <c r="B17" s="35" t="s">
        <v>11</v>
      </c>
      <c r="C17" s="36">
        <v>43205</v>
      </c>
      <c r="D17" s="36">
        <v>43205</v>
      </c>
      <c r="E17" s="36">
        <v>43206</v>
      </c>
      <c r="F17" s="36">
        <v>43206</v>
      </c>
      <c r="G17" s="36">
        <v>43207</v>
      </c>
      <c r="H17" s="36">
        <v>43207</v>
      </c>
      <c r="I17" s="36">
        <v>43207</v>
      </c>
      <c r="J17" s="36">
        <v>43208</v>
      </c>
      <c r="K17" s="36">
        <v>43208</v>
      </c>
      <c r="L17" s="36">
        <v>43208</v>
      </c>
      <c r="M17" s="36">
        <v>43209</v>
      </c>
      <c r="N17" s="36">
        <v>43209</v>
      </c>
      <c r="O17" s="36">
        <v>43209</v>
      </c>
      <c r="P17" s="36">
        <v>43209</v>
      </c>
      <c r="Q17" s="36">
        <v>43209</v>
      </c>
      <c r="R17" s="36">
        <v>43209</v>
      </c>
      <c r="S17" s="36">
        <v>43211</v>
      </c>
      <c r="T17" s="36">
        <v>43211</v>
      </c>
      <c r="U17" s="36">
        <v>43211</v>
      </c>
      <c r="V17" s="36">
        <v>43212</v>
      </c>
      <c r="W17" s="36">
        <v>43212</v>
      </c>
      <c r="X17" s="36">
        <v>43212</v>
      </c>
      <c r="Y17" s="36">
        <v>43213</v>
      </c>
      <c r="Z17" s="36">
        <v>43213</v>
      </c>
      <c r="AA17" s="36">
        <v>43213</v>
      </c>
      <c r="AB17" s="36">
        <v>43214</v>
      </c>
      <c r="AC17" s="36">
        <v>43214</v>
      </c>
      <c r="AD17" s="36">
        <v>43215</v>
      </c>
      <c r="AE17" s="36">
        <v>43215</v>
      </c>
      <c r="AF17" s="36">
        <v>43215</v>
      </c>
      <c r="AG17" s="36">
        <v>43216</v>
      </c>
      <c r="AH17" s="36">
        <v>43216</v>
      </c>
      <c r="AI17" s="36">
        <v>43216</v>
      </c>
      <c r="AJ17" s="36">
        <v>43217</v>
      </c>
      <c r="AK17" s="36">
        <v>43217</v>
      </c>
      <c r="AL17" s="36">
        <v>43217</v>
      </c>
      <c r="AM17" s="36">
        <v>43217</v>
      </c>
      <c r="AN17" s="36">
        <v>43218</v>
      </c>
      <c r="AO17" s="36">
        <v>43218</v>
      </c>
      <c r="AP17" s="36">
        <v>43218</v>
      </c>
      <c r="AQ17" s="36">
        <v>43218</v>
      </c>
      <c r="AR17" s="36">
        <v>43219</v>
      </c>
      <c r="AS17" s="36">
        <v>43219</v>
      </c>
      <c r="AT17" s="36">
        <v>43219</v>
      </c>
      <c r="AU17" s="36">
        <v>43220</v>
      </c>
      <c r="AV17" s="36">
        <v>43220</v>
      </c>
      <c r="AW17" s="36">
        <v>43220</v>
      </c>
      <c r="AX17" s="36">
        <v>43221</v>
      </c>
      <c r="AY17" s="36">
        <v>43221</v>
      </c>
      <c r="AZ17" s="36">
        <v>43221</v>
      </c>
      <c r="BA17" s="36">
        <v>43221</v>
      </c>
      <c r="BB17" s="36">
        <v>43221</v>
      </c>
      <c r="BC17" s="36">
        <v>43222</v>
      </c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7"/>
    </row>
    <row r="18" spans="1:78" x14ac:dyDescent="0.35">
      <c r="A18" s="38" t="s">
        <v>25</v>
      </c>
      <c r="B18" s="39">
        <f>IF(C18="","",AVERAGE(C18:BY18))</f>
        <v>4799.2830188679245</v>
      </c>
      <c r="C18" s="40">
        <v>3730</v>
      </c>
      <c r="D18" s="40">
        <v>4750</v>
      </c>
      <c r="E18" s="41">
        <v>4960</v>
      </c>
      <c r="F18" s="41">
        <v>4960</v>
      </c>
      <c r="G18" s="41">
        <v>4857</v>
      </c>
      <c r="H18" s="41">
        <v>4700</v>
      </c>
      <c r="I18" s="41">
        <v>4540</v>
      </c>
      <c r="J18" s="41">
        <v>4550</v>
      </c>
      <c r="K18" s="41">
        <v>4650</v>
      </c>
      <c r="L18" s="41">
        <v>4530</v>
      </c>
      <c r="M18" s="41">
        <v>4810</v>
      </c>
      <c r="N18" s="41">
        <v>4740</v>
      </c>
      <c r="O18" s="41">
        <v>4850</v>
      </c>
      <c r="P18" s="41">
        <v>4540</v>
      </c>
      <c r="Q18" s="41">
        <v>4630</v>
      </c>
      <c r="R18" s="41">
        <v>4620</v>
      </c>
      <c r="S18" s="41">
        <v>4650</v>
      </c>
      <c r="T18" s="41">
        <v>4455</v>
      </c>
      <c r="U18" s="41">
        <v>4610</v>
      </c>
      <c r="V18" s="41">
        <v>4880</v>
      </c>
      <c r="W18" s="41">
        <v>4630</v>
      </c>
      <c r="X18" s="41">
        <v>4517</v>
      </c>
      <c r="Y18" s="41">
        <v>4730</v>
      </c>
      <c r="Z18" s="41">
        <v>4900</v>
      </c>
      <c r="AA18" s="41">
        <v>4830</v>
      </c>
      <c r="AB18" s="41">
        <v>4840</v>
      </c>
      <c r="AC18" s="41">
        <v>4500</v>
      </c>
      <c r="AD18" s="41">
        <v>4920</v>
      </c>
      <c r="AE18" s="41">
        <v>5020</v>
      </c>
      <c r="AF18" s="41">
        <v>4890</v>
      </c>
      <c r="AG18" s="41">
        <v>4810</v>
      </c>
      <c r="AH18" s="41">
        <v>4860</v>
      </c>
      <c r="AI18" s="41">
        <v>4780</v>
      </c>
      <c r="AJ18" s="41">
        <v>4880</v>
      </c>
      <c r="AK18" s="41">
        <v>4940</v>
      </c>
      <c r="AL18" s="41">
        <v>5000</v>
      </c>
      <c r="AM18" s="41">
        <v>5000</v>
      </c>
      <c r="AN18" s="41">
        <v>4927</v>
      </c>
      <c r="AO18" s="41">
        <v>5010</v>
      </c>
      <c r="AP18" s="41">
        <v>4970</v>
      </c>
      <c r="AQ18" s="41">
        <v>4860</v>
      </c>
      <c r="AR18" s="41">
        <v>4860</v>
      </c>
      <c r="AS18" s="41">
        <v>4940</v>
      </c>
      <c r="AT18" s="41">
        <v>4900</v>
      </c>
      <c r="AU18" s="41">
        <v>4950</v>
      </c>
      <c r="AV18" s="41">
        <v>4970</v>
      </c>
      <c r="AW18" s="41">
        <v>4976</v>
      </c>
      <c r="AX18" s="41">
        <v>4980</v>
      </c>
      <c r="AY18" s="41">
        <v>5000</v>
      </c>
      <c r="AZ18" s="41">
        <v>5030</v>
      </c>
      <c r="BA18" s="41">
        <v>5020</v>
      </c>
      <c r="BB18" s="41">
        <v>4910</v>
      </c>
      <c r="BC18" s="41">
        <v>5000</v>
      </c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2"/>
    </row>
    <row r="19" spans="1:78" ht="15" thickBot="1" x14ac:dyDescent="0.4">
      <c r="A19" s="43" t="s">
        <v>26</v>
      </c>
      <c r="B19" s="44">
        <f>IF(C19="","",AVERAGE(C19:BY19))</f>
        <v>7215.7547169811323</v>
      </c>
      <c r="C19" s="45">
        <v>9480</v>
      </c>
      <c r="D19" s="46">
        <v>7320</v>
      </c>
      <c r="E19" s="46">
        <v>6020</v>
      </c>
      <c r="F19" s="46">
        <v>6030</v>
      </c>
      <c r="G19" s="46">
        <v>6030</v>
      </c>
      <c r="H19" s="46">
        <v>7070</v>
      </c>
      <c r="I19" s="46">
        <v>6670</v>
      </c>
      <c r="J19" s="46">
        <v>6950</v>
      </c>
      <c r="K19" s="46">
        <v>8170</v>
      </c>
      <c r="L19" s="46">
        <v>7090</v>
      </c>
      <c r="M19" s="46">
        <v>6940</v>
      </c>
      <c r="N19" s="46">
        <v>7310</v>
      </c>
      <c r="O19" s="46">
        <v>6640</v>
      </c>
      <c r="P19" s="46">
        <v>6995</v>
      </c>
      <c r="Q19" s="46">
        <v>6800</v>
      </c>
      <c r="R19" s="46">
        <v>6840</v>
      </c>
      <c r="S19" s="46">
        <v>6680</v>
      </c>
      <c r="T19" s="46">
        <v>6600</v>
      </c>
      <c r="U19" s="46">
        <v>6390</v>
      </c>
      <c r="V19" s="46">
        <v>6440</v>
      </c>
      <c r="W19" s="46">
        <v>6680</v>
      </c>
      <c r="X19" s="46">
        <v>6420</v>
      </c>
      <c r="Y19" s="46">
        <v>8910</v>
      </c>
      <c r="Z19" s="46">
        <v>6730</v>
      </c>
      <c r="AA19" s="46">
        <v>6640</v>
      </c>
      <c r="AB19" s="46">
        <v>6950</v>
      </c>
      <c r="AC19" s="46">
        <v>7090</v>
      </c>
      <c r="AD19" s="46">
        <v>6950</v>
      </c>
      <c r="AE19" s="46">
        <v>6610</v>
      </c>
      <c r="AF19" s="46">
        <v>7790</v>
      </c>
      <c r="AG19" s="46">
        <v>8540</v>
      </c>
      <c r="AH19" s="46">
        <v>7660</v>
      </c>
      <c r="AI19" s="46">
        <v>7030</v>
      </c>
      <c r="AJ19" s="46">
        <v>6910</v>
      </c>
      <c r="AK19" s="46">
        <v>7100</v>
      </c>
      <c r="AL19" s="46">
        <v>7050</v>
      </c>
      <c r="AM19" s="46">
        <v>6750</v>
      </c>
      <c r="AN19" s="46">
        <v>6760</v>
      </c>
      <c r="AO19" s="46">
        <v>6820</v>
      </c>
      <c r="AP19" s="46">
        <v>8730</v>
      </c>
      <c r="AQ19" s="46">
        <v>8390</v>
      </c>
      <c r="AR19" s="46">
        <v>7040</v>
      </c>
      <c r="AS19" s="46">
        <v>7460</v>
      </c>
      <c r="AT19" s="46">
        <v>8720</v>
      </c>
      <c r="AU19" s="46">
        <v>6830</v>
      </c>
      <c r="AV19" s="46">
        <v>6800</v>
      </c>
      <c r="AW19" s="46">
        <v>8220</v>
      </c>
      <c r="AX19" s="46">
        <v>8780</v>
      </c>
      <c r="AY19" s="46">
        <v>6710</v>
      </c>
      <c r="AZ19" s="46">
        <v>7910</v>
      </c>
      <c r="BA19" s="46">
        <v>7590</v>
      </c>
      <c r="BB19" s="46">
        <v>7450</v>
      </c>
      <c r="BC19" s="46">
        <v>7950</v>
      </c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7"/>
    </row>
    <row r="20" spans="1:78" x14ac:dyDescent="0.35">
      <c r="A20" s="48" t="s">
        <v>27</v>
      </c>
      <c r="B20" s="49"/>
      <c r="C20" s="50">
        <v>0.30138888888888887</v>
      </c>
      <c r="D20" s="51">
        <v>0.89722222222222225</v>
      </c>
      <c r="E20" s="51">
        <v>0.29097222222222224</v>
      </c>
      <c r="F20" s="51">
        <v>0.63194444444444442</v>
      </c>
      <c r="G20" s="51">
        <v>2.8472222222222222E-2</v>
      </c>
      <c r="H20" s="51">
        <v>0.43888888888888888</v>
      </c>
      <c r="I20" s="51">
        <v>0.77777777777777779</v>
      </c>
      <c r="J20" s="51">
        <v>0.10694444444444444</v>
      </c>
      <c r="K20" s="51">
        <v>0.46736111111111112</v>
      </c>
      <c r="L20" s="51">
        <v>0.78333333333333333</v>
      </c>
      <c r="M20" s="51">
        <v>0.36388888888888887</v>
      </c>
      <c r="N20" s="51">
        <v>0.64236111111111105</v>
      </c>
      <c r="O20" s="51">
        <v>0.94236111111111109</v>
      </c>
      <c r="P20" s="51">
        <v>0.26319444444444445</v>
      </c>
      <c r="Q20" s="51">
        <v>0.54166666666666663</v>
      </c>
      <c r="R20" s="51">
        <v>0.86944444444444446</v>
      </c>
      <c r="S20" s="51">
        <v>0.25138888888888888</v>
      </c>
      <c r="T20" s="51">
        <v>0.53125</v>
      </c>
      <c r="U20" s="51">
        <v>0.88611111111111107</v>
      </c>
      <c r="V20" s="51">
        <v>0.17361111111111113</v>
      </c>
      <c r="W20" s="51">
        <v>0.43888888888888888</v>
      </c>
      <c r="X20" s="51">
        <v>0.77847222222222223</v>
      </c>
      <c r="Y20" s="51">
        <v>0.21180555555555555</v>
      </c>
      <c r="Z20" s="51">
        <v>0.47291666666666665</v>
      </c>
      <c r="AA20" s="51">
        <v>0.85</v>
      </c>
      <c r="AB20" s="51">
        <v>0.18611111111111112</v>
      </c>
      <c r="AC20" s="51">
        <v>0.98402777777777783</v>
      </c>
      <c r="AD20" s="51">
        <v>0.25972222222222224</v>
      </c>
      <c r="AE20" s="51">
        <v>0.53125</v>
      </c>
      <c r="AF20" s="51">
        <v>0.8041666666666667</v>
      </c>
      <c r="AG20" s="51">
        <v>6.5972222222222224E-2</v>
      </c>
      <c r="AH20" s="51">
        <v>0.39930555555555558</v>
      </c>
      <c r="AI20" s="51">
        <v>0.71180555555555547</v>
      </c>
      <c r="AJ20" s="51">
        <v>1.3888888888888889E-3</v>
      </c>
      <c r="AK20" s="51">
        <v>0.24236111111111111</v>
      </c>
      <c r="AL20" s="51">
        <v>0.63750000000000007</v>
      </c>
      <c r="AM20" s="51">
        <v>0.89374999999999993</v>
      </c>
      <c r="AN20" s="51">
        <v>0.14930555555555555</v>
      </c>
      <c r="AO20" s="51">
        <v>0.45763888888888887</v>
      </c>
      <c r="AP20" s="51">
        <v>0.70694444444444438</v>
      </c>
      <c r="AQ20" s="51">
        <v>0.9784722222222223</v>
      </c>
      <c r="AR20" s="51">
        <v>0.30277777777777776</v>
      </c>
      <c r="AS20" s="51">
        <v>0.64513888888888882</v>
      </c>
      <c r="AT20" s="51">
        <v>0.97777777777777775</v>
      </c>
      <c r="AU20" s="51">
        <v>0.27430555555555552</v>
      </c>
      <c r="AV20" s="51">
        <v>0.54097222222222219</v>
      </c>
      <c r="AW20" s="51">
        <v>0.79861111111111116</v>
      </c>
      <c r="AX20" s="51">
        <v>4.5138888888888888E-2</v>
      </c>
      <c r="AY20" s="51">
        <v>0.28541666666666665</v>
      </c>
      <c r="AZ20" s="51">
        <v>0.61249999999999993</v>
      </c>
      <c r="BA20" s="51">
        <v>0.85972222222222217</v>
      </c>
      <c r="BB20" s="51">
        <v>0.42499999999999999</v>
      </c>
      <c r="BC20" s="51">
        <v>0.66527777777777775</v>
      </c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52"/>
    </row>
    <row r="21" spans="1:78" x14ac:dyDescent="0.35">
      <c r="A21" s="53" t="s">
        <v>28</v>
      </c>
      <c r="B21" s="54"/>
      <c r="C21" s="55">
        <v>0.61805555555555558</v>
      </c>
      <c r="D21" s="54">
        <v>3.1944444444444449E-2</v>
      </c>
      <c r="E21" s="54">
        <v>0.4201388888888889</v>
      </c>
      <c r="F21" s="54">
        <v>0.83680555555555547</v>
      </c>
      <c r="G21" s="54">
        <v>0.16597222222222222</v>
      </c>
      <c r="H21" s="54">
        <v>0.57361111111111118</v>
      </c>
      <c r="I21" s="54">
        <v>0.91527777777777775</v>
      </c>
      <c r="J21" s="54">
        <v>0.27152777777777776</v>
      </c>
      <c r="K21" s="54">
        <v>0.61805555555555558</v>
      </c>
      <c r="L21" s="54">
        <v>0.21249999999999999</v>
      </c>
      <c r="M21" s="54">
        <v>0.49652777777777773</v>
      </c>
      <c r="N21" s="54">
        <v>0.7715277777777777</v>
      </c>
      <c r="O21" s="54">
        <v>6.8749999999999992E-2</v>
      </c>
      <c r="P21" s="54">
        <v>0.38958333333333334</v>
      </c>
      <c r="Q21" s="54">
        <v>0.67986111111111114</v>
      </c>
      <c r="R21" s="54">
        <v>9.1666666666666674E-2</v>
      </c>
      <c r="S21" s="54">
        <v>0.3833333333333333</v>
      </c>
      <c r="T21" s="54">
        <v>0.66736111111111107</v>
      </c>
      <c r="U21" s="54">
        <v>9.0277777777777787E-3</v>
      </c>
      <c r="V21" s="54">
        <v>0.30208333333333331</v>
      </c>
      <c r="W21" s="54">
        <v>0.56180555555555556</v>
      </c>
      <c r="X21" s="54">
        <v>0.94791666666666663</v>
      </c>
      <c r="Y21" s="54">
        <v>0.33958333333333335</v>
      </c>
      <c r="Z21" s="54">
        <v>0.66597222222222219</v>
      </c>
      <c r="AA21" s="54">
        <v>5.9027777777777783E-2</v>
      </c>
      <c r="AB21" s="54">
        <v>0.39583333333333331</v>
      </c>
      <c r="AC21" s="54">
        <v>0.11319444444444444</v>
      </c>
      <c r="AD21" s="54">
        <v>0.3840277777777778</v>
      </c>
      <c r="AE21" s="54">
        <v>0.65347222222222223</v>
      </c>
      <c r="AF21" s="54">
        <v>0.92569444444444438</v>
      </c>
      <c r="AG21" s="54">
        <v>0.22430555555555556</v>
      </c>
      <c r="AH21" s="54">
        <v>0.54236111111111118</v>
      </c>
      <c r="AI21" s="54">
        <v>0.84652777777777777</v>
      </c>
      <c r="AJ21" s="54">
        <v>0.12569444444444444</v>
      </c>
      <c r="AK21" s="54">
        <v>0.43194444444444446</v>
      </c>
      <c r="AL21" s="54">
        <v>0.75694444444444453</v>
      </c>
      <c r="AM21" s="54">
        <v>1.4583333333333332E-2</v>
      </c>
      <c r="AN21" s="54">
        <v>0.27013888888888887</v>
      </c>
      <c r="AO21" s="54">
        <v>8.2638888888888887E-2</v>
      </c>
      <c r="AP21" s="54">
        <v>0.82708333333333339</v>
      </c>
      <c r="AQ21" s="54">
        <v>9.8611111111111108E-2</v>
      </c>
      <c r="AR21" s="54">
        <v>0.49861111111111112</v>
      </c>
      <c r="AS21" s="54">
        <v>0.84097222222222223</v>
      </c>
      <c r="AT21" s="54">
        <v>9.7916666666666666E-2</v>
      </c>
      <c r="AU21" s="54">
        <v>0.39652777777777781</v>
      </c>
      <c r="AV21" s="54">
        <v>0.66180555555555554</v>
      </c>
      <c r="AW21" s="54">
        <v>0.91736111111111107</v>
      </c>
      <c r="AX21" s="54">
        <v>0.16805555555555554</v>
      </c>
      <c r="AY21" s="54">
        <v>0.42569444444444443</v>
      </c>
      <c r="AZ21" s="54">
        <v>0.73263888888888884</v>
      </c>
      <c r="BA21" s="54">
        <v>0.99097222222222225</v>
      </c>
      <c r="BB21" s="54">
        <v>0.5444444444444444</v>
      </c>
      <c r="BC21" s="54">
        <v>0.78472222222222221</v>
      </c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2"/>
    </row>
    <row r="22" spans="1:78" ht="15" thickBot="1" x14ac:dyDescent="0.4">
      <c r="A22" s="56" t="s">
        <v>29</v>
      </c>
      <c r="B22" s="57">
        <f t="shared" ref="B22:B31" si="0">IF(C22="","",AVERAGE(C22:BY22))</f>
        <v>0.15974842767295594</v>
      </c>
      <c r="C22" s="58">
        <v>0.31666666666666671</v>
      </c>
      <c r="D22" s="59">
        <v>0.13472222222222219</v>
      </c>
      <c r="E22" s="59">
        <v>0.12916666666666665</v>
      </c>
      <c r="F22" s="59">
        <v>0.20486111111111105</v>
      </c>
      <c r="G22" s="59">
        <v>0.13749999999999998</v>
      </c>
      <c r="H22" s="59">
        <v>0.1347222222222223</v>
      </c>
      <c r="I22" s="59">
        <v>0.13749999999999996</v>
      </c>
      <c r="J22" s="59">
        <v>0.1645833333333333</v>
      </c>
      <c r="K22" s="59">
        <v>0.15069444444444446</v>
      </c>
      <c r="L22" s="59">
        <v>0.4291666666666667</v>
      </c>
      <c r="M22" s="59">
        <v>0.13263888888888886</v>
      </c>
      <c r="N22" s="59">
        <v>0.12916666666666665</v>
      </c>
      <c r="O22" s="59">
        <v>0.12638888888888888</v>
      </c>
      <c r="P22" s="59">
        <v>0.12638888888888888</v>
      </c>
      <c r="Q22" s="59">
        <v>0.13819444444444451</v>
      </c>
      <c r="R22" s="59">
        <v>0.22222222222222221</v>
      </c>
      <c r="S22" s="59">
        <v>0.13194444444444442</v>
      </c>
      <c r="T22" s="59">
        <v>0.13611111111111107</v>
      </c>
      <c r="U22" s="59">
        <v>0.12291666666666667</v>
      </c>
      <c r="V22" s="59">
        <v>0.12847222222222218</v>
      </c>
      <c r="W22" s="59">
        <v>0.12291666666666667</v>
      </c>
      <c r="X22" s="59">
        <v>0.1694444444444444</v>
      </c>
      <c r="Y22" s="59">
        <v>0.1277777777777778</v>
      </c>
      <c r="Z22" s="59">
        <v>0.19305555555555554</v>
      </c>
      <c r="AA22" s="59">
        <v>0.20902777777777781</v>
      </c>
      <c r="AB22" s="59">
        <v>0.2097222222222222</v>
      </c>
      <c r="AC22" s="59">
        <v>0.12916666666666665</v>
      </c>
      <c r="AD22" s="59">
        <v>0.12430555555555556</v>
      </c>
      <c r="AE22" s="59">
        <v>0.12222222222222223</v>
      </c>
      <c r="AF22" s="59">
        <v>0.12152777777777768</v>
      </c>
      <c r="AG22" s="59">
        <v>0.15833333333333333</v>
      </c>
      <c r="AH22" s="59">
        <v>0.1430555555555556</v>
      </c>
      <c r="AI22" s="59">
        <v>0.1347222222222223</v>
      </c>
      <c r="AJ22" s="59">
        <v>0.12430555555555556</v>
      </c>
      <c r="AK22" s="59">
        <v>0.18958333333333335</v>
      </c>
      <c r="AL22" s="59">
        <v>0.11944444444444446</v>
      </c>
      <c r="AM22" s="59">
        <v>0.12083333333333335</v>
      </c>
      <c r="AN22" s="59">
        <v>0.12083333333333332</v>
      </c>
      <c r="AO22" s="59">
        <v>0.625</v>
      </c>
      <c r="AP22" s="59">
        <v>0.12013888888888902</v>
      </c>
      <c r="AQ22" s="59">
        <v>0.1201388888888888</v>
      </c>
      <c r="AR22" s="59">
        <v>0.19583333333333336</v>
      </c>
      <c r="AS22" s="59">
        <v>0.19583333333333341</v>
      </c>
      <c r="AT22" s="59">
        <v>0.12013888888888891</v>
      </c>
      <c r="AU22" s="59">
        <v>0.12222222222222229</v>
      </c>
      <c r="AV22" s="59">
        <v>0.12083333333333335</v>
      </c>
      <c r="AW22" s="59">
        <v>0.11874999999999991</v>
      </c>
      <c r="AX22" s="59">
        <v>0.12291666666666665</v>
      </c>
      <c r="AY22" s="59">
        <v>0.14027777777777778</v>
      </c>
      <c r="AZ22" s="59">
        <v>0.12013888888888891</v>
      </c>
      <c r="BA22" s="59">
        <v>0.13125000000000009</v>
      </c>
      <c r="BB22" s="59">
        <v>0.11944444444444441</v>
      </c>
      <c r="BC22" s="59">
        <v>0.11944444444444446</v>
      </c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2"/>
    </row>
    <row r="23" spans="1:78" x14ac:dyDescent="0.35">
      <c r="A23" s="60" t="s">
        <v>30</v>
      </c>
      <c r="B23" s="61">
        <f t="shared" si="0"/>
        <v>68.547471698113227</v>
      </c>
      <c r="C23" s="62">
        <v>66.5</v>
      </c>
      <c r="D23" s="63">
        <v>68.900000000000006</v>
      </c>
      <c r="E23" s="63">
        <v>69.099999999999994</v>
      </c>
      <c r="F23" s="63">
        <v>70.2</v>
      </c>
      <c r="G23" s="63">
        <v>63.3</v>
      </c>
      <c r="H23" s="63">
        <v>66</v>
      </c>
      <c r="I23" s="63">
        <v>63.2</v>
      </c>
      <c r="J23" s="63">
        <v>68.900000000000006</v>
      </c>
      <c r="K23" s="63">
        <v>69.2</v>
      </c>
      <c r="L23" s="63">
        <v>70</v>
      </c>
      <c r="M23" s="63">
        <v>69.400000000000006</v>
      </c>
      <c r="N23" s="63">
        <v>69.5</v>
      </c>
      <c r="O23" s="63">
        <v>69.5</v>
      </c>
      <c r="P23" s="63">
        <v>69.5</v>
      </c>
      <c r="Q23" s="63">
        <v>69.5</v>
      </c>
      <c r="R23" s="63">
        <v>69.400000000000006</v>
      </c>
      <c r="S23" s="63">
        <v>66.540000000000006</v>
      </c>
      <c r="T23" s="63">
        <v>68.260000000000005</v>
      </c>
      <c r="U23" s="63">
        <v>70.400000000000006</v>
      </c>
      <c r="V23" s="63">
        <v>70.41</v>
      </c>
      <c r="W23" s="63">
        <v>70.156000000000006</v>
      </c>
      <c r="X23" s="63">
        <v>69.599999999999994</v>
      </c>
      <c r="Y23" s="63">
        <v>69.680000000000007</v>
      </c>
      <c r="Z23" s="63">
        <v>49.34</v>
      </c>
      <c r="AA23" s="63">
        <v>70.099999999999994</v>
      </c>
      <c r="AB23" s="63">
        <v>54.64</v>
      </c>
      <c r="AC23" s="63">
        <v>67.8</v>
      </c>
      <c r="AD23" s="63">
        <v>70.209999999999994</v>
      </c>
      <c r="AE23" s="63">
        <v>70.430000000000007</v>
      </c>
      <c r="AF23" s="63">
        <v>70.8</v>
      </c>
      <c r="AG23" s="63">
        <v>70.489999999999995</v>
      </c>
      <c r="AH23" s="63">
        <v>69.150000000000006</v>
      </c>
      <c r="AI23" s="63">
        <v>66.3</v>
      </c>
      <c r="AJ23" s="63">
        <v>69.2</v>
      </c>
      <c r="AK23" s="63">
        <v>69.69</v>
      </c>
      <c r="AL23" s="63">
        <v>70.3</v>
      </c>
      <c r="AM23" s="63">
        <v>70.599999999999994</v>
      </c>
      <c r="AN23" s="63">
        <v>70.3</v>
      </c>
      <c r="AO23" s="63">
        <v>69.540000000000006</v>
      </c>
      <c r="AP23" s="63">
        <v>70.7</v>
      </c>
      <c r="AQ23" s="63">
        <v>70.5</v>
      </c>
      <c r="AR23" s="63">
        <v>69.510000000000005</v>
      </c>
      <c r="AS23" s="63">
        <v>70.400000000000006</v>
      </c>
      <c r="AT23" s="63">
        <v>70.8</v>
      </c>
      <c r="AU23" s="63">
        <v>70.03</v>
      </c>
      <c r="AV23" s="63">
        <v>70.540000000000006</v>
      </c>
      <c r="AW23" s="63">
        <v>71.2</v>
      </c>
      <c r="AX23" s="63">
        <v>71</v>
      </c>
      <c r="AY23" s="63">
        <v>70.5</v>
      </c>
      <c r="AZ23" s="63">
        <v>70</v>
      </c>
      <c r="BA23" s="63">
        <v>64</v>
      </c>
      <c r="BB23" s="63">
        <v>70.400000000000006</v>
      </c>
      <c r="BC23" s="63">
        <v>67.400000000000006</v>
      </c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4"/>
    </row>
    <row r="24" spans="1:78" x14ac:dyDescent="0.35">
      <c r="A24" s="65" t="s">
        <v>31</v>
      </c>
      <c r="B24" s="66">
        <f t="shared" si="0"/>
        <v>10455.452830188678</v>
      </c>
      <c r="C24" s="67">
        <v>11260</v>
      </c>
      <c r="D24" s="68">
        <v>10465</v>
      </c>
      <c r="E24" s="68">
        <v>10707</v>
      </c>
      <c r="F24" s="68">
        <v>10415</v>
      </c>
      <c r="G24" s="68">
        <v>10010</v>
      </c>
      <c r="H24" s="68">
        <v>11146</v>
      </c>
      <c r="I24" s="68">
        <v>10846</v>
      </c>
      <c r="J24" s="68">
        <v>11545</v>
      </c>
      <c r="K24" s="68">
        <v>11631</v>
      </c>
      <c r="L24" s="68">
        <v>11500</v>
      </c>
      <c r="M24" s="68">
        <v>11596</v>
      </c>
      <c r="N24" s="68">
        <v>11357</v>
      </c>
      <c r="O24" s="68">
        <v>11195</v>
      </c>
      <c r="P24" s="68">
        <v>11272</v>
      </c>
      <c r="Q24" s="68">
        <v>11366</v>
      </c>
      <c r="R24" s="68">
        <v>11625</v>
      </c>
      <c r="S24" s="68">
        <v>11186</v>
      </c>
      <c r="T24" s="68">
        <v>10844</v>
      </c>
      <c r="U24" s="68">
        <v>11020</v>
      </c>
      <c r="V24" s="68">
        <v>11149</v>
      </c>
      <c r="W24" s="68">
        <v>10983</v>
      </c>
      <c r="X24" s="68">
        <v>10902</v>
      </c>
      <c r="Y24" s="68">
        <v>11091</v>
      </c>
      <c r="Z24" s="68">
        <v>9045</v>
      </c>
      <c r="AA24" s="68">
        <v>11126</v>
      </c>
      <c r="AB24" s="68">
        <v>10021</v>
      </c>
      <c r="AC24" s="68">
        <v>11390</v>
      </c>
      <c r="AD24" s="68">
        <v>10707</v>
      </c>
      <c r="AE24" s="68">
        <v>10632</v>
      </c>
      <c r="AF24" s="68">
        <v>10613</v>
      </c>
      <c r="AG24" s="68">
        <v>10502</v>
      </c>
      <c r="AH24" s="68">
        <v>11137</v>
      </c>
      <c r="AI24" s="68">
        <v>10085</v>
      </c>
      <c r="AJ24" s="68">
        <v>10334</v>
      </c>
      <c r="AK24" s="68">
        <v>10343</v>
      </c>
      <c r="AL24" s="68">
        <v>10163</v>
      </c>
      <c r="AM24" s="68">
        <v>10134</v>
      </c>
      <c r="AN24" s="68">
        <v>9856</v>
      </c>
      <c r="AO24" s="68">
        <v>9928</v>
      </c>
      <c r="AP24" s="68">
        <v>9675</v>
      </c>
      <c r="AQ24" s="68">
        <v>9653</v>
      </c>
      <c r="AR24" s="68">
        <v>9648</v>
      </c>
      <c r="AS24" s="68">
        <v>9660</v>
      </c>
      <c r="AT24" s="68">
        <v>9690</v>
      </c>
      <c r="AU24" s="68">
        <v>9631</v>
      </c>
      <c r="AV24" s="68">
        <v>9676</v>
      </c>
      <c r="AW24" s="68">
        <v>9605</v>
      </c>
      <c r="AX24" s="68">
        <v>8794</v>
      </c>
      <c r="AY24" s="68">
        <v>9259</v>
      </c>
      <c r="AZ24" s="68">
        <v>9317</v>
      </c>
      <c r="BA24" s="68">
        <v>8760</v>
      </c>
      <c r="BB24" s="68">
        <v>9630</v>
      </c>
      <c r="BC24" s="68">
        <v>10014</v>
      </c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8"/>
      <c r="BY24" s="68"/>
      <c r="BZ24" s="69"/>
    </row>
    <row r="25" spans="1:78" x14ac:dyDescent="0.35">
      <c r="A25" s="70" t="s">
        <v>32</v>
      </c>
      <c r="B25" s="71">
        <f t="shared" si="0"/>
        <v>70.70264150943396</v>
      </c>
      <c r="C25" s="72">
        <v>71.2</v>
      </c>
      <c r="D25" s="73">
        <v>70.5</v>
      </c>
      <c r="E25" s="73">
        <v>70.400000000000006</v>
      </c>
      <c r="F25" s="73">
        <v>70.8</v>
      </c>
      <c r="G25" s="73">
        <v>70.8</v>
      </c>
      <c r="H25" s="73">
        <v>70.900000000000006</v>
      </c>
      <c r="I25" s="73">
        <v>70.3</v>
      </c>
      <c r="J25" s="73">
        <v>71</v>
      </c>
      <c r="K25" s="73">
        <v>70.2</v>
      </c>
      <c r="L25" s="73">
        <v>66</v>
      </c>
      <c r="M25" s="73">
        <v>70</v>
      </c>
      <c r="N25" s="73">
        <v>69.8</v>
      </c>
      <c r="O25" s="73">
        <v>71.12</v>
      </c>
      <c r="P25" s="73">
        <v>71</v>
      </c>
      <c r="Q25" s="73">
        <v>70</v>
      </c>
      <c r="R25" s="73">
        <v>71.099999999999994</v>
      </c>
      <c r="S25" s="73">
        <v>70.540000000000006</v>
      </c>
      <c r="T25" s="73">
        <v>69.709999999999994</v>
      </c>
      <c r="U25" s="73">
        <v>70.8</v>
      </c>
      <c r="V25" s="73">
        <v>70.989999999999995</v>
      </c>
      <c r="W25" s="73">
        <v>71.12</v>
      </c>
      <c r="X25" s="73">
        <v>70.2</v>
      </c>
      <c r="Y25" s="73">
        <v>71.040000000000006</v>
      </c>
      <c r="Z25" s="73">
        <v>70.2</v>
      </c>
      <c r="AA25" s="73">
        <v>70.599999999999994</v>
      </c>
      <c r="AB25" s="73">
        <v>70.430000000000007</v>
      </c>
      <c r="AC25" s="73">
        <v>69.8</v>
      </c>
      <c r="AD25" s="73">
        <v>71.11</v>
      </c>
      <c r="AE25" s="73">
        <v>71.02</v>
      </c>
      <c r="AF25" s="73">
        <v>71.2</v>
      </c>
      <c r="AG25" s="73">
        <v>71</v>
      </c>
      <c r="AH25" s="73">
        <v>70.44</v>
      </c>
      <c r="AI25" s="73">
        <v>70.5</v>
      </c>
      <c r="AJ25" s="73">
        <v>71.3</v>
      </c>
      <c r="AK25" s="73">
        <v>70.69</v>
      </c>
      <c r="AL25" s="73">
        <v>71.099999999999994</v>
      </c>
      <c r="AM25" s="73">
        <v>72</v>
      </c>
      <c r="AN25" s="73">
        <v>70.3</v>
      </c>
      <c r="AO25" s="73">
        <v>70.349999999999994</v>
      </c>
      <c r="AP25" s="73">
        <v>71.099999999999994</v>
      </c>
      <c r="AQ25" s="73">
        <v>71.400000000000006</v>
      </c>
      <c r="AR25" s="73">
        <v>70.84</v>
      </c>
      <c r="AS25" s="73">
        <v>70.900000000000006</v>
      </c>
      <c r="AT25" s="73">
        <v>71.2</v>
      </c>
      <c r="AU25" s="73">
        <v>72.099999999999994</v>
      </c>
      <c r="AV25" s="73">
        <v>71.14</v>
      </c>
      <c r="AW25" s="73">
        <v>71.5</v>
      </c>
      <c r="AX25" s="73">
        <v>71.400000000000006</v>
      </c>
      <c r="AY25" s="73">
        <v>70.7</v>
      </c>
      <c r="AZ25" s="73">
        <v>70.400000000000006</v>
      </c>
      <c r="BA25" s="73">
        <v>71.2</v>
      </c>
      <c r="BB25" s="73">
        <v>70.8</v>
      </c>
      <c r="BC25" s="73">
        <v>71</v>
      </c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64"/>
    </row>
    <row r="26" spans="1:78" ht="15" thickBot="1" x14ac:dyDescent="0.4">
      <c r="A26" s="74" t="s">
        <v>33</v>
      </c>
      <c r="B26" s="75">
        <f t="shared" si="0"/>
        <v>11416.226415094339</v>
      </c>
      <c r="C26" s="76">
        <v>11740</v>
      </c>
      <c r="D26" s="77">
        <v>10910</v>
      </c>
      <c r="E26" s="77">
        <v>11100</v>
      </c>
      <c r="F26" s="77">
        <v>11070</v>
      </c>
      <c r="G26" s="77">
        <v>11230</v>
      </c>
      <c r="H26" s="77">
        <v>11650</v>
      </c>
      <c r="I26" s="77">
        <v>11960</v>
      </c>
      <c r="J26" s="77">
        <v>11720</v>
      </c>
      <c r="K26" s="77">
        <v>12480</v>
      </c>
      <c r="L26" s="77">
        <v>12000</v>
      </c>
      <c r="M26" s="77">
        <v>11870</v>
      </c>
      <c r="N26" s="77">
        <v>12000</v>
      </c>
      <c r="O26" s="77">
        <v>12170</v>
      </c>
      <c r="P26" s="77">
        <v>11850</v>
      </c>
      <c r="Q26" s="77">
        <v>12380</v>
      </c>
      <c r="R26" s="77">
        <v>12030</v>
      </c>
      <c r="S26" s="77">
        <v>12090</v>
      </c>
      <c r="T26" s="77">
        <v>11360</v>
      </c>
      <c r="U26" s="77">
        <v>11630</v>
      </c>
      <c r="V26" s="77">
        <v>11390</v>
      </c>
      <c r="W26" s="77">
        <v>11290</v>
      </c>
      <c r="X26" s="77">
        <v>11270</v>
      </c>
      <c r="Y26" s="77">
        <v>11620</v>
      </c>
      <c r="Z26" s="77">
        <v>12485</v>
      </c>
      <c r="AA26" s="77">
        <v>12050</v>
      </c>
      <c r="AB26" s="77">
        <v>11270</v>
      </c>
      <c r="AC26" s="77">
        <v>11700</v>
      </c>
      <c r="AD26" s="77">
        <v>11120</v>
      </c>
      <c r="AE26" s="77">
        <v>11400</v>
      </c>
      <c r="AF26" s="77">
        <v>11610</v>
      </c>
      <c r="AG26" s="77">
        <v>10970</v>
      </c>
      <c r="AH26" s="77">
        <v>11870</v>
      </c>
      <c r="AI26" s="77">
        <v>11690</v>
      </c>
      <c r="AJ26" s="77">
        <v>11890</v>
      </c>
      <c r="AK26" s="77">
        <v>10970</v>
      </c>
      <c r="AL26" s="77">
        <v>11240</v>
      </c>
      <c r="AM26" s="77">
        <v>11120</v>
      </c>
      <c r="AN26" s="77">
        <v>10330</v>
      </c>
      <c r="AO26" s="77">
        <v>10125</v>
      </c>
      <c r="AP26" s="77">
        <v>11220</v>
      </c>
      <c r="AQ26" s="77">
        <v>11490</v>
      </c>
      <c r="AR26" s="77">
        <v>11100</v>
      </c>
      <c r="AS26" s="77">
        <v>11060</v>
      </c>
      <c r="AT26" s="77">
        <v>11740</v>
      </c>
      <c r="AU26" s="77">
        <v>10480</v>
      </c>
      <c r="AV26" s="77">
        <v>10500</v>
      </c>
      <c r="AW26" s="77">
        <v>11560</v>
      </c>
      <c r="AX26" s="77">
        <v>10820</v>
      </c>
      <c r="AY26" s="77">
        <v>10040</v>
      </c>
      <c r="AZ26" s="77">
        <v>10940</v>
      </c>
      <c r="BA26" s="77">
        <v>11230</v>
      </c>
      <c r="BB26" s="77">
        <v>11010</v>
      </c>
      <c r="BC26" s="77">
        <v>11220</v>
      </c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77"/>
      <c r="BX26" s="77"/>
      <c r="BY26" s="77"/>
      <c r="BZ26" s="64"/>
    </row>
    <row r="27" spans="1:78" x14ac:dyDescent="0.35">
      <c r="A27" s="78" t="s">
        <v>34</v>
      </c>
      <c r="B27" s="79">
        <f t="shared" si="0"/>
        <v>5245.7924528301883</v>
      </c>
      <c r="C27" s="80">
        <v>5080</v>
      </c>
      <c r="D27" s="81">
        <v>5140</v>
      </c>
      <c r="E27" s="81">
        <v>5223</v>
      </c>
      <c r="F27" s="81">
        <v>5275</v>
      </c>
      <c r="G27" s="81">
        <v>5030</v>
      </c>
      <c r="H27" s="81">
        <v>5220</v>
      </c>
      <c r="I27" s="81">
        <v>5170</v>
      </c>
      <c r="J27" s="81">
        <v>5220</v>
      </c>
      <c r="K27" s="81">
        <v>4880</v>
      </c>
      <c r="L27" s="81">
        <v>5310</v>
      </c>
      <c r="M27" s="81">
        <v>5280</v>
      </c>
      <c r="N27" s="81">
        <v>5210</v>
      </c>
      <c r="O27" s="81">
        <v>5240</v>
      </c>
      <c r="P27" s="81">
        <v>5300</v>
      </c>
      <c r="Q27" s="81">
        <v>5345</v>
      </c>
      <c r="R27" s="81">
        <v>5410</v>
      </c>
      <c r="S27" s="81">
        <v>5251</v>
      </c>
      <c r="T27" s="81">
        <v>3950</v>
      </c>
      <c r="U27" s="81">
        <v>5220</v>
      </c>
      <c r="V27" s="81">
        <v>5240</v>
      </c>
      <c r="W27" s="81">
        <v>5190</v>
      </c>
      <c r="X27" s="81">
        <v>5210</v>
      </c>
      <c r="Y27" s="81">
        <v>5424</v>
      </c>
      <c r="Z27" s="81">
        <v>5280</v>
      </c>
      <c r="AA27" s="81">
        <v>5200</v>
      </c>
      <c r="AB27" s="81">
        <v>5320</v>
      </c>
      <c r="AC27" s="81">
        <v>5220</v>
      </c>
      <c r="AD27" s="81">
        <v>5330</v>
      </c>
      <c r="AE27" s="81">
        <v>5190</v>
      </c>
      <c r="AF27" s="81">
        <v>5290</v>
      </c>
      <c r="AG27" s="81">
        <v>5260</v>
      </c>
      <c r="AH27" s="81">
        <v>5290</v>
      </c>
      <c r="AI27" s="81">
        <v>5385</v>
      </c>
      <c r="AJ27" s="81">
        <v>5070</v>
      </c>
      <c r="AK27" s="81">
        <v>5210</v>
      </c>
      <c r="AL27" s="81">
        <v>5250</v>
      </c>
      <c r="AM27" s="81">
        <v>5280</v>
      </c>
      <c r="AN27" s="81">
        <v>5190</v>
      </c>
      <c r="AO27" s="81">
        <v>5010</v>
      </c>
      <c r="AP27" s="81">
        <v>5350</v>
      </c>
      <c r="AQ27" s="81">
        <v>5346</v>
      </c>
      <c r="AR27" s="81">
        <v>5340</v>
      </c>
      <c r="AS27" s="81">
        <v>5360</v>
      </c>
      <c r="AT27" s="81">
        <v>5415</v>
      </c>
      <c r="AU27" s="81">
        <v>5470</v>
      </c>
      <c r="AV27" s="81">
        <v>5380</v>
      </c>
      <c r="AW27" s="81">
        <v>5440</v>
      </c>
      <c r="AX27" s="81">
        <v>5531</v>
      </c>
      <c r="AY27" s="81">
        <v>5340</v>
      </c>
      <c r="AZ27" s="81">
        <v>5365</v>
      </c>
      <c r="BA27" s="81">
        <v>5357</v>
      </c>
      <c r="BB27" s="81">
        <v>5390</v>
      </c>
      <c r="BC27" s="81">
        <v>5350</v>
      </c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64"/>
    </row>
    <row r="28" spans="1:78" x14ac:dyDescent="0.35">
      <c r="A28" s="82" t="s">
        <v>35</v>
      </c>
      <c r="B28" s="83">
        <f t="shared" si="0"/>
        <v>0.86260726080464623</v>
      </c>
      <c r="C28" s="84">
        <v>0.84704210472543584</v>
      </c>
      <c r="D28" s="84">
        <v>0.85196460802574747</v>
      </c>
      <c r="E28" s="84">
        <v>0.858762098696219</v>
      </c>
      <c r="F28" s="84">
        <v>0.86310449082239782</v>
      </c>
      <c r="G28" s="84">
        <v>0.84313546319178401</v>
      </c>
      <c r="H28" s="84">
        <v>0.85865632856211294</v>
      </c>
      <c r="I28" s="84">
        <v>0.85458068461036851</v>
      </c>
      <c r="J28" s="84">
        <v>0.8586910148936171</v>
      </c>
      <c r="K28" s="84">
        <v>0.83100680911462577</v>
      </c>
      <c r="L28" s="84">
        <v>0.8660983580513657</v>
      </c>
      <c r="M28" s="84">
        <v>0.86365237354260094</v>
      </c>
      <c r="N28" s="84">
        <v>0.85801435564706841</v>
      </c>
      <c r="O28" s="84">
        <v>0.86046073907689802</v>
      </c>
      <c r="P28" s="84">
        <v>0.86538875258522263</v>
      </c>
      <c r="Q28" s="84">
        <v>0.86920086864088753</v>
      </c>
      <c r="R28" s="84">
        <v>0.87457554908616186</v>
      </c>
      <c r="S28" s="84">
        <v>0.86167223856699848</v>
      </c>
      <c r="T28" s="84">
        <v>0.75558175937474492</v>
      </c>
      <c r="U28" s="84">
        <v>0.85924676631295405</v>
      </c>
      <c r="V28" s="84">
        <v>0.86098405101241027</v>
      </c>
      <c r="W28" s="84">
        <v>0.85697095693287595</v>
      </c>
      <c r="X28" s="84">
        <v>0.85863888766843599</v>
      </c>
      <c r="Y28" s="84">
        <v>0.87618776944376375</v>
      </c>
      <c r="Z28" s="84">
        <v>0.86470793530854106</v>
      </c>
      <c r="AA28" s="84">
        <v>0.85830831102117566</v>
      </c>
      <c r="AB28" s="84">
        <v>0.86826174169461023</v>
      </c>
      <c r="AC28" s="84">
        <v>0.86025777452135488</v>
      </c>
      <c r="AD28" s="84">
        <v>0.86940071073825498</v>
      </c>
      <c r="AE28" s="84">
        <v>0.85808132040281637</v>
      </c>
      <c r="AF28" s="84">
        <v>0.86633957821814611</v>
      </c>
      <c r="AG28" s="84">
        <v>0.86420064716053424</v>
      </c>
      <c r="AH28" s="84">
        <v>0.86687230816594252</v>
      </c>
      <c r="AI28" s="84">
        <v>0.875</v>
      </c>
      <c r="AJ28" s="84">
        <v>0.84903966763185956</v>
      </c>
      <c r="AK28" s="84">
        <v>0.86069889977022818</v>
      </c>
      <c r="AL28" s="84">
        <v>0.86419358275862068</v>
      </c>
      <c r="AM28" s="84">
        <v>0.8664787553139105</v>
      </c>
      <c r="AN28" s="84">
        <v>0.8589528484617277</v>
      </c>
      <c r="AO28" s="84">
        <v>0.84428662338749383</v>
      </c>
      <c r="AP28" s="84">
        <v>0.87233164966343779</v>
      </c>
      <c r="AQ28" s="84">
        <v>0.87207535615763554</v>
      </c>
      <c r="AR28" s="84">
        <v>0.8716907580438531</v>
      </c>
      <c r="AS28" s="84">
        <v>0.87347783819107871</v>
      </c>
      <c r="AT28" s="84">
        <v>0.87817882386587776</v>
      </c>
      <c r="AU28" s="84">
        <v>0.8828097370735718</v>
      </c>
      <c r="AV28" s="84">
        <v>0.87562969791101231</v>
      </c>
      <c r="AW28" s="84">
        <v>0.88085887779606609</v>
      </c>
      <c r="AX28" s="84">
        <v>0.88834797334375759</v>
      </c>
      <c r="AY28" s="84">
        <v>0.87281001388111312</v>
      </c>
      <c r="AZ28" s="84">
        <v>0.87497743154904051</v>
      </c>
      <c r="BA28" s="84">
        <v>0.87442763377265242</v>
      </c>
      <c r="BB28" s="84">
        <v>0.87743869116386419</v>
      </c>
      <c r="BC28" s="84">
        <v>0.87443260709336845</v>
      </c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  <c r="BS28" s="84"/>
      <c r="BT28" s="84"/>
      <c r="BU28" s="84"/>
      <c r="BV28" s="84"/>
      <c r="BW28" s="84"/>
      <c r="BX28" s="84"/>
      <c r="BY28" s="84"/>
      <c r="BZ28" s="64"/>
    </row>
    <row r="29" spans="1:78" x14ac:dyDescent="0.35">
      <c r="A29" s="85" t="s">
        <v>36</v>
      </c>
      <c r="B29" s="86">
        <f t="shared" si="0"/>
        <v>55</v>
      </c>
      <c r="C29" s="87">
        <v>55</v>
      </c>
      <c r="D29" s="88">
        <v>55</v>
      </c>
      <c r="E29" s="88">
        <v>55</v>
      </c>
      <c r="F29" s="88">
        <v>55</v>
      </c>
      <c r="G29" s="88">
        <v>55</v>
      </c>
      <c r="H29" s="88">
        <v>55</v>
      </c>
      <c r="I29" s="88">
        <v>55</v>
      </c>
      <c r="J29" s="88">
        <v>55</v>
      </c>
      <c r="K29" s="88">
        <v>55</v>
      </c>
      <c r="L29" s="88">
        <v>55</v>
      </c>
      <c r="M29" s="88">
        <v>55</v>
      </c>
      <c r="N29" s="88">
        <v>55</v>
      </c>
      <c r="O29" s="88">
        <v>55</v>
      </c>
      <c r="P29" s="88">
        <v>55</v>
      </c>
      <c r="Q29" s="88">
        <v>55</v>
      </c>
      <c r="R29" s="88">
        <v>55</v>
      </c>
      <c r="S29" s="88">
        <v>55</v>
      </c>
      <c r="T29" s="88">
        <v>55</v>
      </c>
      <c r="U29" s="88">
        <v>55</v>
      </c>
      <c r="V29" s="88">
        <v>55</v>
      </c>
      <c r="W29" s="88">
        <v>55</v>
      </c>
      <c r="X29" s="88">
        <v>55</v>
      </c>
      <c r="Y29" s="88">
        <v>55</v>
      </c>
      <c r="Z29" s="88">
        <v>55</v>
      </c>
      <c r="AA29" s="88">
        <v>55</v>
      </c>
      <c r="AB29" s="88">
        <v>55</v>
      </c>
      <c r="AC29" s="88">
        <v>55</v>
      </c>
      <c r="AD29" s="88">
        <v>55</v>
      </c>
      <c r="AE29" s="88">
        <v>55</v>
      </c>
      <c r="AF29" s="88">
        <v>55</v>
      </c>
      <c r="AG29" s="88">
        <v>55</v>
      </c>
      <c r="AH29" s="88">
        <v>55</v>
      </c>
      <c r="AI29" s="88">
        <v>55</v>
      </c>
      <c r="AJ29" s="88">
        <v>55</v>
      </c>
      <c r="AK29" s="88">
        <v>55</v>
      </c>
      <c r="AL29" s="88">
        <v>55</v>
      </c>
      <c r="AM29" s="88">
        <v>55</v>
      </c>
      <c r="AN29" s="88">
        <v>55</v>
      </c>
      <c r="AO29" s="88">
        <v>55</v>
      </c>
      <c r="AP29" s="88">
        <v>55</v>
      </c>
      <c r="AQ29" s="88">
        <v>55</v>
      </c>
      <c r="AR29" s="88">
        <v>55</v>
      </c>
      <c r="AS29" s="88">
        <v>55</v>
      </c>
      <c r="AT29" s="88">
        <v>55</v>
      </c>
      <c r="AU29" s="88">
        <v>55</v>
      </c>
      <c r="AV29" s="88">
        <v>55</v>
      </c>
      <c r="AW29" s="88">
        <v>55</v>
      </c>
      <c r="AX29" s="88">
        <v>55</v>
      </c>
      <c r="AY29" s="88">
        <v>55</v>
      </c>
      <c r="AZ29" s="88">
        <v>55</v>
      </c>
      <c r="BA29" s="88">
        <v>55</v>
      </c>
      <c r="BB29" s="88">
        <v>55</v>
      </c>
      <c r="BC29" s="88">
        <v>55</v>
      </c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88"/>
      <c r="BT29" s="88"/>
      <c r="BU29" s="88"/>
      <c r="BV29" s="88"/>
      <c r="BW29" s="88"/>
      <c r="BX29" s="88"/>
      <c r="BY29" s="88"/>
      <c r="BZ29" s="64"/>
    </row>
    <row r="30" spans="1:78" x14ac:dyDescent="0.35">
      <c r="A30" s="89" t="s">
        <v>37</v>
      </c>
      <c r="B30" s="90">
        <f t="shared" si="0"/>
        <v>17578.484571772111</v>
      </c>
      <c r="C30" s="91">
        <v>18352.696078431374</v>
      </c>
      <c r="D30" s="92">
        <v>17672.512254901965</v>
      </c>
      <c r="E30" s="92">
        <v>18133.669117647059</v>
      </c>
      <c r="F30" s="92">
        <v>17919.926470588238</v>
      </c>
      <c r="G30" s="92">
        <v>15530.220588235296</v>
      </c>
      <c r="H30" s="92">
        <v>18030.294117647059</v>
      </c>
      <c r="I30" s="92">
        <v>16800.666666666668</v>
      </c>
      <c r="J30" s="92">
        <v>19496.335784313731</v>
      </c>
      <c r="K30" s="92">
        <v>19727.088235294119</v>
      </c>
      <c r="L30" s="92">
        <v>19730.392156862745</v>
      </c>
      <c r="M30" s="92">
        <v>19724.568627450983</v>
      </c>
      <c r="N30" s="92">
        <v>19345.870098039217</v>
      </c>
      <c r="O30" s="92">
        <v>19069.914215686276</v>
      </c>
      <c r="P30" s="92">
        <v>19201.078431372549</v>
      </c>
      <c r="Q30" s="92">
        <v>19361.200980392157</v>
      </c>
      <c r="R30" s="92">
        <v>19773.897058823535</v>
      </c>
      <c r="S30" s="92">
        <v>18243.050000000003</v>
      </c>
      <c r="T30" s="92">
        <v>18142.437254901964</v>
      </c>
      <c r="U30" s="92">
        <v>19014.901960784318</v>
      </c>
      <c r="V30" s="92">
        <v>19240.222794117646</v>
      </c>
      <c r="W30" s="92">
        <v>18885.376176470592</v>
      </c>
      <c r="X30" s="92">
        <v>18597.529411764706</v>
      </c>
      <c r="Y30" s="92">
        <v>18941.688235294121</v>
      </c>
      <c r="Z30" s="92">
        <v>10938.242647058825</v>
      </c>
      <c r="AA30" s="92">
        <v>19115.995098039217</v>
      </c>
      <c r="AB30" s="92">
        <v>13420.280392156865</v>
      </c>
      <c r="AC30" s="92">
        <v>18927.5</v>
      </c>
      <c r="AD30" s="92">
        <v>18424.962500000001</v>
      </c>
      <c r="AE30" s="92">
        <v>18353.229411764711</v>
      </c>
      <c r="AF30" s="92">
        <v>18416.676470588238</v>
      </c>
      <c r="AG30" s="92">
        <v>18144.264215686275</v>
      </c>
      <c r="AH30" s="92">
        <v>18875.577205882357</v>
      </c>
      <c r="AI30" s="92">
        <v>16388</v>
      </c>
      <c r="AJ30" s="92">
        <v>17527.274509803923</v>
      </c>
      <c r="AK30" s="92">
        <v>17666.756617647057</v>
      </c>
      <c r="AL30" s="92">
        <v>17511.247549019608</v>
      </c>
      <c r="AM30" s="92">
        <v>17535.794117647059</v>
      </c>
      <c r="AN30" s="92">
        <v>16982.274509803919</v>
      </c>
      <c r="AO30" s="92">
        <v>16921.400000000005</v>
      </c>
      <c r="AP30" s="92">
        <v>16765.257352941178</v>
      </c>
      <c r="AQ30" s="92">
        <v>16679.816176470591</v>
      </c>
      <c r="AR30" s="92">
        <v>16437.070588235296</v>
      </c>
      <c r="AS30" s="92">
        <v>16668.235294117647</v>
      </c>
      <c r="AT30" s="92">
        <v>16815</v>
      </c>
      <c r="AU30" s="92">
        <v>16530.856127450981</v>
      </c>
      <c r="AV30" s="92">
        <v>16729.045098039216</v>
      </c>
      <c r="AW30" s="92">
        <v>16761.666666666668</v>
      </c>
      <c r="AX30" s="92">
        <v>15303.284313725491</v>
      </c>
      <c r="AY30" s="92">
        <v>15999.007352941178</v>
      </c>
      <c r="AZ30" s="92">
        <v>15985.049019607844</v>
      </c>
      <c r="BA30" s="92">
        <v>13741.176470588236</v>
      </c>
      <c r="BB30" s="92">
        <v>16616.470588235294</v>
      </c>
      <c r="BC30" s="92">
        <v>16542.73529411765</v>
      </c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64"/>
    </row>
    <row r="31" spans="1:78" ht="15" thickBot="1" x14ac:dyDescent="0.4">
      <c r="A31" s="93" t="s">
        <v>38</v>
      </c>
      <c r="B31" s="94" t="str">
        <f t="shared" si="0"/>
        <v/>
      </c>
      <c r="C31" s="95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>
        <v>5385</v>
      </c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7"/>
      <c r="BB31" s="97"/>
      <c r="BC31" s="97"/>
      <c r="BD31" s="97"/>
      <c r="BE31" s="97"/>
      <c r="BF31" s="97"/>
      <c r="BG31" s="97"/>
      <c r="BH31" s="97"/>
      <c r="BI31" s="97"/>
      <c r="BJ31" s="97"/>
      <c r="BK31" s="97"/>
      <c r="BL31" s="97"/>
      <c r="BM31" s="97"/>
      <c r="BN31" s="97"/>
      <c r="BO31" s="97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8"/>
    </row>
    <row r="32" spans="1:78" x14ac:dyDescent="0.35">
      <c r="A32" s="99" t="str">
        <f>IF('[3]Set Up'!E41=0,"",'[3]Set Up'!E41&amp;", bbl")</f>
        <v>15% HCl Acid, bbl</v>
      </c>
      <c r="B32" s="100">
        <f>IF(BZ32=0,"",AVERAGE(C32:BY32))</f>
        <v>29.305222371967659</v>
      </c>
      <c r="C32" s="101">
        <v>30.214285714285715</v>
      </c>
      <c r="D32" s="102">
        <v>29.785714285714285</v>
      </c>
      <c r="E32" s="102">
        <v>28.714285714285715</v>
      </c>
      <c r="F32" s="102">
        <v>26.88095238095238</v>
      </c>
      <c r="G32" s="102">
        <v>28.452380952380953</v>
      </c>
      <c r="H32" s="102">
        <v>28.333333333333332</v>
      </c>
      <c r="I32" s="102">
        <v>27.642857142857142</v>
      </c>
      <c r="J32" s="102">
        <v>29.142857142857142</v>
      </c>
      <c r="K32" s="102">
        <v>30.023809523809526</v>
      </c>
      <c r="L32" s="102">
        <v>30.214285714285715</v>
      </c>
      <c r="M32" s="102">
        <v>29.904761904761905</v>
      </c>
      <c r="N32" s="102">
        <v>28.833333333333332</v>
      </c>
      <c r="O32" s="102">
        <v>30.404761904761905</v>
      </c>
      <c r="P32" s="102">
        <v>28.714285714285715</v>
      </c>
      <c r="Q32" s="102">
        <v>29.785714285714285</v>
      </c>
      <c r="R32" s="102">
        <v>30.095238095238095</v>
      </c>
      <c r="S32" s="102">
        <v>30.213999999999995</v>
      </c>
      <c r="T32" s="102">
        <v>29.643000000000001</v>
      </c>
      <c r="U32" s="102">
        <v>29.142857142857142</v>
      </c>
      <c r="V32" s="102">
        <v>30.357142857142858</v>
      </c>
      <c r="W32" s="102">
        <v>28.713999999999995</v>
      </c>
      <c r="X32" s="102">
        <v>27.61904761904762</v>
      </c>
      <c r="Y32" s="102">
        <v>29.119999999999997</v>
      </c>
      <c r="Z32" s="102">
        <v>30</v>
      </c>
      <c r="AA32" s="102">
        <v>30.19047619047619</v>
      </c>
      <c r="AB32" s="102">
        <v>30</v>
      </c>
      <c r="AC32" s="102">
        <v>28.80952380952381</v>
      </c>
      <c r="AD32" s="102">
        <v>30.595238095238095</v>
      </c>
      <c r="AE32" s="102">
        <v>28.714199999999998</v>
      </c>
      <c r="AF32" s="102">
        <v>27.642857142857142</v>
      </c>
      <c r="AG32" s="102">
        <v>29.143000000000001</v>
      </c>
      <c r="AH32" s="102">
        <v>30.024000000000001</v>
      </c>
      <c r="AI32" s="102">
        <v>30.2</v>
      </c>
      <c r="AJ32" s="102">
        <v>29.904761904761905</v>
      </c>
      <c r="AK32" s="102">
        <v>28.833300000000001</v>
      </c>
      <c r="AL32" s="102">
        <v>30.286000000000005</v>
      </c>
      <c r="AM32" s="102">
        <v>27.142857142857142</v>
      </c>
      <c r="AN32" s="102">
        <v>28.833333333333332</v>
      </c>
      <c r="AO32" s="102">
        <v>29.975999999999999</v>
      </c>
      <c r="AP32" s="102">
        <v>30.214285714285715</v>
      </c>
      <c r="AQ32" s="102">
        <v>29.214285714285715</v>
      </c>
      <c r="AR32" s="102">
        <v>29.094999999999999</v>
      </c>
      <c r="AS32" s="102">
        <v>30.357142857142858</v>
      </c>
      <c r="AT32" s="102">
        <v>29.404761904761905</v>
      </c>
      <c r="AU32" s="102">
        <v>28.333333333333332</v>
      </c>
      <c r="AV32" s="102">
        <v>29.523809523809526</v>
      </c>
      <c r="AW32" s="102">
        <v>30.142857142857142</v>
      </c>
      <c r="AX32" s="102">
        <v>30.214285714285715</v>
      </c>
      <c r="AY32" s="102">
        <v>29.523809523809526</v>
      </c>
      <c r="AZ32" s="102">
        <v>28.333333333333332</v>
      </c>
      <c r="BA32" s="101">
        <v>29.404761904761905</v>
      </c>
      <c r="BB32" s="101">
        <v>29.095238095238095</v>
      </c>
      <c r="BC32" s="101">
        <v>28.071428571428573</v>
      </c>
      <c r="BD32" s="101"/>
      <c r="BE32" s="101"/>
      <c r="BF32" s="101"/>
      <c r="BG32" s="101"/>
      <c r="BH32" s="101"/>
      <c r="BI32" s="101"/>
      <c r="BJ32" s="101"/>
      <c r="BK32" s="101"/>
      <c r="BL32" s="101"/>
      <c r="BM32" s="101"/>
      <c r="BN32" s="101"/>
      <c r="BO32" s="101"/>
      <c r="BP32" s="101"/>
      <c r="BQ32" s="101"/>
      <c r="BR32" s="101"/>
      <c r="BS32" s="101"/>
      <c r="BT32" s="101"/>
      <c r="BU32" s="101"/>
      <c r="BV32" s="101"/>
      <c r="BW32" s="101"/>
      <c r="BX32" s="101"/>
      <c r="BY32" s="101"/>
      <c r="BZ32" s="103">
        <f t="shared" ref="BZ32:BZ58" si="1">SUM(C32:BY32)</f>
        <v>1553.1767857142859</v>
      </c>
    </row>
    <row r="33" spans="1:78" x14ac:dyDescent="0.35">
      <c r="A33" s="104" t="str">
        <f>IF('[3]Set Up'!E42=0,"",'[3]Set Up'!E42&amp;", bbl")</f>
        <v>Slickwater, bbl</v>
      </c>
      <c r="B33" s="105">
        <f>IF(BZ33=0,"",AVERAGE(C33:BY33))</f>
        <v>11005.845660377357</v>
      </c>
      <c r="C33" s="106">
        <v>14029.600000000004</v>
      </c>
      <c r="D33" s="107">
        <v>10890</v>
      </c>
      <c r="E33" s="107">
        <v>10942.400000000001</v>
      </c>
      <c r="F33" s="107">
        <v>11328</v>
      </c>
      <c r="G33" s="107">
        <v>10857</v>
      </c>
      <c r="H33" s="107">
        <v>10934.6</v>
      </c>
      <c r="I33" s="107">
        <v>10763</v>
      </c>
      <c r="J33" s="107">
        <v>11859.3</v>
      </c>
      <c r="K33" s="107">
        <v>10634.6</v>
      </c>
      <c r="L33" s="107">
        <v>11845.699999999999</v>
      </c>
      <c r="M33" s="107">
        <v>11218.8</v>
      </c>
      <c r="N33" s="107">
        <v>10918.6</v>
      </c>
      <c r="O33" s="107">
        <v>10955.6</v>
      </c>
      <c r="P33" s="107">
        <v>10766</v>
      </c>
      <c r="Q33" s="107">
        <v>11364.8</v>
      </c>
      <c r="R33" s="107">
        <v>12134</v>
      </c>
      <c r="S33" s="107">
        <v>11014.099999999999</v>
      </c>
      <c r="T33" s="107">
        <v>10802</v>
      </c>
      <c r="U33" s="107">
        <v>10753</v>
      </c>
      <c r="V33" s="107">
        <v>10855.9</v>
      </c>
      <c r="W33" s="107">
        <v>10748.599999999999</v>
      </c>
      <c r="X33" s="107">
        <v>10760</v>
      </c>
      <c r="Y33" s="107">
        <v>10835.4</v>
      </c>
      <c r="Z33" s="107">
        <v>12029.8</v>
      </c>
      <c r="AA33" s="107">
        <v>11246</v>
      </c>
      <c r="AB33" s="107">
        <v>12384.9</v>
      </c>
      <c r="AC33" s="107">
        <v>10686</v>
      </c>
      <c r="AD33" s="107">
        <v>10836.800000000001</v>
      </c>
      <c r="AE33" s="107">
        <v>10732.199999999999</v>
      </c>
      <c r="AF33" s="107">
        <v>10741.7</v>
      </c>
      <c r="AG33" s="107">
        <v>10791</v>
      </c>
      <c r="AH33" s="107">
        <v>10738.800000000001</v>
      </c>
      <c r="AI33" s="107">
        <v>10929</v>
      </c>
      <c r="AJ33" s="107">
        <v>10671.8</v>
      </c>
      <c r="AK33" s="107">
        <v>10724.5</v>
      </c>
      <c r="AL33" s="107">
        <v>10666.9</v>
      </c>
      <c r="AM33" s="107">
        <v>10698.4</v>
      </c>
      <c r="AN33" s="107">
        <v>10742.6</v>
      </c>
      <c r="AO33" s="107">
        <v>10662.800000000001</v>
      </c>
      <c r="AP33" s="107">
        <v>10758.199999999997</v>
      </c>
      <c r="AQ33" s="107">
        <v>10796</v>
      </c>
      <c r="AR33" s="107">
        <v>10837.19</v>
      </c>
      <c r="AS33" s="107">
        <v>11837.800000000001</v>
      </c>
      <c r="AT33" s="107">
        <v>10717.1</v>
      </c>
      <c r="AU33" s="107">
        <v>10676.1</v>
      </c>
      <c r="AV33" s="107">
        <v>10677.800000000001</v>
      </c>
      <c r="AW33" s="107">
        <v>10762.9</v>
      </c>
      <c r="AX33" s="107">
        <v>10944.4</v>
      </c>
      <c r="AY33" s="107">
        <v>10624.1</v>
      </c>
      <c r="AZ33" s="107">
        <v>10606</v>
      </c>
      <c r="BA33" s="106">
        <v>10666.3</v>
      </c>
      <c r="BB33" s="106">
        <v>10609.700000000003</v>
      </c>
      <c r="BC33" s="106">
        <v>10302.030000000001</v>
      </c>
      <c r="BD33" s="106"/>
      <c r="BE33" s="106"/>
      <c r="BF33" s="106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8">
        <f t="shared" si="1"/>
        <v>583309.81999999995</v>
      </c>
    </row>
    <row r="34" spans="1:78" x14ac:dyDescent="0.35">
      <c r="A34" s="99" t="str">
        <f>IF('[3]Set Up'!E43=0,"",'[3]Set Up'!E43&amp;", bbl")</f>
        <v>Pump Down, bbl</v>
      </c>
      <c r="B34" s="109">
        <f>IF(BZ34=0,"",AVERAGE(C34:BY34))</f>
        <v>137.41509433962264</v>
      </c>
      <c r="C34" s="110">
        <v>300</v>
      </c>
      <c r="D34" s="111">
        <v>316</v>
      </c>
      <c r="E34" s="111">
        <v>289</v>
      </c>
      <c r="F34" s="111">
        <v>310</v>
      </c>
      <c r="G34" s="111">
        <v>307</v>
      </c>
      <c r="H34" s="111">
        <v>235</v>
      </c>
      <c r="I34" s="111">
        <v>224</v>
      </c>
      <c r="J34" s="111">
        <v>209</v>
      </c>
      <c r="K34" s="111">
        <v>242</v>
      </c>
      <c r="L34" s="111">
        <v>230</v>
      </c>
      <c r="M34" s="111">
        <v>188</v>
      </c>
      <c r="N34" s="111">
        <v>198</v>
      </c>
      <c r="O34" s="111">
        <v>196</v>
      </c>
      <c r="P34" s="111">
        <v>191</v>
      </c>
      <c r="Q34" s="111">
        <v>197</v>
      </c>
      <c r="R34" s="111">
        <v>188</v>
      </c>
      <c r="S34" s="111">
        <v>179</v>
      </c>
      <c r="T34" s="111">
        <v>170</v>
      </c>
      <c r="U34" s="111">
        <v>175</v>
      </c>
      <c r="V34" s="111">
        <v>157</v>
      </c>
      <c r="W34" s="111">
        <v>163</v>
      </c>
      <c r="X34" s="111">
        <v>155</v>
      </c>
      <c r="Y34" s="111">
        <v>151</v>
      </c>
      <c r="Z34" s="111">
        <v>146</v>
      </c>
      <c r="AA34" s="111">
        <v>146</v>
      </c>
      <c r="AB34" s="111">
        <v>131</v>
      </c>
      <c r="AC34" s="111">
        <v>122</v>
      </c>
      <c r="AD34" s="111">
        <v>127</v>
      </c>
      <c r="AE34" s="111">
        <v>131</v>
      </c>
      <c r="AF34" s="111">
        <v>107</v>
      </c>
      <c r="AG34" s="111">
        <v>108</v>
      </c>
      <c r="AH34" s="111">
        <v>100</v>
      </c>
      <c r="AI34" s="111">
        <v>93</v>
      </c>
      <c r="AJ34" s="111">
        <v>88</v>
      </c>
      <c r="AK34" s="111">
        <v>96</v>
      </c>
      <c r="AL34" s="111">
        <v>83</v>
      </c>
      <c r="AM34" s="111">
        <v>76</v>
      </c>
      <c r="AN34" s="111">
        <v>69</v>
      </c>
      <c r="AO34" s="111">
        <v>67</v>
      </c>
      <c r="AP34" s="111">
        <v>64</v>
      </c>
      <c r="AQ34" s="111">
        <v>61</v>
      </c>
      <c r="AR34" s="111">
        <v>63</v>
      </c>
      <c r="AS34" s="111">
        <v>48</v>
      </c>
      <c r="AT34" s="111">
        <v>43</v>
      </c>
      <c r="AU34" s="111">
        <v>41</v>
      </c>
      <c r="AV34" s="111">
        <v>37</v>
      </c>
      <c r="AW34" s="111">
        <v>44</v>
      </c>
      <c r="AX34" s="111">
        <v>26</v>
      </c>
      <c r="AY34" s="111">
        <v>21</v>
      </c>
      <c r="AZ34" s="111">
        <v>21</v>
      </c>
      <c r="BA34" s="111">
        <v>140</v>
      </c>
      <c r="BB34" s="111">
        <v>14</v>
      </c>
      <c r="BC34" s="111">
        <v>0</v>
      </c>
      <c r="BD34" s="111"/>
      <c r="BE34" s="111"/>
      <c r="BF34" s="111"/>
      <c r="BG34" s="111"/>
      <c r="BH34" s="111"/>
      <c r="BI34" s="111"/>
      <c r="BJ34" s="111"/>
      <c r="BK34" s="111"/>
      <c r="BL34" s="111"/>
      <c r="BM34" s="111"/>
      <c r="BN34" s="111"/>
      <c r="BO34" s="111"/>
      <c r="BP34" s="111"/>
      <c r="BQ34" s="111"/>
      <c r="BR34" s="111"/>
      <c r="BS34" s="111"/>
      <c r="BT34" s="111"/>
      <c r="BU34" s="111"/>
      <c r="BV34" s="111"/>
      <c r="BW34" s="111"/>
      <c r="BX34" s="111"/>
      <c r="BY34" s="111"/>
      <c r="BZ34" s="109">
        <f t="shared" si="1"/>
        <v>7283</v>
      </c>
    </row>
    <row r="35" spans="1:78" x14ac:dyDescent="0.35">
      <c r="A35" s="104" t="str">
        <f>IF('[3]Set Up'!E44=0,"",'[3]Set Up'!E44&amp;", bbl")</f>
        <v/>
      </c>
      <c r="B35" s="105" t="str">
        <f>IF(BZ35=0,"",AVERAGE(C35:BY35))</f>
        <v/>
      </c>
      <c r="C35" s="106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/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  <c r="AU35" s="107">
        <v>0</v>
      </c>
      <c r="AV35" s="107">
        <v>0</v>
      </c>
      <c r="AW35" s="107">
        <v>0</v>
      </c>
      <c r="AX35" s="107">
        <v>0</v>
      </c>
      <c r="AY35" s="107">
        <v>0</v>
      </c>
      <c r="AZ35" s="107">
        <v>0</v>
      </c>
      <c r="BA35" s="107">
        <v>0</v>
      </c>
      <c r="BB35" s="107">
        <v>0</v>
      </c>
      <c r="BC35" s="107">
        <v>0</v>
      </c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5">
        <f t="shared" si="1"/>
        <v>0</v>
      </c>
    </row>
    <row r="36" spans="1:78" ht="15" thickBot="1" x14ac:dyDescent="0.4">
      <c r="A36" s="112" t="s">
        <v>39</v>
      </c>
      <c r="B36" s="113">
        <f>IF(BZ36=0,"",AVERAGE(C36:BY36))</f>
        <v>11172.598052560646</v>
      </c>
      <c r="C36" s="114">
        <v>14359.81428571429</v>
      </c>
      <c r="D36" s="115">
        <v>11235.785714285714</v>
      </c>
      <c r="E36" s="115">
        <v>11260.114285714288</v>
      </c>
      <c r="F36" s="115">
        <v>11664.880952380952</v>
      </c>
      <c r="G36" s="115">
        <v>11192.452380952382</v>
      </c>
      <c r="H36" s="115">
        <v>11197.933333333334</v>
      </c>
      <c r="I36" s="115">
        <v>11014.642857142857</v>
      </c>
      <c r="J36" s="115">
        <v>12097.442857142856</v>
      </c>
      <c r="K36" s="115">
        <v>10906.62380952381</v>
      </c>
      <c r="L36" s="115">
        <v>12105.914285714285</v>
      </c>
      <c r="M36" s="115">
        <v>11436.704761904761</v>
      </c>
      <c r="N36" s="115">
        <v>11145.433333333334</v>
      </c>
      <c r="O36" s="115">
        <v>11182.004761904762</v>
      </c>
      <c r="P36" s="115">
        <v>10985.714285714286</v>
      </c>
      <c r="Q36" s="115">
        <v>11591.585714285713</v>
      </c>
      <c r="R36" s="115">
        <v>12352.095238095239</v>
      </c>
      <c r="S36" s="115">
        <v>11223.313999999998</v>
      </c>
      <c r="T36" s="115">
        <v>11001.643</v>
      </c>
      <c r="U36" s="115">
        <v>10957.142857142857</v>
      </c>
      <c r="V36" s="115">
        <v>11043.257142857143</v>
      </c>
      <c r="W36" s="115">
        <v>10940.313999999998</v>
      </c>
      <c r="X36" s="115">
        <v>10942.619047619048</v>
      </c>
      <c r="Y36" s="115">
        <v>11015.52</v>
      </c>
      <c r="Z36" s="115">
        <v>12205.8</v>
      </c>
      <c r="AA36" s="115">
        <v>11422.190476190477</v>
      </c>
      <c r="AB36" s="115">
        <v>12545.9</v>
      </c>
      <c r="AC36" s="115">
        <v>10836.809523809523</v>
      </c>
      <c r="AD36" s="115">
        <v>10994.39523809524</v>
      </c>
      <c r="AE36" s="115">
        <v>10891.914199999999</v>
      </c>
      <c r="AF36" s="115">
        <v>10876.342857142858</v>
      </c>
      <c r="AG36" s="115">
        <v>10928.143</v>
      </c>
      <c r="AH36" s="115">
        <v>10868.824000000001</v>
      </c>
      <c r="AI36" s="115">
        <v>11053</v>
      </c>
      <c r="AJ36" s="115">
        <v>10789.704761904761</v>
      </c>
      <c r="AK36" s="115">
        <v>10849.3333</v>
      </c>
      <c r="AL36" s="115">
        <v>10780.186</v>
      </c>
      <c r="AM36" s="115">
        <v>10801.542857142857</v>
      </c>
      <c r="AN36" s="115">
        <v>10840.433333333334</v>
      </c>
      <c r="AO36" s="115">
        <v>10759.776000000002</v>
      </c>
      <c r="AP36" s="115">
        <v>10852.414285714283</v>
      </c>
      <c r="AQ36" s="115">
        <v>10886.214285714286</v>
      </c>
      <c r="AR36" s="115">
        <v>10929.285</v>
      </c>
      <c r="AS36" s="115">
        <v>11916.157142857144</v>
      </c>
      <c r="AT36" s="115">
        <v>10789.504761904762</v>
      </c>
      <c r="AU36" s="115">
        <v>10745.433333333334</v>
      </c>
      <c r="AV36" s="115">
        <v>10744.32380952381</v>
      </c>
      <c r="AW36" s="115">
        <v>10837.042857142857</v>
      </c>
      <c r="AX36" s="115">
        <v>11000.614285714286</v>
      </c>
      <c r="AY36" s="115">
        <v>10674.62380952381</v>
      </c>
      <c r="AZ36" s="115">
        <v>10656.233333333335</v>
      </c>
      <c r="BA36" s="114">
        <v>10835.704761904761</v>
      </c>
      <c r="BB36" s="114">
        <v>10652.795238095241</v>
      </c>
      <c r="BC36" s="114">
        <v>10330.10142857143</v>
      </c>
      <c r="BD36" s="114"/>
      <c r="BE36" s="114"/>
      <c r="BF36" s="114"/>
      <c r="BG36" s="114"/>
      <c r="BH36" s="114"/>
      <c r="BI36" s="114"/>
      <c r="BJ36" s="114"/>
      <c r="BK36" s="114"/>
      <c r="BL36" s="114"/>
      <c r="BM36" s="114"/>
      <c r="BN36" s="114"/>
      <c r="BO36" s="114"/>
      <c r="BP36" s="114"/>
      <c r="BQ36" s="114"/>
      <c r="BR36" s="114"/>
      <c r="BS36" s="114"/>
      <c r="BT36" s="114"/>
      <c r="BU36" s="114"/>
      <c r="BV36" s="114"/>
      <c r="BW36" s="114"/>
      <c r="BX36" s="114"/>
      <c r="BY36" s="114"/>
      <c r="BZ36" s="116">
        <f t="shared" si="1"/>
        <v>592147.69678571424</v>
      </c>
    </row>
    <row r="37" spans="1:78" x14ac:dyDescent="0.35">
      <c r="A37" s="117" t="str">
        <f>IF('[3]Set Up'!E35=0,"",'[3]Set Up'!E35&amp;", lb")</f>
        <v>100 Mesh, lb</v>
      </c>
      <c r="B37" s="118">
        <f t="shared" ref="B37:B58" si="2">IF(C37="","",AVERAGE(C37:BY37))</f>
        <v>501300.37735849054</v>
      </c>
      <c r="C37" s="119">
        <v>505240</v>
      </c>
      <c r="D37" s="120">
        <v>506200</v>
      </c>
      <c r="E37" s="120">
        <v>503640</v>
      </c>
      <c r="F37" s="120">
        <v>502240</v>
      </c>
      <c r="G37" s="120">
        <v>495460</v>
      </c>
      <c r="H37" s="120">
        <v>505460</v>
      </c>
      <c r="I37" s="120">
        <v>496260</v>
      </c>
      <c r="J37" s="120">
        <v>500200</v>
      </c>
      <c r="K37" s="120">
        <v>462480</v>
      </c>
      <c r="L37" s="120">
        <v>501020</v>
      </c>
      <c r="M37" s="120">
        <v>492480</v>
      </c>
      <c r="N37" s="120">
        <v>498280</v>
      </c>
      <c r="O37" s="120">
        <v>503500</v>
      </c>
      <c r="P37" s="120">
        <v>500060</v>
      </c>
      <c r="Q37" s="120">
        <v>503040</v>
      </c>
      <c r="R37" s="120">
        <v>503980</v>
      </c>
      <c r="S37" s="120">
        <v>506400</v>
      </c>
      <c r="T37" s="120">
        <v>503640</v>
      </c>
      <c r="U37" s="120">
        <v>506040</v>
      </c>
      <c r="V37" s="120">
        <v>504320</v>
      </c>
      <c r="W37" s="120">
        <v>500420</v>
      </c>
      <c r="X37" s="120">
        <v>503180</v>
      </c>
      <c r="Y37" s="120">
        <v>502140</v>
      </c>
      <c r="Z37" s="120">
        <v>500840</v>
      </c>
      <c r="AA37" s="120">
        <v>497040</v>
      </c>
      <c r="AB37" s="120">
        <v>506860</v>
      </c>
      <c r="AC37" s="120">
        <v>497820</v>
      </c>
      <c r="AD37" s="120">
        <v>507120</v>
      </c>
      <c r="AE37" s="120">
        <v>499140</v>
      </c>
      <c r="AF37" s="120">
        <v>503960</v>
      </c>
      <c r="AG37" s="120">
        <v>503340</v>
      </c>
      <c r="AH37" s="120">
        <v>497620</v>
      </c>
      <c r="AI37" s="120">
        <v>494460</v>
      </c>
      <c r="AJ37" s="120">
        <v>499680</v>
      </c>
      <c r="AK37" s="120">
        <v>498400</v>
      </c>
      <c r="AL37" s="120">
        <v>502720</v>
      </c>
      <c r="AM37" s="120">
        <v>504400</v>
      </c>
      <c r="AN37" s="120">
        <v>500800</v>
      </c>
      <c r="AO37" s="120">
        <v>500880</v>
      </c>
      <c r="AP37" s="120">
        <v>506400</v>
      </c>
      <c r="AQ37" s="120">
        <v>505660</v>
      </c>
      <c r="AR37" s="120">
        <v>500720</v>
      </c>
      <c r="AS37" s="120">
        <v>519100</v>
      </c>
      <c r="AT37" s="120">
        <v>506820</v>
      </c>
      <c r="AU37" s="120">
        <v>502080</v>
      </c>
      <c r="AV37" s="120">
        <v>497140</v>
      </c>
      <c r="AW37" s="120">
        <v>507200</v>
      </c>
      <c r="AX37" s="120">
        <v>507020</v>
      </c>
      <c r="AY37" s="120">
        <v>501380</v>
      </c>
      <c r="AZ37" s="120">
        <v>496480</v>
      </c>
      <c r="BA37" s="119">
        <v>498140</v>
      </c>
      <c r="BB37" s="119">
        <v>501380</v>
      </c>
      <c r="BC37" s="119">
        <v>498640</v>
      </c>
      <c r="BD37" s="119"/>
      <c r="BE37" s="119"/>
      <c r="BF37" s="119"/>
      <c r="BG37" s="119"/>
      <c r="BH37" s="119"/>
      <c r="BI37" s="119"/>
      <c r="BJ37" s="119"/>
      <c r="BK37" s="119"/>
      <c r="BL37" s="119"/>
      <c r="BM37" s="119"/>
      <c r="BN37" s="119"/>
      <c r="BO37" s="119"/>
      <c r="BP37" s="119"/>
      <c r="BQ37" s="119"/>
      <c r="BR37" s="119"/>
      <c r="BS37" s="119"/>
      <c r="BT37" s="119"/>
      <c r="BU37" s="119"/>
      <c r="BV37" s="119"/>
      <c r="BW37" s="119"/>
      <c r="BX37" s="119"/>
      <c r="BY37" s="119"/>
      <c r="BZ37" s="121">
        <f t="shared" si="1"/>
        <v>26568920</v>
      </c>
    </row>
    <row r="38" spans="1:78" x14ac:dyDescent="0.35">
      <c r="A38" s="122" t="str">
        <f>IF('[3]Set Up'!E36=0,"",'[3]Set Up'!E36&amp;", lb")</f>
        <v/>
      </c>
      <c r="B38" s="105" t="str">
        <f t="shared" si="2"/>
        <v/>
      </c>
      <c r="C38" s="123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>
        <v>93</v>
      </c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  <c r="AZ38" s="124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08">
        <f t="shared" si="1"/>
        <v>93</v>
      </c>
    </row>
    <row r="39" spans="1:78" x14ac:dyDescent="0.35">
      <c r="A39" s="125" t="str">
        <f>IF('[3]Set Up'!E37=0,"",'[3]Set Up'!E37&amp;", lb")</f>
        <v/>
      </c>
      <c r="B39" s="126" t="str">
        <f t="shared" si="2"/>
        <v/>
      </c>
      <c r="C39" s="127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  <c r="AI39" s="128">
        <v>0</v>
      </c>
      <c r="AJ39" s="128"/>
      <c r="AK39" s="128"/>
      <c r="AL39" s="128"/>
      <c r="AM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7"/>
      <c r="BB39" s="127"/>
      <c r="BC39" s="127"/>
      <c r="BD39" s="127"/>
      <c r="BE39" s="127"/>
      <c r="BF39" s="127"/>
      <c r="BG39" s="127"/>
      <c r="BH39" s="127"/>
      <c r="BI39" s="127"/>
      <c r="BJ39" s="127"/>
      <c r="BK39" s="127"/>
      <c r="BL39" s="127"/>
      <c r="BM39" s="127"/>
      <c r="BN39" s="127"/>
      <c r="BO39" s="127"/>
      <c r="BP39" s="127"/>
      <c r="BQ39" s="127"/>
      <c r="BR39" s="127"/>
      <c r="BS39" s="127"/>
      <c r="BT39" s="127"/>
      <c r="BU39" s="127"/>
      <c r="BV39" s="127"/>
      <c r="BW39" s="127"/>
      <c r="BX39" s="127"/>
      <c r="BY39" s="127"/>
      <c r="BZ39" s="129">
        <f t="shared" si="1"/>
        <v>0</v>
      </c>
    </row>
    <row r="40" spans="1:78" x14ac:dyDescent="0.35">
      <c r="A40" s="122" t="str">
        <f>IF('[3]Set Up'!E38=0,"",'[3]Set Up'!E38&amp;", lb")</f>
        <v/>
      </c>
      <c r="B40" s="105" t="str">
        <f t="shared" si="2"/>
        <v/>
      </c>
      <c r="C40" s="123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>
        <v>11052.609999999999</v>
      </c>
      <c r="AJ40" s="124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24"/>
      <c r="AX40" s="124"/>
      <c r="AY40" s="124"/>
      <c r="AZ40" s="124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08">
        <f t="shared" si="1"/>
        <v>11052.609999999999</v>
      </c>
    </row>
    <row r="41" spans="1:78" ht="15" thickBot="1" x14ac:dyDescent="0.4">
      <c r="A41" s="130" t="s">
        <v>40</v>
      </c>
      <c r="B41" s="131">
        <f t="shared" si="2"/>
        <v>501300.37735849054</v>
      </c>
      <c r="C41" s="131">
        <v>505240</v>
      </c>
      <c r="D41" s="132">
        <v>506200</v>
      </c>
      <c r="E41" s="132">
        <v>503640</v>
      </c>
      <c r="F41" s="132">
        <v>502240</v>
      </c>
      <c r="G41" s="132">
        <v>495460</v>
      </c>
      <c r="H41" s="132">
        <v>505460</v>
      </c>
      <c r="I41" s="132">
        <v>496260</v>
      </c>
      <c r="J41" s="132">
        <v>500200</v>
      </c>
      <c r="K41" s="132">
        <v>462480</v>
      </c>
      <c r="L41" s="132">
        <v>501020</v>
      </c>
      <c r="M41" s="132">
        <v>492480</v>
      </c>
      <c r="N41" s="132">
        <v>498280</v>
      </c>
      <c r="O41" s="132">
        <v>503500</v>
      </c>
      <c r="P41" s="132">
        <v>500060</v>
      </c>
      <c r="Q41" s="132">
        <v>503040</v>
      </c>
      <c r="R41" s="132">
        <v>503980</v>
      </c>
      <c r="S41" s="132">
        <v>506400</v>
      </c>
      <c r="T41" s="132">
        <v>503640</v>
      </c>
      <c r="U41" s="132">
        <v>506040</v>
      </c>
      <c r="V41" s="132">
        <v>504320</v>
      </c>
      <c r="W41" s="132">
        <v>500420</v>
      </c>
      <c r="X41" s="132">
        <v>503180</v>
      </c>
      <c r="Y41" s="132">
        <v>502140</v>
      </c>
      <c r="Z41" s="132">
        <v>500840</v>
      </c>
      <c r="AA41" s="132">
        <v>497040</v>
      </c>
      <c r="AB41" s="132">
        <v>506860</v>
      </c>
      <c r="AC41" s="132">
        <v>497820</v>
      </c>
      <c r="AD41" s="132">
        <v>507120</v>
      </c>
      <c r="AE41" s="132">
        <v>499140</v>
      </c>
      <c r="AF41" s="132">
        <v>503960</v>
      </c>
      <c r="AG41" s="132">
        <v>503340</v>
      </c>
      <c r="AH41" s="132">
        <v>497620</v>
      </c>
      <c r="AI41" s="132">
        <v>494460</v>
      </c>
      <c r="AJ41" s="132">
        <v>499680</v>
      </c>
      <c r="AK41" s="132">
        <v>498400</v>
      </c>
      <c r="AL41" s="132">
        <v>502720</v>
      </c>
      <c r="AM41" s="132">
        <v>504400</v>
      </c>
      <c r="AN41" s="132">
        <v>500800</v>
      </c>
      <c r="AO41" s="132">
        <v>500880</v>
      </c>
      <c r="AP41" s="132">
        <v>506400</v>
      </c>
      <c r="AQ41" s="132">
        <v>505660</v>
      </c>
      <c r="AR41" s="132">
        <v>500720</v>
      </c>
      <c r="AS41" s="132">
        <v>519100</v>
      </c>
      <c r="AT41" s="132">
        <v>506820</v>
      </c>
      <c r="AU41" s="132">
        <v>502080</v>
      </c>
      <c r="AV41" s="132">
        <v>497140</v>
      </c>
      <c r="AW41" s="132">
        <v>507200</v>
      </c>
      <c r="AX41" s="132">
        <v>507020</v>
      </c>
      <c r="AY41" s="132">
        <v>501380</v>
      </c>
      <c r="AZ41" s="132">
        <v>496480</v>
      </c>
      <c r="BA41" s="132">
        <v>498140</v>
      </c>
      <c r="BB41" s="132">
        <v>501380</v>
      </c>
      <c r="BC41" s="132">
        <v>498640</v>
      </c>
      <c r="BD41" s="132"/>
      <c r="BE41" s="132"/>
      <c r="BF41" s="132"/>
      <c r="BG41" s="132"/>
      <c r="BH41" s="132"/>
      <c r="BI41" s="132"/>
      <c r="BJ41" s="132"/>
      <c r="BK41" s="132"/>
      <c r="BL41" s="132"/>
      <c r="BM41" s="132"/>
      <c r="BN41" s="132"/>
      <c r="BO41" s="132"/>
      <c r="BP41" s="132"/>
      <c r="BQ41" s="132"/>
      <c r="BR41" s="132"/>
      <c r="BS41" s="132"/>
      <c r="BT41" s="132"/>
      <c r="BU41" s="132"/>
      <c r="BV41" s="132"/>
      <c r="BW41" s="132"/>
      <c r="BX41" s="132"/>
      <c r="BY41" s="132"/>
      <c r="BZ41" s="133">
        <f t="shared" si="1"/>
        <v>26568920</v>
      </c>
    </row>
    <row r="42" spans="1:78" x14ac:dyDescent="0.35">
      <c r="A42" s="134" t="str">
        <f>A37</f>
        <v>100 Mesh, lb</v>
      </c>
      <c r="B42" s="135">
        <f t="shared" si="2"/>
        <v>501300.37735849054</v>
      </c>
      <c r="C42" s="136">
        <v>505240</v>
      </c>
      <c r="D42" s="136">
        <v>506200</v>
      </c>
      <c r="E42" s="136">
        <v>503640</v>
      </c>
      <c r="F42" s="136">
        <v>502240</v>
      </c>
      <c r="G42" s="136">
        <v>495460</v>
      </c>
      <c r="H42" s="136">
        <v>505460</v>
      </c>
      <c r="I42" s="136">
        <v>496260</v>
      </c>
      <c r="J42" s="136">
        <v>500200</v>
      </c>
      <c r="K42" s="136">
        <v>462480</v>
      </c>
      <c r="L42" s="136">
        <v>501020</v>
      </c>
      <c r="M42" s="136">
        <v>492480</v>
      </c>
      <c r="N42" s="136">
        <v>498280</v>
      </c>
      <c r="O42" s="136">
        <v>503500</v>
      </c>
      <c r="P42" s="136">
        <v>500060</v>
      </c>
      <c r="Q42" s="136">
        <v>503040</v>
      </c>
      <c r="R42" s="136">
        <v>503980</v>
      </c>
      <c r="S42" s="136">
        <v>506400</v>
      </c>
      <c r="T42" s="136">
        <v>503640</v>
      </c>
      <c r="U42" s="136">
        <v>506040</v>
      </c>
      <c r="V42" s="136">
        <v>504320</v>
      </c>
      <c r="W42" s="136">
        <v>500420</v>
      </c>
      <c r="X42" s="136">
        <v>503180</v>
      </c>
      <c r="Y42" s="136">
        <v>502140</v>
      </c>
      <c r="Z42" s="136">
        <v>500840</v>
      </c>
      <c r="AA42" s="136">
        <v>497040</v>
      </c>
      <c r="AB42" s="136">
        <v>506860</v>
      </c>
      <c r="AC42" s="136">
        <v>497820</v>
      </c>
      <c r="AD42" s="136">
        <v>507120</v>
      </c>
      <c r="AE42" s="136">
        <v>499140</v>
      </c>
      <c r="AF42" s="136">
        <v>503960</v>
      </c>
      <c r="AG42" s="136">
        <v>503340</v>
      </c>
      <c r="AH42" s="136">
        <v>497620</v>
      </c>
      <c r="AI42" s="136">
        <v>494460</v>
      </c>
      <c r="AJ42" s="136">
        <v>499680</v>
      </c>
      <c r="AK42" s="136">
        <v>498400</v>
      </c>
      <c r="AL42" s="136">
        <v>502720</v>
      </c>
      <c r="AM42" s="136">
        <v>504400</v>
      </c>
      <c r="AN42" s="136">
        <v>500800</v>
      </c>
      <c r="AO42" s="136">
        <v>500880</v>
      </c>
      <c r="AP42" s="136">
        <v>506400</v>
      </c>
      <c r="AQ42" s="136">
        <v>505660</v>
      </c>
      <c r="AR42" s="136">
        <v>500720</v>
      </c>
      <c r="AS42" s="136">
        <v>519100</v>
      </c>
      <c r="AT42" s="136">
        <v>506820</v>
      </c>
      <c r="AU42" s="136">
        <v>502080</v>
      </c>
      <c r="AV42" s="136">
        <v>497140</v>
      </c>
      <c r="AW42" s="136">
        <v>507200</v>
      </c>
      <c r="AX42" s="136">
        <v>507020</v>
      </c>
      <c r="AY42" s="136">
        <v>501380</v>
      </c>
      <c r="AZ42" s="136">
        <v>496480</v>
      </c>
      <c r="BA42" s="137">
        <v>498140</v>
      </c>
      <c r="BB42" s="137">
        <v>501380</v>
      </c>
      <c r="BC42" s="137">
        <v>498640</v>
      </c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8">
        <f t="shared" si="1"/>
        <v>26568920</v>
      </c>
    </row>
    <row r="43" spans="1:78" x14ac:dyDescent="0.35">
      <c r="A43" s="122" t="str">
        <f>A38</f>
        <v/>
      </c>
      <c r="B43" s="105" t="str">
        <f t="shared" si="2"/>
        <v/>
      </c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  <c r="AZ43" s="124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08">
        <f t="shared" si="1"/>
        <v>0</v>
      </c>
    </row>
    <row r="44" spans="1:78" x14ac:dyDescent="0.35">
      <c r="A44" s="139" t="str">
        <f>A39</f>
        <v/>
      </c>
      <c r="B44" s="140" t="str">
        <f t="shared" si="2"/>
        <v/>
      </c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  <c r="AO44" s="141"/>
      <c r="AP44" s="141"/>
      <c r="AQ44" s="141"/>
      <c r="AR44" s="141"/>
      <c r="AS44" s="141"/>
      <c r="AT44" s="141"/>
      <c r="AU44" s="141"/>
      <c r="AV44" s="141"/>
      <c r="AW44" s="141"/>
      <c r="AX44" s="141"/>
      <c r="AY44" s="141"/>
      <c r="AZ44" s="141"/>
      <c r="BA44" s="141"/>
      <c r="BB44" s="141"/>
      <c r="BC44" s="141"/>
      <c r="BD44" s="141"/>
      <c r="BE44" s="141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1"/>
      <c r="BQ44" s="141"/>
      <c r="BR44" s="141"/>
      <c r="BS44" s="141"/>
      <c r="BT44" s="141"/>
      <c r="BU44" s="141"/>
      <c r="BV44" s="141"/>
      <c r="BW44" s="141"/>
      <c r="BX44" s="141"/>
      <c r="BY44" s="141"/>
      <c r="BZ44" s="140">
        <f t="shared" si="1"/>
        <v>0</v>
      </c>
    </row>
    <row r="45" spans="1:78" x14ac:dyDescent="0.35">
      <c r="A45" s="142" t="str">
        <f>A40</f>
        <v/>
      </c>
      <c r="B45" s="143" t="str">
        <f t="shared" si="2"/>
        <v/>
      </c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>
        <v>494460</v>
      </c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24"/>
      <c r="BL45" s="124"/>
      <c r="BM45" s="124"/>
      <c r="BN45" s="124"/>
      <c r="BO45" s="124"/>
      <c r="BP45" s="124"/>
      <c r="BQ45" s="124"/>
      <c r="BR45" s="124"/>
      <c r="BS45" s="124"/>
      <c r="BT45" s="124"/>
      <c r="BU45" s="124"/>
      <c r="BV45" s="124"/>
      <c r="BW45" s="124"/>
      <c r="BX45" s="124"/>
      <c r="BY45" s="124"/>
      <c r="BZ45" s="105">
        <f t="shared" si="1"/>
        <v>494460</v>
      </c>
    </row>
    <row r="46" spans="1:78" ht="15" thickBot="1" x14ac:dyDescent="0.4">
      <c r="A46" s="144" t="s">
        <v>41</v>
      </c>
      <c r="B46" s="145">
        <f t="shared" si="2"/>
        <v>501300.37735849054</v>
      </c>
      <c r="C46" s="146">
        <v>505240</v>
      </c>
      <c r="D46" s="146">
        <v>506200</v>
      </c>
      <c r="E46" s="146">
        <v>503640</v>
      </c>
      <c r="F46" s="146">
        <v>502240</v>
      </c>
      <c r="G46" s="146">
        <v>495460</v>
      </c>
      <c r="H46" s="146">
        <v>505460</v>
      </c>
      <c r="I46" s="146">
        <v>496260</v>
      </c>
      <c r="J46" s="146">
        <v>500200</v>
      </c>
      <c r="K46" s="146">
        <v>462480</v>
      </c>
      <c r="L46" s="146">
        <v>501020</v>
      </c>
      <c r="M46" s="146">
        <v>492480</v>
      </c>
      <c r="N46" s="146">
        <v>498280</v>
      </c>
      <c r="O46" s="146">
        <v>503500</v>
      </c>
      <c r="P46" s="146">
        <v>500060</v>
      </c>
      <c r="Q46" s="146">
        <v>503040</v>
      </c>
      <c r="R46" s="146">
        <v>503980</v>
      </c>
      <c r="S46" s="146">
        <v>506400</v>
      </c>
      <c r="T46" s="146">
        <v>503640</v>
      </c>
      <c r="U46" s="146">
        <v>506040</v>
      </c>
      <c r="V46" s="146">
        <v>504320</v>
      </c>
      <c r="W46" s="146">
        <v>500420</v>
      </c>
      <c r="X46" s="146">
        <v>503180</v>
      </c>
      <c r="Y46" s="146">
        <v>502140</v>
      </c>
      <c r="Z46" s="146">
        <v>500840</v>
      </c>
      <c r="AA46" s="146">
        <v>497040</v>
      </c>
      <c r="AB46" s="146">
        <v>506860</v>
      </c>
      <c r="AC46" s="146">
        <v>497820</v>
      </c>
      <c r="AD46" s="146">
        <v>507120</v>
      </c>
      <c r="AE46" s="146">
        <v>499140</v>
      </c>
      <c r="AF46" s="146">
        <v>503960</v>
      </c>
      <c r="AG46" s="146">
        <v>503340</v>
      </c>
      <c r="AH46" s="146">
        <v>497620</v>
      </c>
      <c r="AI46" s="146">
        <v>494460</v>
      </c>
      <c r="AJ46" s="146">
        <v>499680</v>
      </c>
      <c r="AK46" s="146">
        <v>498400</v>
      </c>
      <c r="AL46" s="146">
        <v>502720</v>
      </c>
      <c r="AM46" s="146">
        <v>504400</v>
      </c>
      <c r="AN46" s="146">
        <v>500800</v>
      </c>
      <c r="AO46" s="146">
        <v>500880</v>
      </c>
      <c r="AP46" s="146">
        <v>506400</v>
      </c>
      <c r="AQ46" s="146">
        <v>505660</v>
      </c>
      <c r="AR46" s="146">
        <v>500720</v>
      </c>
      <c r="AS46" s="146">
        <v>519100</v>
      </c>
      <c r="AT46" s="146">
        <v>506820</v>
      </c>
      <c r="AU46" s="146">
        <v>502080</v>
      </c>
      <c r="AV46" s="146">
        <v>497140</v>
      </c>
      <c r="AW46" s="146">
        <v>507200</v>
      </c>
      <c r="AX46" s="146">
        <v>507020</v>
      </c>
      <c r="AY46" s="146">
        <v>501380</v>
      </c>
      <c r="AZ46" s="146">
        <v>496480</v>
      </c>
      <c r="BA46" s="146">
        <v>498140</v>
      </c>
      <c r="BB46" s="146">
        <v>501380</v>
      </c>
      <c r="BC46" s="146">
        <v>498640</v>
      </c>
      <c r="BD46" s="146"/>
      <c r="BE46" s="146"/>
      <c r="BF46" s="146"/>
      <c r="BG46" s="146"/>
      <c r="BH46" s="146"/>
      <c r="BI46" s="146"/>
      <c r="BJ46" s="146"/>
      <c r="BK46" s="146"/>
      <c r="BL46" s="146"/>
      <c r="BM46" s="146"/>
      <c r="BN46" s="146"/>
      <c r="BO46" s="146"/>
      <c r="BP46" s="146"/>
      <c r="BQ46" s="146"/>
      <c r="BR46" s="146"/>
      <c r="BS46" s="146"/>
      <c r="BT46" s="146"/>
      <c r="BU46" s="146"/>
      <c r="BV46" s="146"/>
      <c r="BW46" s="146"/>
      <c r="BX46" s="146"/>
      <c r="BY46" s="146"/>
      <c r="BZ46" s="145">
        <f t="shared" si="1"/>
        <v>26568920</v>
      </c>
    </row>
    <row r="47" spans="1:78" x14ac:dyDescent="0.35">
      <c r="A47" s="147" t="str">
        <f>'[3]Set Up'!E51</f>
        <v>Plexslick 957, gal</v>
      </c>
      <c r="B47" s="148">
        <f t="shared" si="2"/>
        <v>443.05660377358492</v>
      </c>
      <c r="C47" s="149">
        <v>585</v>
      </c>
      <c r="D47" s="150">
        <v>450</v>
      </c>
      <c r="E47" s="150">
        <v>400</v>
      </c>
      <c r="F47" s="150">
        <v>429</v>
      </c>
      <c r="G47" s="150">
        <v>319</v>
      </c>
      <c r="H47" s="150">
        <v>345</v>
      </c>
      <c r="I47" s="150">
        <v>446</v>
      </c>
      <c r="J47" s="150">
        <v>495</v>
      </c>
      <c r="K47" s="150">
        <v>441</v>
      </c>
      <c r="L47" s="151">
        <v>492</v>
      </c>
      <c r="M47" s="151">
        <v>465</v>
      </c>
      <c r="N47" s="151">
        <v>453</v>
      </c>
      <c r="O47" s="151">
        <v>454</v>
      </c>
      <c r="P47" s="151">
        <v>414</v>
      </c>
      <c r="Q47" s="151">
        <v>424</v>
      </c>
      <c r="R47" s="151">
        <v>483</v>
      </c>
      <c r="S47" s="151">
        <v>457</v>
      </c>
      <c r="T47" s="151">
        <v>448</v>
      </c>
      <c r="U47" s="151">
        <v>446</v>
      </c>
      <c r="V47" s="151">
        <v>450</v>
      </c>
      <c r="W47" s="151">
        <v>446</v>
      </c>
      <c r="X47" s="151">
        <v>446</v>
      </c>
      <c r="Y47" s="151">
        <v>449</v>
      </c>
      <c r="Z47" s="151">
        <v>500</v>
      </c>
      <c r="AA47" s="151">
        <v>467</v>
      </c>
      <c r="AB47" s="151">
        <v>498</v>
      </c>
      <c r="AC47" s="151">
        <v>443</v>
      </c>
      <c r="AD47" s="151">
        <v>449</v>
      </c>
      <c r="AE47" s="151">
        <v>445</v>
      </c>
      <c r="AF47" s="151">
        <v>446</v>
      </c>
      <c r="AG47" s="151">
        <v>443</v>
      </c>
      <c r="AH47" s="151">
        <v>442</v>
      </c>
      <c r="AI47" s="151">
        <v>453</v>
      </c>
      <c r="AJ47" s="151">
        <v>443</v>
      </c>
      <c r="AK47" s="151">
        <v>444</v>
      </c>
      <c r="AL47" s="151">
        <v>444</v>
      </c>
      <c r="AM47" s="151">
        <v>444</v>
      </c>
      <c r="AN47" s="151">
        <v>445</v>
      </c>
      <c r="AO47" s="151">
        <v>443</v>
      </c>
      <c r="AP47" s="151">
        <v>447</v>
      </c>
      <c r="AQ47" s="151">
        <v>448</v>
      </c>
      <c r="AR47" s="151">
        <v>449</v>
      </c>
      <c r="AS47" s="151">
        <v>492</v>
      </c>
      <c r="AT47" s="151">
        <v>444</v>
      </c>
      <c r="AU47" s="151">
        <v>442</v>
      </c>
      <c r="AV47" s="151">
        <v>443</v>
      </c>
      <c r="AW47" s="151">
        <v>448</v>
      </c>
      <c r="AX47" s="151">
        <v>454</v>
      </c>
      <c r="AY47" s="151">
        <v>441</v>
      </c>
      <c r="AZ47" s="151">
        <v>441</v>
      </c>
      <c r="BA47" s="152">
        <v>443</v>
      </c>
      <c r="BB47" s="152">
        <v>313</v>
      </c>
      <c r="BC47" s="152">
        <v>291</v>
      </c>
      <c r="BD47" s="152"/>
      <c r="BE47" s="152"/>
      <c r="BF47" s="152"/>
      <c r="BG47" s="152"/>
      <c r="BH47" s="152"/>
      <c r="BI47" s="152"/>
      <c r="BJ47" s="152"/>
      <c r="BK47" s="152"/>
      <c r="BL47" s="152"/>
      <c r="BM47" s="152"/>
      <c r="BN47" s="152"/>
      <c r="BO47" s="152"/>
      <c r="BP47" s="152"/>
      <c r="BQ47" s="152"/>
      <c r="BR47" s="152"/>
      <c r="BS47" s="152"/>
      <c r="BT47" s="152"/>
      <c r="BU47" s="152"/>
      <c r="BV47" s="152"/>
      <c r="BW47" s="152"/>
      <c r="BX47" s="152"/>
      <c r="BY47" s="152"/>
      <c r="BZ47" s="153">
        <f t="shared" si="1"/>
        <v>23482</v>
      </c>
    </row>
    <row r="48" spans="1:78" x14ac:dyDescent="0.35">
      <c r="A48" s="154" t="str">
        <f>'[3]Set Up'!E52</f>
        <v>Chemplex 4-N-1, gal</v>
      </c>
      <c r="B48" s="155">
        <f t="shared" si="2"/>
        <v>7.4150943396226419</v>
      </c>
      <c r="C48" s="156">
        <v>7</v>
      </c>
      <c r="D48" s="157">
        <v>8</v>
      </c>
      <c r="E48" s="157">
        <v>7</v>
      </c>
      <c r="F48" s="157">
        <v>7</v>
      </c>
      <c r="G48" s="157">
        <v>7</v>
      </c>
      <c r="H48" s="157">
        <v>7</v>
      </c>
      <c r="I48" s="157">
        <v>7</v>
      </c>
      <c r="J48" s="157">
        <v>7</v>
      </c>
      <c r="K48" s="157">
        <v>8</v>
      </c>
      <c r="L48" s="107">
        <v>8</v>
      </c>
      <c r="M48" s="107">
        <v>8</v>
      </c>
      <c r="N48" s="107">
        <v>7</v>
      </c>
      <c r="O48" s="107">
        <v>8</v>
      </c>
      <c r="P48" s="107">
        <v>7</v>
      </c>
      <c r="Q48" s="107">
        <v>8</v>
      </c>
      <c r="R48" s="107">
        <v>7</v>
      </c>
      <c r="S48" s="107">
        <v>8</v>
      </c>
      <c r="T48" s="107">
        <v>8</v>
      </c>
      <c r="U48" s="107">
        <v>7</v>
      </c>
      <c r="V48" s="107">
        <v>8</v>
      </c>
      <c r="W48" s="107">
        <v>7</v>
      </c>
      <c r="X48" s="107">
        <v>7</v>
      </c>
      <c r="Y48" s="107">
        <v>7</v>
      </c>
      <c r="Z48" s="107">
        <v>8</v>
      </c>
      <c r="AA48" s="107">
        <v>8</v>
      </c>
      <c r="AB48" s="107">
        <v>8</v>
      </c>
      <c r="AC48" s="107">
        <v>7</v>
      </c>
      <c r="AD48" s="107">
        <v>8</v>
      </c>
      <c r="AE48" s="107">
        <v>7</v>
      </c>
      <c r="AF48" s="107">
        <v>7</v>
      </c>
      <c r="AG48" s="107">
        <v>7</v>
      </c>
      <c r="AH48" s="107">
        <v>8</v>
      </c>
      <c r="AI48" s="107">
        <v>8</v>
      </c>
      <c r="AJ48" s="107">
        <v>8</v>
      </c>
      <c r="AK48" s="107">
        <v>7</v>
      </c>
      <c r="AL48" s="107">
        <v>8</v>
      </c>
      <c r="AM48" s="107">
        <v>7</v>
      </c>
      <c r="AN48" s="107">
        <v>8</v>
      </c>
      <c r="AO48" s="107">
        <v>8</v>
      </c>
      <c r="AP48" s="107">
        <v>8</v>
      </c>
      <c r="AQ48" s="107">
        <v>7</v>
      </c>
      <c r="AR48" s="107">
        <v>7</v>
      </c>
      <c r="AS48" s="107">
        <v>7</v>
      </c>
      <c r="AT48" s="107">
        <v>7</v>
      </c>
      <c r="AU48" s="107">
        <v>7</v>
      </c>
      <c r="AV48" s="107">
        <v>7</v>
      </c>
      <c r="AW48" s="107">
        <v>8</v>
      </c>
      <c r="AX48" s="107">
        <v>8</v>
      </c>
      <c r="AY48" s="107">
        <v>7</v>
      </c>
      <c r="AZ48" s="107">
        <v>7</v>
      </c>
      <c r="BA48" s="106">
        <v>7</v>
      </c>
      <c r="BB48" s="106">
        <v>7</v>
      </c>
      <c r="BC48" s="106">
        <v>7</v>
      </c>
      <c r="BD48" s="106"/>
      <c r="BE48" s="106"/>
      <c r="BF48" s="106"/>
      <c r="BG48" s="106"/>
      <c r="BH48" s="106"/>
      <c r="BI48" s="106"/>
      <c r="BJ48" s="106"/>
      <c r="BK48" s="106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58">
        <f t="shared" si="1"/>
        <v>393</v>
      </c>
    </row>
    <row r="49" spans="1:78" x14ac:dyDescent="0.35">
      <c r="A49" s="147" t="str">
        <f>'[3]Set Up'!E53</f>
        <v>Payzone 845, gal</v>
      </c>
      <c r="B49" s="148">
        <f t="shared" si="2"/>
        <v>92.415094339622641</v>
      </c>
      <c r="C49" s="159">
        <v>117</v>
      </c>
      <c r="D49" s="160">
        <v>92</v>
      </c>
      <c r="E49" s="160">
        <v>92</v>
      </c>
      <c r="F49" s="160">
        <v>94</v>
      </c>
      <c r="G49" s="160">
        <v>92</v>
      </c>
      <c r="H49" s="160">
        <v>92</v>
      </c>
      <c r="I49" s="160">
        <v>92</v>
      </c>
      <c r="J49" s="160">
        <v>99</v>
      </c>
      <c r="K49" s="160">
        <v>89</v>
      </c>
      <c r="L49" s="161">
        <v>99</v>
      </c>
      <c r="M49" s="161">
        <v>94</v>
      </c>
      <c r="N49" s="161">
        <v>92</v>
      </c>
      <c r="O49" s="161">
        <v>92</v>
      </c>
      <c r="P49" s="161">
        <v>91</v>
      </c>
      <c r="Q49" s="161">
        <v>95</v>
      </c>
      <c r="R49" s="161">
        <v>100</v>
      </c>
      <c r="S49" s="161">
        <v>92</v>
      </c>
      <c r="T49" s="161">
        <v>91</v>
      </c>
      <c r="U49" s="161">
        <v>90</v>
      </c>
      <c r="V49" s="161">
        <v>91</v>
      </c>
      <c r="W49" s="161">
        <v>90</v>
      </c>
      <c r="X49" s="161">
        <v>90</v>
      </c>
      <c r="Y49" s="161">
        <v>91</v>
      </c>
      <c r="Z49" s="161">
        <v>101</v>
      </c>
      <c r="AA49" s="161">
        <v>95</v>
      </c>
      <c r="AB49" s="161">
        <v>104</v>
      </c>
      <c r="AC49" s="161">
        <v>90</v>
      </c>
      <c r="AD49" s="161">
        <v>91</v>
      </c>
      <c r="AE49" s="161">
        <v>90</v>
      </c>
      <c r="AF49" s="161">
        <v>90</v>
      </c>
      <c r="AG49" s="161">
        <v>91</v>
      </c>
      <c r="AH49" s="161">
        <v>90</v>
      </c>
      <c r="AI49" s="161">
        <v>91</v>
      </c>
      <c r="AJ49" s="161">
        <v>90</v>
      </c>
      <c r="AK49" s="161">
        <v>90</v>
      </c>
      <c r="AL49" s="161">
        <v>90</v>
      </c>
      <c r="AM49" s="161">
        <v>90</v>
      </c>
      <c r="AN49" s="161">
        <v>90</v>
      </c>
      <c r="AO49" s="161">
        <v>90</v>
      </c>
      <c r="AP49" s="161">
        <v>90</v>
      </c>
      <c r="AQ49" s="161">
        <v>91</v>
      </c>
      <c r="AR49" s="161">
        <v>92</v>
      </c>
      <c r="AS49" s="161">
        <v>99</v>
      </c>
      <c r="AT49" s="161">
        <v>90</v>
      </c>
      <c r="AU49" s="161">
        <v>90</v>
      </c>
      <c r="AV49" s="161">
        <v>90</v>
      </c>
      <c r="AW49" s="161">
        <v>90</v>
      </c>
      <c r="AX49" s="161">
        <v>92</v>
      </c>
      <c r="AY49" s="161">
        <v>90</v>
      </c>
      <c r="AZ49" s="161">
        <v>89</v>
      </c>
      <c r="BA49" s="162">
        <v>90</v>
      </c>
      <c r="BB49" s="162">
        <v>89</v>
      </c>
      <c r="BC49" s="162">
        <v>86</v>
      </c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3">
        <f t="shared" si="1"/>
        <v>4898</v>
      </c>
    </row>
    <row r="50" spans="1:78" x14ac:dyDescent="0.35">
      <c r="A50" s="154" t="str">
        <f>'[3]Set Up'!E54</f>
        <v>Payzone 850, gal</v>
      </c>
      <c r="B50" s="155">
        <f t="shared" si="2"/>
        <v>34.698113207547166</v>
      </c>
      <c r="C50" s="156">
        <v>45</v>
      </c>
      <c r="D50" s="157">
        <v>34</v>
      </c>
      <c r="E50" s="157">
        <v>34</v>
      </c>
      <c r="F50" s="157">
        <v>35</v>
      </c>
      <c r="G50" s="157">
        <v>34</v>
      </c>
      <c r="H50" s="157">
        <v>34</v>
      </c>
      <c r="I50" s="157">
        <v>34</v>
      </c>
      <c r="J50" s="157">
        <v>37</v>
      </c>
      <c r="K50" s="157">
        <v>34</v>
      </c>
      <c r="L50" s="157">
        <v>37</v>
      </c>
      <c r="M50" s="157">
        <v>36</v>
      </c>
      <c r="N50" s="157">
        <v>34</v>
      </c>
      <c r="O50" s="157">
        <v>34</v>
      </c>
      <c r="P50" s="157">
        <v>34</v>
      </c>
      <c r="Q50" s="157">
        <v>36</v>
      </c>
      <c r="R50" s="157">
        <v>37</v>
      </c>
      <c r="S50" s="157">
        <v>34</v>
      </c>
      <c r="T50" s="107">
        <v>34</v>
      </c>
      <c r="U50" s="107">
        <v>34</v>
      </c>
      <c r="V50" s="107">
        <v>34</v>
      </c>
      <c r="W50" s="107">
        <v>34</v>
      </c>
      <c r="X50" s="107">
        <v>34</v>
      </c>
      <c r="Y50" s="107">
        <v>34</v>
      </c>
      <c r="Z50" s="107">
        <v>38</v>
      </c>
      <c r="AA50" s="107">
        <v>35</v>
      </c>
      <c r="AB50" s="107">
        <v>39</v>
      </c>
      <c r="AC50" s="107">
        <v>34</v>
      </c>
      <c r="AD50" s="107">
        <v>34</v>
      </c>
      <c r="AE50" s="107">
        <v>34</v>
      </c>
      <c r="AF50" s="107">
        <v>34</v>
      </c>
      <c r="AG50" s="107">
        <v>34</v>
      </c>
      <c r="AH50" s="107">
        <v>34</v>
      </c>
      <c r="AI50" s="107">
        <v>34</v>
      </c>
      <c r="AJ50" s="107">
        <v>34</v>
      </c>
      <c r="AK50" s="107">
        <v>34</v>
      </c>
      <c r="AL50" s="107">
        <v>34</v>
      </c>
      <c r="AM50" s="107">
        <v>34</v>
      </c>
      <c r="AN50" s="107">
        <v>34</v>
      </c>
      <c r="AO50" s="107">
        <v>34</v>
      </c>
      <c r="AP50" s="107">
        <v>34</v>
      </c>
      <c r="AQ50" s="107">
        <v>34</v>
      </c>
      <c r="AR50" s="107">
        <v>34</v>
      </c>
      <c r="AS50" s="107">
        <v>37</v>
      </c>
      <c r="AT50" s="107">
        <v>34</v>
      </c>
      <c r="AU50" s="107">
        <v>34</v>
      </c>
      <c r="AV50" s="107">
        <v>34</v>
      </c>
      <c r="AW50" s="107">
        <v>34</v>
      </c>
      <c r="AX50" s="107">
        <v>35</v>
      </c>
      <c r="AY50" s="107">
        <v>34</v>
      </c>
      <c r="AZ50" s="107">
        <v>34</v>
      </c>
      <c r="BA50" s="106">
        <v>34</v>
      </c>
      <c r="BB50" s="106">
        <v>34</v>
      </c>
      <c r="BC50" s="106">
        <v>32</v>
      </c>
      <c r="BD50" s="106"/>
      <c r="BE50" s="106"/>
      <c r="BF50" s="106"/>
      <c r="BG50" s="106"/>
      <c r="BH50" s="106"/>
      <c r="BI50" s="106"/>
      <c r="BJ50" s="106"/>
      <c r="BK50" s="106"/>
      <c r="BL50" s="106"/>
      <c r="BM50" s="106"/>
      <c r="BN50" s="106"/>
      <c r="BO50" s="106"/>
      <c r="BP50" s="106"/>
      <c r="BQ50" s="106"/>
      <c r="BR50" s="106"/>
      <c r="BS50" s="106"/>
      <c r="BT50" s="106"/>
      <c r="BU50" s="106"/>
      <c r="BV50" s="106"/>
      <c r="BW50" s="106"/>
      <c r="BX50" s="106"/>
      <c r="BY50" s="106"/>
      <c r="BZ50" s="158">
        <f t="shared" si="1"/>
        <v>1839</v>
      </c>
    </row>
    <row r="51" spans="1:78" x14ac:dyDescent="0.35">
      <c r="A51" s="147" t="str">
        <f>'[3]Set Up'!E55</f>
        <v>Payzone 217, gal</v>
      </c>
      <c r="B51" s="148">
        <f t="shared" si="2"/>
        <v>92.415094339622641</v>
      </c>
      <c r="C51" s="159">
        <v>117</v>
      </c>
      <c r="D51" s="160">
        <v>92</v>
      </c>
      <c r="E51" s="160">
        <v>92</v>
      </c>
      <c r="F51" s="160">
        <v>94</v>
      </c>
      <c r="G51" s="160">
        <v>92</v>
      </c>
      <c r="H51" s="160">
        <v>92</v>
      </c>
      <c r="I51" s="160">
        <v>92</v>
      </c>
      <c r="J51" s="160">
        <v>99</v>
      </c>
      <c r="K51" s="160">
        <v>89</v>
      </c>
      <c r="L51" s="161">
        <v>99</v>
      </c>
      <c r="M51" s="161">
        <v>94</v>
      </c>
      <c r="N51" s="161">
        <v>92</v>
      </c>
      <c r="O51" s="161">
        <v>92</v>
      </c>
      <c r="P51" s="161">
        <v>91</v>
      </c>
      <c r="Q51" s="161">
        <v>95</v>
      </c>
      <c r="R51" s="161">
        <v>100</v>
      </c>
      <c r="S51" s="161">
        <v>92</v>
      </c>
      <c r="T51" s="161">
        <v>91</v>
      </c>
      <c r="U51" s="161">
        <v>90</v>
      </c>
      <c r="V51" s="161">
        <v>91</v>
      </c>
      <c r="W51" s="161">
        <v>90</v>
      </c>
      <c r="X51" s="161">
        <v>90</v>
      </c>
      <c r="Y51" s="161">
        <v>91</v>
      </c>
      <c r="Z51" s="161">
        <v>101</v>
      </c>
      <c r="AA51" s="161">
        <v>95</v>
      </c>
      <c r="AB51" s="161">
        <v>104</v>
      </c>
      <c r="AC51" s="161">
        <v>90</v>
      </c>
      <c r="AD51" s="161">
        <v>91</v>
      </c>
      <c r="AE51" s="161">
        <v>90</v>
      </c>
      <c r="AF51" s="161">
        <v>90</v>
      </c>
      <c r="AG51" s="161">
        <v>91</v>
      </c>
      <c r="AH51" s="161">
        <v>90</v>
      </c>
      <c r="AI51" s="161">
        <v>91</v>
      </c>
      <c r="AJ51" s="161">
        <v>90</v>
      </c>
      <c r="AK51" s="161">
        <v>90</v>
      </c>
      <c r="AL51" s="161">
        <v>90</v>
      </c>
      <c r="AM51" s="161">
        <v>90</v>
      </c>
      <c r="AN51" s="161">
        <v>90</v>
      </c>
      <c r="AO51" s="161">
        <v>90</v>
      </c>
      <c r="AP51" s="161">
        <v>90</v>
      </c>
      <c r="AQ51" s="161">
        <v>91</v>
      </c>
      <c r="AR51" s="161">
        <v>92</v>
      </c>
      <c r="AS51" s="161">
        <v>99</v>
      </c>
      <c r="AT51" s="161">
        <v>90</v>
      </c>
      <c r="AU51" s="161">
        <v>90</v>
      </c>
      <c r="AV51" s="161">
        <v>90</v>
      </c>
      <c r="AW51" s="161">
        <v>90</v>
      </c>
      <c r="AX51" s="161">
        <v>92</v>
      </c>
      <c r="AY51" s="161">
        <v>90</v>
      </c>
      <c r="AZ51" s="161">
        <v>89</v>
      </c>
      <c r="BA51" s="162">
        <v>90</v>
      </c>
      <c r="BB51" s="162">
        <v>89</v>
      </c>
      <c r="BC51" s="162">
        <v>86</v>
      </c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3">
        <f t="shared" si="1"/>
        <v>4898</v>
      </c>
    </row>
    <row r="52" spans="1:78" x14ac:dyDescent="0.35">
      <c r="A52" s="154" t="str">
        <f>'[3]Set Up'!E56</f>
        <v>Stim741 Gel, gal</v>
      </c>
      <c r="B52" s="155">
        <f t="shared" si="2"/>
        <v>11.153846153846153</v>
      </c>
      <c r="C52" s="156">
        <v>20</v>
      </c>
      <c r="D52" s="157">
        <v>10</v>
      </c>
      <c r="E52" s="157">
        <v>20</v>
      </c>
      <c r="F52" s="157">
        <v>10</v>
      </c>
      <c r="G52" s="157">
        <v>20</v>
      </c>
      <c r="H52" s="157">
        <v>10</v>
      </c>
      <c r="I52" s="157">
        <v>10</v>
      </c>
      <c r="J52" s="157">
        <v>10</v>
      </c>
      <c r="K52" s="157">
        <v>20</v>
      </c>
      <c r="L52" s="107">
        <v>10</v>
      </c>
      <c r="M52" s="107">
        <v>10</v>
      </c>
      <c r="N52" s="107">
        <v>10</v>
      </c>
      <c r="O52" s="107">
        <v>10</v>
      </c>
      <c r="P52" s="107">
        <v>10</v>
      </c>
      <c r="Q52" s="107">
        <v>10</v>
      </c>
      <c r="R52" s="107">
        <v>10</v>
      </c>
      <c r="S52" s="107">
        <v>10</v>
      </c>
      <c r="T52" s="107">
        <v>10</v>
      </c>
      <c r="U52" s="107">
        <v>10</v>
      </c>
      <c r="V52" s="107">
        <v>10</v>
      </c>
      <c r="W52" s="107">
        <v>10</v>
      </c>
      <c r="X52" s="107">
        <v>10</v>
      </c>
      <c r="Y52" s="107">
        <v>10</v>
      </c>
      <c r="Z52" s="107">
        <v>20</v>
      </c>
      <c r="AA52" s="107">
        <v>10</v>
      </c>
      <c r="AB52" s="107">
        <v>20</v>
      </c>
      <c r="AC52" s="107">
        <v>10</v>
      </c>
      <c r="AD52" s="107">
        <v>10</v>
      </c>
      <c r="AE52" s="107">
        <v>10</v>
      </c>
      <c r="AF52" s="107">
        <v>10</v>
      </c>
      <c r="AG52" s="107">
        <v>10</v>
      </c>
      <c r="AH52" s="107">
        <v>10</v>
      </c>
      <c r="AI52" s="107">
        <v>10</v>
      </c>
      <c r="AJ52" s="107">
        <v>10</v>
      </c>
      <c r="AK52" s="107">
        <v>10</v>
      </c>
      <c r="AL52" s="107">
        <v>10</v>
      </c>
      <c r="AM52" s="107">
        <v>10</v>
      </c>
      <c r="AN52" s="107">
        <v>10</v>
      </c>
      <c r="AO52" s="107">
        <v>10</v>
      </c>
      <c r="AP52" s="107">
        <v>10</v>
      </c>
      <c r="AQ52" s="107">
        <v>10</v>
      </c>
      <c r="AR52" s="107">
        <v>10</v>
      </c>
      <c r="AS52" s="107">
        <v>10</v>
      </c>
      <c r="AT52" s="107">
        <v>10</v>
      </c>
      <c r="AU52" s="107">
        <v>10</v>
      </c>
      <c r="AV52" s="107">
        <v>10</v>
      </c>
      <c r="AW52" s="107">
        <v>10</v>
      </c>
      <c r="AX52" s="107">
        <v>10</v>
      </c>
      <c r="AY52" s="107">
        <v>10</v>
      </c>
      <c r="AZ52" s="107">
        <v>10</v>
      </c>
      <c r="BA52" s="106">
        <v>10</v>
      </c>
      <c r="BB52" s="106">
        <v>10</v>
      </c>
      <c r="BC52" s="106"/>
      <c r="BD52" s="106"/>
      <c r="BE52" s="106"/>
      <c r="BF52" s="106"/>
      <c r="BG52" s="106"/>
      <c r="BH52" s="106"/>
      <c r="BI52" s="106"/>
      <c r="BJ52" s="106"/>
      <c r="BK52" s="106"/>
      <c r="BL52" s="106"/>
      <c r="BM52" s="106"/>
      <c r="BN52" s="106"/>
      <c r="BO52" s="106"/>
      <c r="BP52" s="106"/>
      <c r="BQ52" s="106"/>
      <c r="BR52" s="106"/>
      <c r="BS52" s="106"/>
      <c r="BT52" s="106"/>
      <c r="BU52" s="106"/>
      <c r="BV52" s="106"/>
      <c r="BW52" s="106"/>
      <c r="BX52" s="106"/>
      <c r="BY52" s="106"/>
      <c r="BZ52" s="158">
        <f t="shared" si="1"/>
        <v>580</v>
      </c>
    </row>
    <row r="53" spans="1:78" x14ac:dyDescent="0.35">
      <c r="A53" s="147">
        <f>'[3]Set Up'!E57</f>
        <v>0</v>
      </c>
      <c r="B53" s="148" t="str">
        <f t="shared" si="2"/>
        <v/>
      </c>
      <c r="C53" s="159"/>
      <c r="D53" s="160"/>
      <c r="E53" s="160"/>
      <c r="F53" s="160"/>
      <c r="G53" s="160"/>
      <c r="H53" s="160"/>
      <c r="I53" s="160"/>
      <c r="J53" s="160"/>
      <c r="K53" s="160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  <c r="AF53" s="161"/>
      <c r="AG53" s="161"/>
      <c r="AH53" s="161"/>
      <c r="AI53" s="161">
        <v>91</v>
      </c>
      <c r="AJ53" s="161"/>
      <c r="AK53" s="161"/>
      <c r="AL53" s="161"/>
      <c r="AM53" s="161"/>
      <c r="AN53" s="161"/>
      <c r="AO53" s="161"/>
      <c r="AP53" s="161"/>
      <c r="AQ53" s="161"/>
      <c r="AR53" s="161"/>
      <c r="AS53" s="161"/>
      <c r="AT53" s="161"/>
      <c r="AU53" s="161"/>
      <c r="AV53" s="161"/>
      <c r="AW53" s="161"/>
      <c r="AX53" s="161"/>
      <c r="AY53" s="161"/>
      <c r="AZ53" s="161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3">
        <f t="shared" si="1"/>
        <v>91</v>
      </c>
    </row>
    <row r="54" spans="1:78" x14ac:dyDescent="0.35">
      <c r="A54" s="154">
        <f>'[3]Set Up'!E58</f>
        <v>0</v>
      </c>
      <c r="B54" s="155" t="str">
        <f t="shared" si="2"/>
        <v/>
      </c>
      <c r="C54" s="156"/>
      <c r="D54" s="157"/>
      <c r="E54" s="157"/>
      <c r="F54" s="157"/>
      <c r="G54" s="157"/>
      <c r="H54" s="157"/>
      <c r="I54" s="157"/>
      <c r="J54" s="157"/>
      <c r="K54" s="15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>
        <v>34</v>
      </c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6"/>
      <c r="BB54" s="106"/>
      <c r="BC54" s="106"/>
      <c r="BD54" s="106"/>
      <c r="BE54" s="106"/>
      <c r="BF54" s="106"/>
      <c r="BG54" s="106"/>
      <c r="BH54" s="106"/>
      <c r="BI54" s="106"/>
      <c r="BJ54" s="106"/>
      <c r="BK54" s="106"/>
      <c r="BL54" s="106"/>
      <c r="BM54" s="106"/>
      <c r="BN54" s="106"/>
      <c r="BO54" s="106"/>
      <c r="BP54" s="106"/>
      <c r="BQ54" s="106"/>
      <c r="BR54" s="106"/>
      <c r="BS54" s="106"/>
      <c r="BT54" s="106"/>
      <c r="BU54" s="106"/>
      <c r="BV54" s="106"/>
      <c r="BW54" s="106"/>
      <c r="BX54" s="106"/>
      <c r="BY54" s="106"/>
      <c r="BZ54" s="158">
        <f t="shared" si="1"/>
        <v>34</v>
      </c>
    </row>
    <row r="55" spans="1:78" x14ac:dyDescent="0.35">
      <c r="A55" s="147">
        <f>'[3]Set Up'!E59</f>
        <v>0</v>
      </c>
      <c r="B55" s="148" t="str">
        <f t="shared" si="2"/>
        <v/>
      </c>
      <c r="C55" s="159"/>
      <c r="D55" s="160"/>
      <c r="E55" s="160"/>
      <c r="F55" s="160"/>
      <c r="G55" s="160"/>
      <c r="H55" s="160"/>
      <c r="I55" s="160"/>
      <c r="J55" s="160"/>
      <c r="K55" s="160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>
        <v>91</v>
      </c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1"/>
      <c r="AU55" s="161"/>
      <c r="AV55" s="161"/>
      <c r="AW55" s="161"/>
      <c r="AX55" s="161"/>
      <c r="AY55" s="161"/>
      <c r="AZ55" s="161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3">
        <f t="shared" si="1"/>
        <v>91</v>
      </c>
    </row>
    <row r="56" spans="1:78" x14ac:dyDescent="0.35">
      <c r="A56" s="154">
        <f>'[3]Set Up'!E60</f>
        <v>0</v>
      </c>
      <c r="B56" s="155" t="str">
        <f t="shared" si="2"/>
        <v/>
      </c>
      <c r="C56" s="156"/>
      <c r="D56" s="157"/>
      <c r="E56" s="157"/>
      <c r="F56" s="157"/>
      <c r="G56" s="157"/>
      <c r="H56" s="157"/>
      <c r="I56" s="157"/>
      <c r="J56" s="157"/>
      <c r="K56" s="15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>
        <v>10</v>
      </c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6"/>
      <c r="BB56" s="106"/>
      <c r="BC56" s="106"/>
      <c r="BD56" s="106"/>
      <c r="BE56" s="106"/>
      <c r="BF56" s="106"/>
      <c r="BG56" s="106"/>
      <c r="BH56" s="106"/>
      <c r="BI56" s="106"/>
      <c r="BJ56" s="106"/>
      <c r="BK56" s="106"/>
      <c r="BL56" s="106"/>
      <c r="BM56" s="106"/>
      <c r="BN56" s="106"/>
      <c r="BO56" s="106"/>
      <c r="BP56" s="106"/>
      <c r="BQ56" s="106"/>
      <c r="BR56" s="106"/>
      <c r="BS56" s="106"/>
      <c r="BT56" s="106"/>
      <c r="BU56" s="106"/>
      <c r="BV56" s="106"/>
      <c r="BW56" s="106"/>
      <c r="BX56" s="106"/>
      <c r="BY56" s="106"/>
      <c r="BZ56" s="158">
        <f t="shared" si="1"/>
        <v>10</v>
      </c>
    </row>
    <row r="57" spans="1:78" x14ac:dyDescent="0.35">
      <c r="A57" s="164">
        <f>'[3]Set Up'!E61</f>
        <v>0</v>
      </c>
      <c r="B57" s="165" t="str">
        <f t="shared" si="2"/>
        <v/>
      </c>
      <c r="C57" s="159"/>
      <c r="D57" s="160"/>
      <c r="E57" s="160"/>
      <c r="F57" s="160"/>
      <c r="G57" s="160"/>
      <c r="H57" s="160"/>
      <c r="I57" s="160"/>
      <c r="J57" s="160"/>
      <c r="K57" s="160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3">
        <f t="shared" si="1"/>
        <v>0</v>
      </c>
    </row>
    <row r="58" spans="1:78" x14ac:dyDescent="0.35">
      <c r="A58" s="166" t="str">
        <f>'[3]Set Up'!E62</f>
        <v>15% HCl Acid, gal</v>
      </c>
      <c r="B58" s="167">
        <f t="shared" si="2"/>
        <v>1230.8306603773585</v>
      </c>
      <c r="C58" s="156">
        <v>1269</v>
      </c>
      <c r="D58" s="157">
        <v>1251</v>
      </c>
      <c r="E58" s="157">
        <v>1206</v>
      </c>
      <c r="F58" s="157">
        <v>1129</v>
      </c>
      <c r="G58" s="157">
        <v>1195</v>
      </c>
      <c r="H58" s="157">
        <v>1190</v>
      </c>
      <c r="I58" s="157">
        <v>1161</v>
      </c>
      <c r="J58" s="157">
        <v>1224</v>
      </c>
      <c r="K58" s="157">
        <v>1261</v>
      </c>
      <c r="L58" s="107">
        <v>1269</v>
      </c>
      <c r="M58" s="107">
        <v>1256</v>
      </c>
      <c r="N58" s="107">
        <v>1211</v>
      </c>
      <c r="O58" s="107">
        <v>1277</v>
      </c>
      <c r="P58" s="107">
        <v>1206</v>
      </c>
      <c r="Q58" s="107">
        <v>1251</v>
      </c>
      <c r="R58" s="107">
        <v>1264</v>
      </c>
      <c r="S58" s="107">
        <v>1268.9879999999998</v>
      </c>
      <c r="T58" s="107">
        <v>1245.0060000000001</v>
      </c>
      <c r="U58" s="107">
        <v>1224</v>
      </c>
      <c r="V58" s="107">
        <v>1275</v>
      </c>
      <c r="W58" s="107">
        <v>1205.9879999999998</v>
      </c>
      <c r="X58" s="107">
        <v>1160</v>
      </c>
      <c r="Y58" s="107">
        <v>1223.04</v>
      </c>
      <c r="Z58" s="107">
        <v>1260</v>
      </c>
      <c r="AA58" s="107">
        <v>1268</v>
      </c>
      <c r="AB58" s="107">
        <v>1260</v>
      </c>
      <c r="AC58" s="107">
        <v>1210</v>
      </c>
      <c r="AD58" s="107">
        <v>1285</v>
      </c>
      <c r="AE58" s="107">
        <v>1205.9964</v>
      </c>
      <c r="AF58" s="107">
        <v>1161</v>
      </c>
      <c r="AG58" s="107">
        <v>1224.0060000000001</v>
      </c>
      <c r="AH58" s="107">
        <v>1261.008</v>
      </c>
      <c r="AI58" s="107">
        <v>1269</v>
      </c>
      <c r="AJ58" s="107">
        <v>1256</v>
      </c>
      <c r="AK58" s="107">
        <v>1210.9986000000001</v>
      </c>
      <c r="AL58" s="107">
        <v>1272.0120000000002</v>
      </c>
      <c r="AM58" s="107">
        <v>1140</v>
      </c>
      <c r="AN58" s="107">
        <v>1211</v>
      </c>
      <c r="AO58" s="107">
        <v>1258.992</v>
      </c>
      <c r="AP58" s="107">
        <v>1269</v>
      </c>
      <c r="AQ58" s="107">
        <v>1227</v>
      </c>
      <c r="AR58" s="107">
        <v>1221.99</v>
      </c>
      <c r="AS58" s="107">
        <v>1275</v>
      </c>
      <c r="AT58" s="107">
        <v>1235</v>
      </c>
      <c r="AU58" s="107">
        <v>1190</v>
      </c>
      <c r="AV58" s="107">
        <v>1240</v>
      </c>
      <c r="AW58" s="107">
        <v>1266</v>
      </c>
      <c r="AX58" s="107">
        <v>1269</v>
      </c>
      <c r="AY58" s="107">
        <v>1240</v>
      </c>
      <c r="AZ58" s="107">
        <v>1190</v>
      </c>
      <c r="BA58" s="107">
        <v>1235</v>
      </c>
      <c r="BB58" s="107">
        <v>1222</v>
      </c>
      <c r="BC58" s="107">
        <v>1179</v>
      </c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90">
        <f t="shared" si="1"/>
        <v>65234.025000000001</v>
      </c>
    </row>
  </sheetData>
  <mergeCells count="17">
    <mergeCell ref="A1:D1"/>
    <mergeCell ref="E1:K1"/>
    <mergeCell ref="L1:V6"/>
    <mergeCell ref="B2:D2"/>
    <mergeCell ref="F2:G2"/>
    <mergeCell ref="B3:D3"/>
    <mergeCell ref="F3:G3"/>
    <mergeCell ref="B4:D4"/>
    <mergeCell ref="F4:G4"/>
    <mergeCell ref="B5:D5"/>
    <mergeCell ref="C16:I16"/>
    <mergeCell ref="F5:G5"/>
    <mergeCell ref="B6:E6"/>
    <mergeCell ref="F6:H6"/>
    <mergeCell ref="I6:K6"/>
    <mergeCell ref="B8:B12"/>
    <mergeCell ref="B13:B1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Z58"/>
  <sheetViews>
    <sheetView topLeftCell="A16" workbookViewId="0">
      <selection sqref="A1:XFD1048576"/>
    </sheetView>
  </sheetViews>
  <sheetFormatPr defaultRowHeight="14.5" x14ac:dyDescent="0.35"/>
  <cols>
    <col min="1" max="1" width="21.1796875" bestFit="1" customWidth="1"/>
    <col min="2" max="2" width="17.81640625" bestFit="1" customWidth="1"/>
    <col min="3" max="4" width="7.453125" bestFit="1" customWidth="1"/>
    <col min="5" max="5" width="9.54296875" bestFit="1" customWidth="1"/>
    <col min="6" max="7" width="7.453125" bestFit="1" customWidth="1"/>
    <col min="8" max="8" width="8.1796875" bestFit="1" customWidth="1"/>
    <col min="9" max="9" width="7.453125" bestFit="1" customWidth="1"/>
    <col min="10" max="10" width="8" bestFit="1" customWidth="1"/>
    <col min="11" max="55" width="7.453125" bestFit="1" customWidth="1"/>
    <col min="56" max="77" width="3.1796875" bestFit="1" customWidth="1"/>
    <col min="78" max="78" width="9.81640625" bestFit="1" customWidth="1"/>
  </cols>
  <sheetData>
    <row r="1" spans="1:78" ht="24" thickTop="1" x14ac:dyDescent="0.35">
      <c r="A1" s="198"/>
      <c r="B1" s="199"/>
      <c r="C1" s="199"/>
      <c r="D1" s="199"/>
      <c r="E1" s="200" t="s">
        <v>0</v>
      </c>
      <c r="F1" s="199"/>
      <c r="G1" s="199"/>
      <c r="H1" s="199"/>
      <c r="I1" s="199"/>
      <c r="J1" s="199"/>
      <c r="K1" s="201"/>
      <c r="L1" s="202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2"/>
    </row>
    <row r="2" spans="1:78" x14ac:dyDescent="0.35">
      <c r="A2" s="3" t="s">
        <v>1</v>
      </c>
      <c r="B2" s="188" t="str">
        <f>'[4]Set Up'!E5</f>
        <v>Anadarko Petroleum Corporation</v>
      </c>
      <c r="C2" s="207"/>
      <c r="D2" s="208"/>
      <c r="E2" s="4" t="s">
        <v>2</v>
      </c>
      <c r="F2" s="209" t="str">
        <f>'[4]Set Up'!E9</f>
        <v>W1 Sand Target</v>
      </c>
      <c r="G2" s="210"/>
      <c r="H2" s="5">
        <f>'[4]Set Up'!K15</f>
        <v>11804</v>
      </c>
      <c r="I2" s="6" t="str">
        <f>'[4]Set Up'!E15</f>
        <v>5-1/2"</v>
      </c>
      <c r="J2" s="7">
        <f>'[4]Set Up'!F15</f>
        <v>23</v>
      </c>
      <c r="K2" s="6" t="str">
        <f>'[4]Set Up'!H15</f>
        <v>P-110</v>
      </c>
      <c r="L2" s="204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8"/>
    </row>
    <row r="3" spans="1:78" x14ac:dyDescent="0.35">
      <c r="A3" s="3" t="s">
        <v>3</v>
      </c>
      <c r="B3" s="188" t="str">
        <f>'[4]Set Up'!E7</f>
        <v>Silvertip 76-7 Unit A 4H</v>
      </c>
      <c r="C3" s="207"/>
      <c r="D3" s="208"/>
      <c r="E3" s="4" t="s">
        <v>4</v>
      </c>
      <c r="F3" s="209" t="str">
        <f>'[4]Set Up'!J7</f>
        <v>2136274.CMP</v>
      </c>
      <c r="G3" s="210"/>
      <c r="H3" s="5">
        <f>'[4]Set Up'!K16</f>
        <v>11396</v>
      </c>
      <c r="I3" s="6" t="str">
        <f>'[4]Set Up'!E16</f>
        <v>4-1/2"</v>
      </c>
      <c r="J3" s="7">
        <f>'[4]Set Up'!F16</f>
        <v>13.5</v>
      </c>
      <c r="K3" s="6" t="str">
        <f>'[4]Set Up'!H16</f>
        <v>P-110</v>
      </c>
      <c r="L3" s="204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1"/>
      <c r="X3" s="1"/>
      <c r="Y3" s="1"/>
      <c r="Z3" s="1"/>
      <c r="AA3" s="1"/>
      <c r="AB3" s="168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8"/>
    </row>
    <row r="4" spans="1:78" x14ac:dyDescent="0.35">
      <c r="A4" s="3" t="s">
        <v>5</v>
      </c>
      <c r="B4" s="188" t="str">
        <f>'[4]Set Up'!E6</f>
        <v>Allie Lay</v>
      </c>
      <c r="C4" s="207"/>
      <c r="D4" s="208"/>
      <c r="E4" s="4" t="s">
        <v>6</v>
      </c>
      <c r="F4" s="211">
        <f>'[4]Set Up'!R2</f>
        <v>12500</v>
      </c>
      <c r="G4" s="212"/>
      <c r="H4" s="5" t="str">
        <f>'[4]Set Up'!K17</f>
        <v/>
      </c>
      <c r="I4" s="6" t="str">
        <f>'[4]Set Up'!E17</f>
        <v/>
      </c>
      <c r="J4" s="7" t="str">
        <f>'[4]Set Up'!F17</f>
        <v/>
      </c>
      <c r="K4" s="6" t="str">
        <f>'[4]Set Up'!H17</f>
        <v/>
      </c>
      <c r="L4" s="204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9"/>
    </row>
    <row r="5" spans="1:78" x14ac:dyDescent="0.35">
      <c r="A5" s="3" t="s">
        <v>7</v>
      </c>
      <c r="B5" s="188" t="str">
        <f>'[4]Set Up'!E8</f>
        <v>Loving County, TX</v>
      </c>
      <c r="C5" s="207"/>
      <c r="D5" s="208"/>
      <c r="E5" s="10" t="s">
        <v>8</v>
      </c>
      <c r="F5" s="186" t="str">
        <f>'[4]Set Up'!R11</f>
        <v>53-Stage SW Plug &amp; Perf</v>
      </c>
      <c r="G5" s="187"/>
      <c r="H5" s="5" t="str">
        <f>'[4]Set Up'!K18</f>
        <v/>
      </c>
      <c r="I5" s="6" t="str">
        <f>'[4]Set Up'!E18</f>
        <v/>
      </c>
      <c r="J5" s="7" t="str">
        <f>'[4]Set Up'!F18</f>
        <v/>
      </c>
      <c r="K5" s="6" t="str">
        <f>'[4]Set Up'!H18</f>
        <v/>
      </c>
      <c r="L5" s="204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8"/>
    </row>
    <row r="6" spans="1:78" x14ac:dyDescent="0.35">
      <c r="A6" s="3" t="s">
        <v>9</v>
      </c>
      <c r="B6" s="188" t="str">
        <f>'[4]Set Up'!E10</f>
        <v>PumpCo 2</v>
      </c>
      <c r="C6" s="189"/>
      <c r="D6" s="189"/>
      <c r="E6" s="190"/>
      <c r="F6" s="191" t="str">
        <f>'[4]Set Up'!E11</f>
        <v>Odessa</v>
      </c>
      <c r="G6" s="192"/>
      <c r="H6" s="193"/>
      <c r="I6" s="191" t="str">
        <f>'[4]Set Up'!E12</f>
        <v>Julian Weaver/Jarvis Weaver</v>
      </c>
      <c r="J6" s="192"/>
      <c r="K6" s="193"/>
      <c r="L6" s="205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3"/>
    </row>
    <row r="7" spans="1:78" ht="15" thickBot="1" x14ac:dyDescent="0.4">
      <c r="A7" s="14" t="s">
        <v>10</v>
      </c>
      <c r="B7" s="15" t="s">
        <v>11</v>
      </c>
      <c r="C7" s="15">
        <v>1</v>
      </c>
      <c r="D7" s="15">
        <v>2</v>
      </c>
      <c r="E7" s="15">
        <v>3</v>
      </c>
      <c r="F7" s="16">
        <v>4</v>
      </c>
      <c r="G7" s="15">
        <v>5</v>
      </c>
      <c r="H7" s="15">
        <v>6</v>
      </c>
      <c r="I7" s="15">
        <v>7</v>
      </c>
      <c r="J7" s="15">
        <v>8</v>
      </c>
      <c r="K7" s="15">
        <v>9</v>
      </c>
      <c r="L7" s="15">
        <v>10</v>
      </c>
      <c r="M7" s="15">
        <v>11</v>
      </c>
      <c r="N7" s="15">
        <v>12</v>
      </c>
      <c r="O7" s="15">
        <v>13</v>
      </c>
      <c r="P7" s="15">
        <v>14</v>
      </c>
      <c r="Q7" s="15">
        <v>15</v>
      </c>
      <c r="R7" s="15">
        <v>16</v>
      </c>
      <c r="S7" s="15">
        <v>17</v>
      </c>
      <c r="T7" s="15">
        <v>18</v>
      </c>
      <c r="U7" s="15">
        <v>19</v>
      </c>
      <c r="V7" s="15">
        <v>20</v>
      </c>
      <c r="W7" s="15">
        <v>21</v>
      </c>
      <c r="X7" s="15">
        <v>22</v>
      </c>
      <c r="Y7" s="15">
        <v>23</v>
      </c>
      <c r="Z7" s="15">
        <v>24</v>
      </c>
      <c r="AA7" s="15">
        <v>25</v>
      </c>
      <c r="AB7" s="15">
        <v>26</v>
      </c>
      <c r="AC7" s="15">
        <v>27</v>
      </c>
      <c r="AD7" s="15">
        <v>28</v>
      </c>
      <c r="AE7" s="15">
        <v>29</v>
      </c>
      <c r="AF7" s="15">
        <v>30</v>
      </c>
      <c r="AG7" s="15">
        <v>31</v>
      </c>
      <c r="AH7" s="15">
        <v>32</v>
      </c>
      <c r="AI7" s="15">
        <v>33</v>
      </c>
      <c r="AJ7" s="15">
        <v>34</v>
      </c>
      <c r="AK7" s="15">
        <v>35</v>
      </c>
      <c r="AL7" s="15">
        <v>36</v>
      </c>
      <c r="AM7" s="15">
        <v>37</v>
      </c>
      <c r="AN7" s="15">
        <v>38</v>
      </c>
      <c r="AO7" s="15">
        <v>39</v>
      </c>
      <c r="AP7" s="15">
        <v>40</v>
      </c>
      <c r="AQ7" s="15">
        <v>41</v>
      </c>
      <c r="AR7" s="15">
        <v>42</v>
      </c>
      <c r="AS7" s="15">
        <v>43</v>
      </c>
      <c r="AT7" s="15">
        <v>44</v>
      </c>
      <c r="AU7" s="15">
        <v>45</v>
      </c>
      <c r="AV7" s="15">
        <v>46</v>
      </c>
      <c r="AW7" s="15">
        <v>47</v>
      </c>
      <c r="AX7" s="15">
        <v>48</v>
      </c>
      <c r="AY7" s="15">
        <v>49</v>
      </c>
      <c r="AZ7" s="15">
        <v>50</v>
      </c>
      <c r="BA7" s="15">
        <v>51</v>
      </c>
      <c r="BB7" s="15">
        <v>52</v>
      </c>
      <c r="BC7" s="15">
        <v>53</v>
      </c>
      <c r="BD7" s="15">
        <v>54</v>
      </c>
      <c r="BE7" s="15">
        <v>55</v>
      </c>
      <c r="BF7" s="15">
        <v>56</v>
      </c>
      <c r="BG7" s="15">
        <v>57</v>
      </c>
      <c r="BH7" s="15">
        <v>58</v>
      </c>
      <c r="BI7" s="15">
        <v>59</v>
      </c>
      <c r="BJ7" s="15">
        <v>60</v>
      </c>
      <c r="BK7" s="15">
        <v>61</v>
      </c>
      <c r="BL7" s="15">
        <v>62</v>
      </c>
      <c r="BM7" s="15">
        <v>63</v>
      </c>
      <c r="BN7" s="15">
        <v>64</v>
      </c>
      <c r="BO7" s="15">
        <v>65</v>
      </c>
      <c r="BP7" s="15">
        <v>66</v>
      </c>
      <c r="BQ7" s="15">
        <v>67</v>
      </c>
      <c r="BR7" s="15">
        <v>68</v>
      </c>
      <c r="BS7" s="15">
        <v>69</v>
      </c>
      <c r="BT7" s="15">
        <v>70</v>
      </c>
      <c r="BU7" s="15">
        <v>71</v>
      </c>
      <c r="BV7" s="15">
        <v>72</v>
      </c>
      <c r="BW7" s="15">
        <v>73</v>
      </c>
      <c r="BX7" s="15">
        <v>74</v>
      </c>
      <c r="BY7" s="15">
        <v>75</v>
      </c>
      <c r="BZ7" s="17" t="s">
        <v>12</v>
      </c>
    </row>
    <row r="8" spans="1:78" x14ac:dyDescent="0.35">
      <c r="A8" s="18" t="s">
        <v>13</v>
      </c>
      <c r="B8" s="194" t="s">
        <v>14</v>
      </c>
      <c r="C8" s="19">
        <f>'[4]Set Up'!$U$2</f>
        <v>22874</v>
      </c>
      <c r="D8" s="19">
        <f>'[4]Set Up'!$U$3</f>
        <v>22673</v>
      </c>
      <c r="E8" s="19">
        <f>'[4]Set Up'!$U$4</f>
        <v>22473</v>
      </c>
      <c r="F8" s="19">
        <f>'[4]Set Up'!$U$5</f>
        <v>22272</v>
      </c>
      <c r="G8" s="19">
        <f>'[4]Set Up'!$U$6</f>
        <v>22071</v>
      </c>
      <c r="H8" s="19">
        <f>'[4]Set Up'!$U$7</f>
        <v>21870</v>
      </c>
      <c r="I8" s="19">
        <f>'[4]Set Up'!$U$8</f>
        <v>21669</v>
      </c>
      <c r="J8" s="19">
        <f>'[4]Set Up'!$U$9</f>
        <v>21468</v>
      </c>
      <c r="K8" s="19">
        <f>'[4]Set Up'!$U$10</f>
        <v>21268</v>
      </c>
      <c r="L8" s="19">
        <f>'[4]Set Up'!$U$11</f>
        <v>21067</v>
      </c>
      <c r="M8" s="19">
        <f>'[4]Set Up'!$U$12</f>
        <v>20866</v>
      </c>
      <c r="N8" s="19">
        <f>'[4]Set Up'!$U$13</f>
        <v>20665</v>
      </c>
      <c r="O8" s="19">
        <f>'[4]Set Up'!$U$14</f>
        <v>20464</v>
      </c>
      <c r="P8" s="19">
        <f>'[4]Set Up'!$U$15</f>
        <v>20263</v>
      </c>
      <c r="Q8" s="19">
        <f>'[4]Set Up'!$U$16</f>
        <v>20063</v>
      </c>
      <c r="R8" s="19">
        <f>'[4]Set Up'!$U$17</f>
        <v>19862</v>
      </c>
      <c r="S8" s="19">
        <f>'[4]Set Up'!$U$18</f>
        <v>19661</v>
      </c>
      <c r="T8" s="19">
        <f>'[4]Set Up'!$U$19</f>
        <v>19460</v>
      </c>
      <c r="U8" s="19">
        <f>'[4]Set Up'!$U$20</f>
        <v>19259</v>
      </c>
      <c r="V8" s="19">
        <f>'[4]Set Up'!$U$21</f>
        <v>19058</v>
      </c>
      <c r="W8" s="19">
        <f>'[4]Set Up'!$U$22</f>
        <v>18858</v>
      </c>
      <c r="X8" s="19">
        <f>'[4]Set Up'!$U$23</f>
        <v>18657</v>
      </c>
      <c r="Y8" s="19">
        <f>'[4]Set Up'!$U$24</f>
        <v>18456</v>
      </c>
      <c r="Z8" s="19">
        <f>'[4]Set Up'!$U$25</f>
        <v>18255</v>
      </c>
      <c r="AA8" s="19">
        <f>'[4]Set Up'!$U$26</f>
        <v>18054</v>
      </c>
      <c r="AB8" s="19">
        <f>'[4]Set Up'!$U$27</f>
        <v>17853</v>
      </c>
      <c r="AC8" s="19">
        <f>'[4]Set Up'!$U$28</f>
        <v>17653</v>
      </c>
      <c r="AD8" s="19">
        <f>'[4]Set Up'!$U$29</f>
        <v>17452</v>
      </c>
      <c r="AE8" s="19">
        <f>'[4]Set Up'!$U$30</f>
        <v>17251</v>
      </c>
      <c r="AF8" s="19">
        <f>'[4]Set Up'!$U$31</f>
        <v>17050</v>
      </c>
      <c r="AG8" s="19">
        <f>'[4]Set Up'!$U$32</f>
        <v>16849</v>
      </c>
      <c r="AH8" s="19">
        <f>'[4]Set Up'!$U$33</f>
        <v>16648</v>
      </c>
      <c r="AI8" s="19">
        <f>'[4]Set Up'!$U$34</f>
        <v>16447</v>
      </c>
      <c r="AJ8" s="19">
        <f>'[4]Set Up'!$U$35</f>
        <v>16247</v>
      </c>
      <c r="AK8" s="19">
        <f>'[4]Set Up'!$U$36</f>
        <v>16046</v>
      </c>
      <c r="AL8" s="19">
        <f>'[4]Set Up'!$U$37</f>
        <v>15845</v>
      </c>
      <c r="AM8" s="19">
        <f>'[4]Set Up'!$U$38</f>
        <v>15644</v>
      </c>
      <c r="AN8" s="19">
        <f>'[4]Set Up'!$U$39</f>
        <v>15443</v>
      </c>
      <c r="AO8" s="19">
        <f>'[4]Set Up'!$U$40</f>
        <v>15242</v>
      </c>
      <c r="AP8" s="19">
        <f>'[4]Set Up'!$U$41</f>
        <v>15042</v>
      </c>
      <c r="AQ8" s="19">
        <f>'[4]Set Up'!$U$42</f>
        <v>14841</v>
      </c>
      <c r="AR8" s="19">
        <f>'[4]Set Up'!$U$43</f>
        <v>14640</v>
      </c>
      <c r="AS8" s="19">
        <f>'[4]Set Up'!$U$44</f>
        <v>14439</v>
      </c>
      <c r="AT8" s="19">
        <f>'[4]Set Up'!$U$45</f>
        <v>14238</v>
      </c>
      <c r="AU8" s="19">
        <f>'[4]Set Up'!$U$46</f>
        <v>14037</v>
      </c>
      <c r="AV8" s="19">
        <f>'[4]Set Up'!$U$47</f>
        <v>13837</v>
      </c>
      <c r="AW8" s="19">
        <f>'[4]Set Up'!$U$48</f>
        <v>13636</v>
      </c>
      <c r="AX8" s="19">
        <f>'[4]Set Up'!$U$49</f>
        <v>13435</v>
      </c>
      <c r="AY8" s="19">
        <f>'[4]Set Up'!$U$50</f>
        <v>13234</v>
      </c>
      <c r="AZ8" s="19">
        <f>'[4]Set Up'!$U$51</f>
        <v>13033</v>
      </c>
      <c r="BA8" s="19">
        <f>'[4]Set Up'!$U$52</f>
        <v>12832</v>
      </c>
      <c r="BB8" s="19">
        <f>'[4]Set Up'!$U$53</f>
        <v>12632</v>
      </c>
      <c r="BC8" s="19">
        <f>'[4]Set Up'!$U$54</f>
        <v>12431</v>
      </c>
      <c r="BD8" s="19">
        <f>'[4]Set Up'!$U$55</f>
        <v>0</v>
      </c>
      <c r="BE8" s="19">
        <f>'[4]Set Up'!$U$56</f>
        <v>0</v>
      </c>
      <c r="BF8" s="19">
        <f>'[4]Set Up'!$U$57</f>
        <v>0</v>
      </c>
      <c r="BG8" s="19">
        <f>'[4]Set Up'!$U$58</f>
        <v>0</v>
      </c>
      <c r="BH8" s="19">
        <f>'[4]Set Up'!$U$59</f>
        <v>0</v>
      </c>
      <c r="BI8" s="19">
        <f>'[4]Set Up'!$U$60</f>
        <v>0</v>
      </c>
      <c r="BJ8" s="19">
        <f>'[4]Set Up'!$U$61</f>
        <v>0</v>
      </c>
      <c r="BK8" s="19">
        <f>'[4]Set Up'!$U$62</f>
        <v>0</v>
      </c>
      <c r="BL8" s="19">
        <f>'[4]Set Up'!$U$63</f>
        <v>0</v>
      </c>
      <c r="BM8" s="19">
        <f>'[4]Set Up'!$U$64</f>
        <v>0</v>
      </c>
      <c r="BN8" s="19">
        <f>'[4]Set Up'!$U$65</f>
        <v>0</v>
      </c>
      <c r="BO8" s="19">
        <f>'[4]Set Up'!$U$66</f>
        <v>0</v>
      </c>
      <c r="BP8" s="19">
        <f>'[4]Set Up'!$U$67</f>
        <v>0</v>
      </c>
      <c r="BQ8" s="19">
        <f>'[4]Set Up'!$U$68</f>
        <v>0</v>
      </c>
      <c r="BR8" s="19">
        <f>'[4]Set Up'!$U$69</f>
        <v>0</v>
      </c>
      <c r="BS8" s="19">
        <f>'[4]Set Up'!$U$70</f>
        <v>0</v>
      </c>
      <c r="BT8" s="19">
        <f>'[4]Set Up'!$U$71</f>
        <v>0</v>
      </c>
      <c r="BU8" s="19">
        <f>'[4]Set Up'!$U$72</f>
        <v>0</v>
      </c>
      <c r="BV8" s="19">
        <f>'[4]Set Up'!$U$73</f>
        <v>0</v>
      </c>
      <c r="BW8" s="19">
        <f>'[4]Set Up'!$U$74</f>
        <v>0</v>
      </c>
      <c r="BX8" s="19">
        <f>'[4]Set Up'!$U$75</f>
        <v>0</v>
      </c>
      <c r="BY8" s="19">
        <f>'[4]Set Up'!$U$76</f>
        <v>0</v>
      </c>
      <c r="BZ8" s="8"/>
    </row>
    <row r="9" spans="1:78" x14ac:dyDescent="0.35">
      <c r="A9" s="20" t="s">
        <v>15</v>
      </c>
      <c r="B9" s="195"/>
      <c r="C9" s="21">
        <f>'[4]Set Up'!$V2</f>
        <v>23036</v>
      </c>
      <c r="D9" s="21">
        <f>'[4]Set Up'!$V3</f>
        <v>22835</v>
      </c>
      <c r="E9" s="21">
        <f>'[4]Set Up'!$V4</f>
        <v>22634</v>
      </c>
      <c r="F9" s="21">
        <f>'[4]Set Up'!$V5</f>
        <v>22434</v>
      </c>
      <c r="G9" s="21">
        <f>'[4]Set Up'!$V6</f>
        <v>22233</v>
      </c>
      <c r="H9" s="21">
        <f>'[4]Set Up'!$V7</f>
        <v>22032</v>
      </c>
      <c r="I9" s="21">
        <f>'[4]Set Up'!$V8</f>
        <v>21831</v>
      </c>
      <c r="J9" s="21">
        <f>'[4]Set Up'!$V9</f>
        <v>21630</v>
      </c>
      <c r="K9" s="21">
        <f>'[4]Set Up'!$V10</f>
        <v>21429</v>
      </c>
      <c r="L9" s="21">
        <f>'[4]Set Up'!$V11</f>
        <v>21229</v>
      </c>
      <c r="M9" s="21">
        <f>'[4]Set Up'!$V12</f>
        <v>21028</v>
      </c>
      <c r="N9" s="21">
        <f>'[4]Set Up'!$V13</f>
        <v>20827</v>
      </c>
      <c r="O9" s="21">
        <f>'[4]Set Up'!$V14</f>
        <v>20626</v>
      </c>
      <c r="P9" s="21">
        <f>'[4]Set Up'!$V15</f>
        <v>20425</v>
      </c>
      <c r="Q9" s="21">
        <f>'[4]Set Up'!$V16</f>
        <v>20224</v>
      </c>
      <c r="R9" s="21">
        <f>'[4]Set Up'!$V17</f>
        <v>20024</v>
      </c>
      <c r="S9" s="21">
        <f>'[4]Set Up'!$V18</f>
        <v>19823</v>
      </c>
      <c r="T9" s="21">
        <f>'[4]Set Up'!$V19</f>
        <v>19622</v>
      </c>
      <c r="U9" s="21">
        <f>'[4]Set Up'!$V20</f>
        <v>19421</v>
      </c>
      <c r="V9" s="21">
        <f>'[4]Set Up'!$V21</f>
        <v>19220</v>
      </c>
      <c r="W9" s="21">
        <f>'[4]Set Up'!$V22</f>
        <v>19019</v>
      </c>
      <c r="X9" s="21">
        <f>'[4]Set Up'!$V23</f>
        <v>18819</v>
      </c>
      <c r="Y9" s="21">
        <f>'[4]Set Up'!$V24</f>
        <v>18618</v>
      </c>
      <c r="Z9" s="21">
        <f>'[4]Set Up'!$V25</f>
        <v>18417</v>
      </c>
      <c r="AA9" s="21">
        <f>'[4]Set Up'!$V26</f>
        <v>18216</v>
      </c>
      <c r="AB9" s="21">
        <f>'[4]Set Up'!$V27</f>
        <v>18015</v>
      </c>
      <c r="AC9" s="21">
        <f>'[4]Set Up'!$V28</f>
        <v>17814</v>
      </c>
      <c r="AD9" s="21">
        <f>'[4]Set Up'!$V29</f>
        <v>17614</v>
      </c>
      <c r="AE9" s="21">
        <f>'[4]Set Up'!$V30</f>
        <v>17413</v>
      </c>
      <c r="AF9" s="21">
        <f>'[4]Set Up'!$V31</f>
        <v>17212</v>
      </c>
      <c r="AG9" s="21">
        <f>'[4]Set Up'!$V32</f>
        <v>17011</v>
      </c>
      <c r="AH9" s="21">
        <f>'[4]Set Up'!$V33</f>
        <v>16810</v>
      </c>
      <c r="AI9" s="21">
        <f>'[4]Set Up'!$V34</f>
        <v>16609</v>
      </c>
      <c r="AJ9" s="21">
        <f>'[4]Set Up'!$V35</f>
        <v>16408</v>
      </c>
      <c r="AK9" s="21">
        <f>'[4]Set Up'!$V36</f>
        <v>16208</v>
      </c>
      <c r="AL9" s="21">
        <f>'[4]Set Up'!$V37</f>
        <v>16007</v>
      </c>
      <c r="AM9" s="21">
        <f>'[4]Set Up'!$V38</f>
        <v>15806</v>
      </c>
      <c r="AN9" s="21">
        <f>'[4]Set Up'!$V39</f>
        <v>15605</v>
      </c>
      <c r="AO9" s="21">
        <f>'[4]Set Up'!$V40</f>
        <v>15404</v>
      </c>
      <c r="AP9" s="21">
        <f>'[4]Set Up'!$V41</f>
        <v>15203</v>
      </c>
      <c r="AQ9" s="21">
        <f>'[4]Set Up'!$V42</f>
        <v>15003</v>
      </c>
      <c r="AR9" s="21">
        <f>'[4]Set Up'!$V43</f>
        <v>14802</v>
      </c>
      <c r="AS9" s="21">
        <f>'[4]Set Up'!$V44</f>
        <v>14601</v>
      </c>
      <c r="AT9" s="21">
        <f>'[4]Set Up'!$V45</f>
        <v>14400</v>
      </c>
      <c r="AU9" s="21">
        <f>'[4]Set Up'!$V46</f>
        <v>14199</v>
      </c>
      <c r="AV9" s="21">
        <f>'[4]Set Up'!$V47</f>
        <v>13995</v>
      </c>
      <c r="AW9" s="21">
        <f>'[4]Set Up'!$V48</f>
        <v>13798</v>
      </c>
      <c r="AX9" s="21">
        <f>'[4]Set Up'!$V49</f>
        <v>13597</v>
      </c>
      <c r="AY9" s="21">
        <f>'[4]Set Up'!$V50</f>
        <v>13396</v>
      </c>
      <c r="AZ9" s="21">
        <f>'[4]Set Up'!$V51</f>
        <v>13195</v>
      </c>
      <c r="BA9" s="21">
        <f>'[4]Set Up'!$V52</f>
        <v>12994</v>
      </c>
      <c r="BB9" s="21">
        <f>'[4]Set Up'!$V53</f>
        <v>12793</v>
      </c>
      <c r="BC9" s="21">
        <f>'[4]Set Up'!$V54</f>
        <v>12593</v>
      </c>
      <c r="BD9" s="21">
        <f>'[4]Set Up'!$V55</f>
        <v>0</v>
      </c>
      <c r="BE9" s="21">
        <f>'[4]Set Up'!$V56</f>
        <v>0</v>
      </c>
      <c r="BF9" s="21">
        <f>'[4]Set Up'!$V57</f>
        <v>0</v>
      </c>
      <c r="BG9" s="21">
        <f>'[4]Set Up'!$V58</f>
        <v>0</v>
      </c>
      <c r="BH9" s="21">
        <f>'[4]Set Up'!$V59</f>
        <v>0</v>
      </c>
      <c r="BI9" s="21">
        <f>'[4]Set Up'!$V60</f>
        <v>0</v>
      </c>
      <c r="BJ9" s="21">
        <f>'[4]Set Up'!$V61</f>
        <v>0</v>
      </c>
      <c r="BK9" s="21">
        <f>'[4]Set Up'!$V62</f>
        <v>0</v>
      </c>
      <c r="BL9" s="21">
        <f>'[4]Set Up'!$V63</f>
        <v>0</v>
      </c>
      <c r="BM9" s="21">
        <f>'[4]Set Up'!$V64</f>
        <v>0</v>
      </c>
      <c r="BN9" s="21">
        <f>'[4]Set Up'!$V65</f>
        <v>0</v>
      </c>
      <c r="BO9" s="21">
        <f>'[4]Set Up'!$V66</f>
        <v>0</v>
      </c>
      <c r="BP9" s="21">
        <f>'[4]Set Up'!$V67</f>
        <v>0</v>
      </c>
      <c r="BQ9" s="21">
        <f>'[4]Set Up'!$V68</f>
        <v>0</v>
      </c>
      <c r="BR9" s="21">
        <f>'[4]Set Up'!$V69</f>
        <v>0</v>
      </c>
      <c r="BS9" s="21">
        <f>'[4]Set Up'!$V70</f>
        <v>0</v>
      </c>
      <c r="BT9" s="21">
        <f>'[4]Set Up'!$V71</f>
        <v>0</v>
      </c>
      <c r="BU9" s="21">
        <f>'[4]Set Up'!$V72</f>
        <v>0</v>
      </c>
      <c r="BV9" s="21">
        <f>'[4]Set Up'!$V73</f>
        <v>0</v>
      </c>
      <c r="BW9" s="21">
        <f>'[4]Set Up'!$V74</f>
        <v>0</v>
      </c>
      <c r="BX9" s="21">
        <f>'[4]Set Up'!$V75</f>
        <v>0</v>
      </c>
      <c r="BY9" s="21">
        <f>'[4]Set Up'!$V76</f>
        <v>0</v>
      </c>
      <c r="BZ9" s="8"/>
    </row>
    <row r="10" spans="1:78" ht="15" thickBot="1" x14ac:dyDescent="0.4">
      <c r="A10" s="22" t="s">
        <v>16</v>
      </c>
      <c r="B10" s="195"/>
      <c r="C10" s="23">
        <f>'[4]Set Up'!$W2</f>
        <v>24</v>
      </c>
      <c r="D10" s="23">
        <f>'[4]Set Up'!$W3</f>
        <v>24</v>
      </c>
      <c r="E10" s="23">
        <f>'[4]Set Up'!$W4</f>
        <v>24</v>
      </c>
      <c r="F10" s="23">
        <f>'[4]Set Up'!$W5</f>
        <v>24</v>
      </c>
      <c r="G10" s="23">
        <f>'[4]Set Up'!$W6</f>
        <v>24</v>
      </c>
      <c r="H10" s="23">
        <f>'[4]Set Up'!$W7</f>
        <v>24</v>
      </c>
      <c r="I10" s="23">
        <f>'[4]Set Up'!$W8</f>
        <v>24</v>
      </c>
      <c r="J10" s="23">
        <f>'[4]Set Up'!$W9</f>
        <v>24</v>
      </c>
      <c r="K10" s="23">
        <f>'[4]Set Up'!$W10</f>
        <v>24</v>
      </c>
      <c r="L10" s="23">
        <f>'[4]Set Up'!$W11</f>
        <v>24</v>
      </c>
      <c r="M10" s="23">
        <f>'[4]Set Up'!$W12</f>
        <v>24</v>
      </c>
      <c r="N10" s="23">
        <f>'[4]Set Up'!$W13</f>
        <v>24</v>
      </c>
      <c r="O10" s="23">
        <f>'[4]Set Up'!$W14</f>
        <v>24</v>
      </c>
      <c r="P10" s="23">
        <f>'[4]Set Up'!$W15</f>
        <v>24</v>
      </c>
      <c r="Q10" s="23">
        <f>'[4]Set Up'!$W16</f>
        <v>24</v>
      </c>
      <c r="R10" s="23">
        <f>'[4]Set Up'!$W17</f>
        <v>24</v>
      </c>
      <c r="S10" s="23">
        <f>'[4]Set Up'!$W18</f>
        <v>24</v>
      </c>
      <c r="T10" s="23">
        <f>'[4]Set Up'!$W19</f>
        <v>24</v>
      </c>
      <c r="U10" s="23">
        <f>'[4]Set Up'!$W20</f>
        <v>24</v>
      </c>
      <c r="V10" s="23">
        <f>'[4]Set Up'!$W21</f>
        <v>24</v>
      </c>
      <c r="W10" s="23">
        <f>'[4]Set Up'!$W22</f>
        <v>24</v>
      </c>
      <c r="X10" s="23">
        <f>'[4]Set Up'!$W23</f>
        <v>24</v>
      </c>
      <c r="Y10" s="23">
        <f>'[4]Set Up'!$W24</f>
        <v>24</v>
      </c>
      <c r="Z10" s="23">
        <f>'[4]Set Up'!$W25</f>
        <v>24</v>
      </c>
      <c r="AA10" s="23">
        <f>'[4]Set Up'!$W26</f>
        <v>24</v>
      </c>
      <c r="AB10" s="23">
        <f>'[4]Set Up'!$W27</f>
        <v>24</v>
      </c>
      <c r="AC10" s="23">
        <f>'[4]Set Up'!$W28</f>
        <v>24</v>
      </c>
      <c r="AD10" s="23">
        <f>'[4]Set Up'!$W29</f>
        <v>24</v>
      </c>
      <c r="AE10" s="23">
        <f>'[4]Set Up'!$W30</f>
        <v>24</v>
      </c>
      <c r="AF10" s="23">
        <f>'[4]Set Up'!$W31</f>
        <v>24</v>
      </c>
      <c r="AG10" s="23">
        <f>'[4]Set Up'!$W32</f>
        <v>24</v>
      </c>
      <c r="AH10" s="23">
        <f>'[4]Set Up'!$W33</f>
        <v>24</v>
      </c>
      <c r="AI10" s="23">
        <f>'[4]Set Up'!$W34</f>
        <v>24</v>
      </c>
      <c r="AJ10" s="23">
        <f>'[4]Set Up'!$W35</f>
        <v>24</v>
      </c>
      <c r="AK10" s="23">
        <f>'[4]Set Up'!$W36</f>
        <v>24</v>
      </c>
      <c r="AL10" s="23">
        <f>'[4]Set Up'!$W37</f>
        <v>24</v>
      </c>
      <c r="AM10" s="23">
        <f>'[4]Set Up'!$W38</f>
        <v>24</v>
      </c>
      <c r="AN10" s="23">
        <f>'[4]Set Up'!$W39</f>
        <v>24</v>
      </c>
      <c r="AO10" s="23">
        <f>'[4]Set Up'!$W40</f>
        <v>24</v>
      </c>
      <c r="AP10" s="23">
        <f>'[4]Set Up'!$W41</f>
        <v>24</v>
      </c>
      <c r="AQ10" s="23">
        <f>'[4]Set Up'!$W42</f>
        <v>24</v>
      </c>
      <c r="AR10" s="23">
        <f>'[4]Set Up'!$W43</f>
        <v>24</v>
      </c>
      <c r="AS10" s="23">
        <f>'[4]Set Up'!$W44</f>
        <v>24</v>
      </c>
      <c r="AT10" s="23">
        <f>'[4]Set Up'!$W45</f>
        <v>24</v>
      </c>
      <c r="AU10" s="23">
        <f>'[4]Set Up'!$W46</f>
        <v>24</v>
      </c>
      <c r="AV10" s="23">
        <f>'[4]Set Up'!$W47</f>
        <v>24</v>
      </c>
      <c r="AW10" s="23">
        <f>'[4]Set Up'!$W48</f>
        <v>24</v>
      </c>
      <c r="AX10" s="23">
        <f>'[4]Set Up'!$W49</f>
        <v>24</v>
      </c>
      <c r="AY10" s="23">
        <f>'[4]Set Up'!$W50</f>
        <v>24</v>
      </c>
      <c r="AZ10" s="23">
        <f>'[4]Set Up'!$W51</f>
        <v>24</v>
      </c>
      <c r="BA10" s="23">
        <f>'[4]Set Up'!$W52</f>
        <v>24</v>
      </c>
      <c r="BB10" s="23">
        <f>'[4]Set Up'!$W53</f>
        <v>24</v>
      </c>
      <c r="BC10" s="23">
        <f>'[4]Set Up'!$W54</f>
        <v>24</v>
      </c>
      <c r="BD10" s="23">
        <f>'[4]Set Up'!$W55</f>
        <v>0</v>
      </c>
      <c r="BE10" s="23">
        <f>'[4]Set Up'!$W56</f>
        <v>0</v>
      </c>
      <c r="BF10" s="23">
        <f>'[4]Set Up'!$W57</f>
        <v>0</v>
      </c>
      <c r="BG10" s="23">
        <f>'[4]Set Up'!$W58</f>
        <v>0</v>
      </c>
      <c r="BH10" s="23">
        <f>'[4]Set Up'!$W59</f>
        <v>0</v>
      </c>
      <c r="BI10" s="23">
        <f>'[4]Set Up'!$W60</f>
        <v>0</v>
      </c>
      <c r="BJ10" s="23">
        <f>'[4]Set Up'!$W61</f>
        <v>0</v>
      </c>
      <c r="BK10" s="23">
        <f>'[4]Set Up'!$W62</f>
        <v>0</v>
      </c>
      <c r="BL10" s="23">
        <f>'[4]Set Up'!$W63</f>
        <v>0</v>
      </c>
      <c r="BM10" s="23">
        <f>'[4]Set Up'!$W64</f>
        <v>0</v>
      </c>
      <c r="BN10" s="23">
        <f>'[4]Set Up'!$W65</f>
        <v>0</v>
      </c>
      <c r="BO10" s="23">
        <f>'[4]Set Up'!$W66</f>
        <v>0</v>
      </c>
      <c r="BP10" s="23">
        <f>'[4]Set Up'!$W67</f>
        <v>0</v>
      </c>
      <c r="BQ10" s="23">
        <f>'[4]Set Up'!$W68</f>
        <v>0</v>
      </c>
      <c r="BR10" s="23">
        <f>'[4]Set Up'!$W69</f>
        <v>0</v>
      </c>
      <c r="BS10" s="23">
        <f>'[4]Set Up'!$W70</f>
        <v>0</v>
      </c>
      <c r="BT10" s="23">
        <f>'[4]Set Up'!$W71</f>
        <v>0</v>
      </c>
      <c r="BU10" s="23">
        <f>'[4]Set Up'!$W72</f>
        <v>0</v>
      </c>
      <c r="BV10" s="23">
        <f>'[4]Set Up'!$W73</f>
        <v>0</v>
      </c>
      <c r="BW10" s="23">
        <f>'[4]Set Up'!$W74</f>
        <v>0</v>
      </c>
      <c r="BX10" s="23">
        <f>'[4]Set Up'!$W75</f>
        <v>0</v>
      </c>
      <c r="BY10" s="23">
        <f>'[4]Set Up'!$W76</f>
        <v>0</v>
      </c>
      <c r="BZ10" s="8"/>
    </row>
    <row r="11" spans="1:78" x14ac:dyDescent="0.35">
      <c r="A11" s="18" t="s">
        <v>17</v>
      </c>
      <c r="B11" s="195"/>
      <c r="C11" s="19">
        <f>'[4]Set Up'!$X2</f>
        <v>23055</v>
      </c>
      <c r="D11" s="19">
        <f>'[4]Set Up'!$X3</f>
        <v>22854</v>
      </c>
      <c r="E11" s="19">
        <f>'[4]Set Up'!$X4</f>
        <v>22653</v>
      </c>
      <c r="F11" s="19">
        <f>'[4]Set Up'!$X5</f>
        <v>22453</v>
      </c>
      <c r="G11" s="19">
        <f>'[4]Set Up'!$X6</f>
        <v>22252</v>
      </c>
      <c r="H11" s="19">
        <f>'[4]Set Up'!$X7</f>
        <v>22051</v>
      </c>
      <c r="I11" s="19">
        <f>'[4]Set Up'!$X8</f>
        <v>21850</v>
      </c>
      <c r="J11" s="19">
        <f>'[4]Set Up'!$X9</f>
        <v>21649</v>
      </c>
      <c r="K11" s="19">
        <f>'[4]Set Up'!$X10</f>
        <v>21448</v>
      </c>
      <c r="L11" s="19">
        <f>'[4]Set Up'!$X11</f>
        <v>21248</v>
      </c>
      <c r="M11" s="19">
        <f>'[4]Set Up'!$X12</f>
        <v>21047</v>
      </c>
      <c r="N11" s="19">
        <f>'[4]Set Up'!$X13</f>
        <v>20846</v>
      </c>
      <c r="O11" s="19">
        <f>'[4]Set Up'!$X14</f>
        <v>20645</v>
      </c>
      <c r="P11" s="19">
        <f>'[4]Set Up'!$X15</f>
        <v>20444</v>
      </c>
      <c r="Q11" s="19">
        <f>'[4]Set Up'!$X16</f>
        <v>20243</v>
      </c>
      <c r="R11" s="19">
        <f>'[4]Set Up'!$X17</f>
        <v>20043</v>
      </c>
      <c r="S11" s="19">
        <f>'[4]Set Up'!$X18</f>
        <v>19842</v>
      </c>
      <c r="T11" s="19">
        <f>'[4]Set Up'!$X19</f>
        <v>19641</v>
      </c>
      <c r="U11" s="19">
        <f>'[4]Set Up'!$X20</f>
        <v>19440</v>
      </c>
      <c r="V11" s="19">
        <f>'[4]Set Up'!$X21</f>
        <v>19239</v>
      </c>
      <c r="W11" s="19">
        <f>'[4]Set Up'!$X22</f>
        <v>19038</v>
      </c>
      <c r="X11" s="19">
        <f>'[4]Set Up'!$X23</f>
        <v>18838</v>
      </c>
      <c r="Y11" s="19">
        <f>'[4]Set Up'!$X24</f>
        <v>18637</v>
      </c>
      <c r="Z11" s="19">
        <f>'[4]Set Up'!$X25</f>
        <v>18436</v>
      </c>
      <c r="AA11" s="19">
        <f>'[4]Set Up'!$X26</f>
        <v>18235</v>
      </c>
      <c r="AB11" s="19">
        <f>'[4]Set Up'!$X27</f>
        <v>18034</v>
      </c>
      <c r="AC11" s="19">
        <f>'[4]Set Up'!$X28</f>
        <v>17833</v>
      </c>
      <c r="AD11" s="19">
        <f>'[4]Set Up'!$X29</f>
        <v>17633</v>
      </c>
      <c r="AE11" s="19">
        <f>'[4]Set Up'!$X30</f>
        <v>17432</v>
      </c>
      <c r="AF11" s="19">
        <f>'[4]Set Up'!$X31</f>
        <v>17231</v>
      </c>
      <c r="AG11" s="19">
        <f>'[4]Set Up'!$X32</f>
        <v>17030</v>
      </c>
      <c r="AH11" s="19">
        <f>'[4]Set Up'!$X33</f>
        <v>16829</v>
      </c>
      <c r="AI11" s="19">
        <f>'[4]Set Up'!$X34</f>
        <v>16628</v>
      </c>
      <c r="AJ11" s="19">
        <f>'[4]Set Up'!$X35</f>
        <v>16427</v>
      </c>
      <c r="AK11" s="19">
        <f>'[4]Set Up'!$X36</f>
        <v>16227</v>
      </c>
      <c r="AL11" s="19">
        <f>'[4]Set Up'!$X37</f>
        <v>16026</v>
      </c>
      <c r="AM11" s="19">
        <f>'[4]Set Up'!$X38</f>
        <v>15825</v>
      </c>
      <c r="AN11" s="19">
        <f>'[4]Set Up'!$X39</f>
        <v>15624</v>
      </c>
      <c r="AO11" s="19">
        <f>'[4]Set Up'!$X40</f>
        <v>15423</v>
      </c>
      <c r="AP11" s="19">
        <f>'[4]Set Up'!$X41</f>
        <v>15222</v>
      </c>
      <c r="AQ11" s="19">
        <f>'[4]Set Up'!$X42</f>
        <v>15022</v>
      </c>
      <c r="AR11" s="19">
        <f>'[4]Set Up'!$X43</f>
        <v>14821</v>
      </c>
      <c r="AS11" s="19">
        <f>'[4]Set Up'!$X44</f>
        <v>14620</v>
      </c>
      <c r="AT11" s="19">
        <f>'[4]Set Up'!$X45</f>
        <v>14419</v>
      </c>
      <c r="AU11" s="19">
        <f>'[4]Set Up'!$X46</f>
        <v>14218</v>
      </c>
      <c r="AV11" s="19">
        <f>'[4]Set Up'!$X47</f>
        <v>14017</v>
      </c>
      <c r="AW11" s="19">
        <f>'[4]Set Up'!$X48</f>
        <v>13817</v>
      </c>
      <c r="AX11" s="19">
        <f>'[4]Set Up'!$X49</f>
        <v>13616</v>
      </c>
      <c r="AY11" s="19">
        <f>'[4]Set Up'!$X50</f>
        <v>13415</v>
      </c>
      <c r="AZ11" s="19">
        <f>'[4]Set Up'!$X51</f>
        <v>13214</v>
      </c>
      <c r="BA11" s="19">
        <f>'[4]Set Up'!$X52</f>
        <v>13013</v>
      </c>
      <c r="BB11" s="19">
        <f>'[4]Set Up'!$X53</f>
        <v>12812</v>
      </c>
      <c r="BC11" s="19">
        <f>'[4]Set Up'!$X54</f>
        <v>12612</v>
      </c>
      <c r="BD11" s="19">
        <f>'[4]Set Up'!$X55</f>
        <v>0</v>
      </c>
      <c r="BE11" s="19">
        <f>'[4]Set Up'!$X56</f>
        <v>0</v>
      </c>
      <c r="BF11" s="19">
        <f>'[4]Set Up'!$X57</f>
        <v>0</v>
      </c>
      <c r="BG11" s="19">
        <f>'[4]Set Up'!$X58</f>
        <v>0</v>
      </c>
      <c r="BH11" s="19">
        <f>'[4]Set Up'!$X59</f>
        <v>0</v>
      </c>
      <c r="BI11" s="19">
        <f>'[4]Set Up'!$X60</f>
        <v>0</v>
      </c>
      <c r="BJ11" s="19">
        <f>'[4]Set Up'!$X61</f>
        <v>0</v>
      </c>
      <c r="BK11" s="19">
        <f>'[4]Set Up'!$X62</f>
        <v>0</v>
      </c>
      <c r="BL11" s="19">
        <f>'[4]Set Up'!$X63</f>
        <v>0</v>
      </c>
      <c r="BM11" s="19">
        <f>'[4]Set Up'!$X64</f>
        <v>0</v>
      </c>
      <c r="BN11" s="19">
        <f>'[4]Set Up'!$X65</f>
        <v>0</v>
      </c>
      <c r="BO11" s="19">
        <f>'[4]Set Up'!$X66</f>
        <v>0</v>
      </c>
      <c r="BP11" s="19">
        <f>'[4]Set Up'!$X67</f>
        <v>0</v>
      </c>
      <c r="BQ11" s="19">
        <f>'[4]Set Up'!$X68</f>
        <v>0</v>
      </c>
      <c r="BR11" s="19">
        <f>'[4]Set Up'!$X69</f>
        <v>0</v>
      </c>
      <c r="BS11" s="19">
        <f>'[4]Set Up'!$X70</f>
        <v>0</v>
      </c>
      <c r="BT11" s="19">
        <f>'[4]Set Up'!$X71</f>
        <v>0</v>
      </c>
      <c r="BU11" s="19">
        <f>'[4]Set Up'!$X72</f>
        <v>0</v>
      </c>
      <c r="BV11" s="19">
        <f>'[4]Set Up'!$X73</f>
        <v>0</v>
      </c>
      <c r="BW11" s="19">
        <f>'[4]Set Up'!$X74</f>
        <v>0</v>
      </c>
      <c r="BX11" s="19">
        <f>'[4]Set Up'!$X75</f>
        <v>0</v>
      </c>
      <c r="BY11" s="19">
        <f>'[4]Set Up'!$X76</f>
        <v>0</v>
      </c>
      <c r="BZ11" s="8"/>
    </row>
    <row r="12" spans="1:78" ht="15" thickBot="1" x14ac:dyDescent="0.4">
      <c r="A12" s="20" t="s">
        <v>18</v>
      </c>
      <c r="B12" s="195"/>
      <c r="C12" s="24">
        <f>'[4]Set Up'!$AA2</f>
        <v>12093</v>
      </c>
      <c r="D12" s="24">
        <f>'[4]Set Up'!$AA3</f>
        <v>12095</v>
      </c>
      <c r="E12" s="24">
        <f>'[4]Set Up'!$AA4</f>
        <v>12091</v>
      </c>
      <c r="F12" s="24">
        <f>'[4]Set Up'!$AA5</f>
        <v>12089</v>
      </c>
      <c r="G12" s="24">
        <f>'[4]Set Up'!$AA6</f>
        <v>12089</v>
      </c>
      <c r="H12" s="24">
        <f>'[4]Set Up'!$AA7</f>
        <v>12086</v>
      </c>
      <c r="I12" s="24">
        <f>'[4]Set Up'!$AA8</f>
        <v>12082</v>
      </c>
      <c r="J12" s="24">
        <f>'[4]Set Up'!$AA9</f>
        <v>12082</v>
      </c>
      <c r="K12" s="24">
        <f>'[4]Set Up'!$AA10</f>
        <v>12079</v>
      </c>
      <c r="L12" s="24">
        <f>'[4]Set Up'!$AA11</f>
        <v>12073</v>
      </c>
      <c r="M12" s="24">
        <f>'[4]Set Up'!$AA12</f>
        <v>12072</v>
      </c>
      <c r="N12" s="24">
        <f>'[4]Set Up'!$AA13</f>
        <v>12071</v>
      </c>
      <c r="O12" s="24">
        <f>'[4]Set Up'!$AA14</f>
        <v>12073</v>
      </c>
      <c r="P12" s="24">
        <f>'[4]Set Up'!$AA15</f>
        <v>12077</v>
      </c>
      <c r="Q12" s="24">
        <f>'[4]Set Up'!$AA16</f>
        <v>12078</v>
      </c>
      <c r="R12" s="24">
        <f>'[4]Set Up'!$AA17</f>
        <v>12076</v>
      </c>
      <c r="S12" s="24">
        <f>'[4]Set Up'!$AA18</f>
        <v>12071</v>
      </c>
      <c r="T12" s="24">
        <f>'[4]Set Up'!$AA19</f>
        <v>12066</v>
      </c>
      <c r="U12" s="24">
        <f>'[4]Set Up'!$AA20</f>
        <v>12060</v>
      </c>
      <c r="V12" s="24">
        <f>'[4]Set Up'!$AA21</f>
        <v>12054</v>
      </c>
      <c r="W12" s="24">
        <f>'[4]Set Up'!$AA22</f>
        <v>12053</v>
      </c>
      <c r="X12" s="24">
        <f>'[4]Set Up'!$AA23</f>
        <v>12051</v>
      </c>
      <c r="Y12" s="24">
        <f>'[4]Set Up'!$AA24</f>
        <v>12046</v>
      </c>
      <c r="Z12" s="24">
        <f>'[4]Set Up'!$AA25</f>
        <v>12043</v>
      </c>
      <c r="AA12" s="24">
        <f>'[4]Set Up'!$AA26</f>
        <v>12040</v>
      </c>
      <c r="AB12" s="24">
        <f>'[4]Set Up'!$AA27</f>
        <v>12037</v>
      </c>
      <c r="AC12" s="24">
        <f>'[4]Set Up'!$AA28</f>
        <v>12032</v>
      </c>
      <c r="AD12" s="24">
        <f>'[4]Set Up'!$AA29</f>
        <v>12027</v>
      </c>
      <c r="AE12" s="24">
        <f>'[4]Set Up'!$AA30</f>
        <v>12020</v>
      </c>
      <c r="AF12" s="24">
        <f>'[4]Set Up'!$AA31</f>
        <v>12018</v>
      </c>
      <c r="AG12" s="24">
        <f>'[4]Set Up'!$AA32</f>
        <v>12018</v>
      </c>
      <c r="AH12" s="24">
        <f>'[4]Set Up'!$AA33</f>
        <v>12015</v>
      </c>
      <c r="AI12" s="24">
        <f>'[4]Set Up'!$AA34</f>
        <v>12016</v>
      </c>
      <c r="AJ12" s="24">
        <f>'[4]Set Up'!$AA35</f>
        <v>12014</v>
      </c>
      <c r="AK12" s="24">
        <f>'[4]Set Up'!$AA36</f>
        <v>12007</v>
      </c>
      <c r="AL12" s="24">
        <f>'[4]Set Up'!$AA37</f>
        <v>12004</v>
      </c>
      <c r="AM12" s="24">
        <f>'[4]Set Up'!$AA38</f>
        <v>12000</v>
      </c>
      <c r="AN12" s="24">
        <f>'[4]Set Up'!$AA39</f>
        <v>11997</v>
      </c>
      <c r="AO12" s="24">
        <f>'[4]Set Up'!$AA40</f>
        <v>11994</v>
      </c>
      <c r="AP12" s="24">
        <f>'[4]Set Up'!$AA41</f>
        <v>11988</v>
      </c>
      <c r="AQ12" s="24">
        <f>'[4]Set Up'!$AA42</f>
        <v>11987</v>
      </c>
      <c r="AR12" s="24">
        <f>'[4]Set Up'!$AA43</f>
        <v>11982</v>
      </c>
      <c r="AS12" s="24">
        <f>'[4]Set Up'!$AA44</f>
        <v>11977</v>
      </c>
      <c r="AT12" s="24">
        <f>'[4]Set Up'!$AA45</f>
        <v>11973</v>
      </c>
      <c r="AU12" s="24">
        <f>'[4]Set Up'!$AA46</f>
        <v>11966</v>
      </c>
      <c r="AV12" s="24">
        <f>'[4]Set Up'!$AA47</f>
        <v>11968</v>
      </c>
      <c r="AW12" s="24">
        <f>'[4]Set Up'!$AA48</f>
        <v>11969</v>
      </c>
      <c r="AX12" s="24">
        <f>'[4]Set Up'!$AA49</f>
        <v>11968</v>
      </c>
      <c r="AY12" s="24">
        <f>'[4]Set Up'!$AA50</f>
        <v>11965</v>
      </c>
      <c r="AZ12" s="24">
        <f>'[4]Set Up'!$AA51</f>
        <v>11960</v>
      </c>
      <c r="BA12" s="24">
        <f>'[4]Set Up'!$AA52</f>
        <v>11957</v>
      </c>
      <c r="BB12" s="24">
        <f>'[4]Set Up'!$AA53</f>
        <v>11955</v>
      </c>
      <c r="BC12" s="24">
        <f>'[4]Set Up'!$AA54</f>
        <v>11950</v>
      </c>
      <c r="BD12" s="24">
        <f>'[4]Set Up'!$AA55</f>
        <v>0</v>
      </c>
      <c r="BE12" s="24">
        <f>'[4]Set Up'!$AA56</f>
        <v>0</v>
      </c>
      <c r="BF12" s="24">
        <f>'[4]Set Up'!$AA57</f>
        <v>0</v>
      </c>
      <c r="BG12" s="24">
        <f>'[4]Set Up'!$AA58</f>
        <v>0</v>
      </c>
      <c r="BH12" s="24">
        <f>'[4]Set Up'!$AA59</f>
        <v>0</v>
      </c>
      <c r="BI12" s="24">
        <f>'[4]Set Up'!$AA60</f>
        <v>0</v>
      </c>
      <c r="BJ12" s="24">
        <f>'[4]Set Up'!$AA61</f>
        <v>0</v>
      </c>
      <c r="BK12" s="24">
        <f>'[4]Set Up'!$AA62</f>
        <v>0</v>
      </c>
      <c r="BL12" s="24">
        <f>'[4]Set Up'!$AA63</f>
        <v>0</v>
      </c>
      <c r="BM12" s="24">
        <f>'[4]Set Up'!$AA64</f>
        <v>0</v>
      </c>
      <c r="BN12" s="24">
        <f>'[4]Set Up'!$AA65</f>
        <v>0</v>
      </c>
      <c r="BO12" s="24">
        <f>'[4]Set Up'!$AA66</f>
        <v>0</v>
      </c>
      <c r="BP12" s="24">
        <f>'[4]Set Up'!$AA67</f>
        <v>0</v>
      </c>
      <c r="BQ12" s="24">
        <f>'[4]Set Up'!$AA68</f>
        <v>0</v>
      </c>
      <c r="BR12" s="24">
        <f>'[4]Set Up'!$AA69</f>
        <v>0</v>
      </c>
      <c r="BS12" s="24">
        <f>'[4]Set Up'!$AA70</f>
        <v>0</v>
      </c>
      <c r="BT12" s="24">
        <f>'[4]Set Up'!$AA71</f>
        <v>0</v>
      </c>
      <c r="BU12" s="24">
        <f>'[4]Set Up'!$AA72</f>
        <v>0</v>
      </c>
      <c r="BV12" s="24">
        <f>'[4]Set Up'!$AA73</f>
        <v>0</v>
      </c>
      <c r="BW12" s="24">
        <f>'[4]Set Up'!$AA74</f>
        <v>0</v>
      </c>
      <c r="BX12" s="24">
        <f>'[4]Set Up'!$AA75</f>
        <v>0</v>
      </c>
      <c r="BY12" s="24">
        <f>'[4]Set Up'!$AA76</f>
        <v>0</v>
      </c>
      <c r="BZ12" s="8"/>
    </row>
    <row r="13" spans="1:78" x14ac:dyDescent="0.35">
      <c r="A13" s="25" t="s">
        <v>19</v>
      </c>
      <c r="B13" s="196" t="s">
        <v>20</v>
      </c>
      <c r="C13" s="26">
        <f>IF(C8="","",IF(C8&lt;'[4]Set Up'!$J$15,C8*'[4]Set Up'!$N$15,IF(C8&lt;'[4]Set Up'!$J$16,(C8-'[4]Set Up'!$J$15)*'[4]Set Up'!$N$16+'[4]Set Up'!$O$15,IF(C8&lt;'[4]Set Up'!$J$17,(C8-'[4]Set Up'!$J$16)*'[4]Set Up'!$N$17+'[4]Set Up'!$O$15+'[4]Set Up'!$O$16,(C8-'[4]Set Up'!$J$17)*'[4]Set Up'!$N$18 + SUM('[4]Set Up'!$O$15:'[4]Set Up'!$O$17)))))</f>
        <v>415.43666421697816</v>
      </c>
      <c r="D13" s="26">
        <f>IF(D8="","",IF(D8&lt;'[4]Set Up'!$J$15,D8*'[4]Set Up'!$N$15,IF(D8&lt;'[4]Set Up'!$J$16,(D8-'[4]Set Up'!$J$15)*'[4]Set Up'!$N$16+'[4]Set Up'!$O$15,IF(D8&lt;'[4]Set Up'!$J$17,(D8-'[4]Set Up'!$J$16)*'[4]Set Up'!$N$17+'[4]Set Up'!$O$15+'[4]Set Up'!$O$16,(D8-'[4]Set Up'!$J$17)*'[4]Set Up'!$N$18 + SUM('[4]Set Up'!$O$15:'[4]Set Up'!$O$17)))))</f>
        <v>412.43544316483531</v>
      </c>
      <c r="E13" s="26">
        <f>IF(E8="","",IF(E8&lt;'[4]Set Up'!$J$15,E8*'[4]Set Up'!$N$15,IF(E8&lt;'[4]Set Up'!$J$16,(E8-'[4]Set Up'!$J$15)*'[4]Set Up'!$N$16+'[4]Set Up'!$O$15,IF(E8&lt;'[4]Set Up'!$J$17,(E8-'[4]Set Up'!$J$16)*'[4]Set Up'!$N$17+'[4]Set Up'!$O$15+'[4]Set Up'!$O$16,(E8-'[4]Set Up'!$J$17)*'[4]Set Up'!$N$18 + SUM('[4]Set Up'!$O$15:'[4]Set Up'!$O$17)))))</f>
        <v>409.449153560713</v>
      </c>
      <c r="F13" s="26">
        <f>IF(F8="","",IF(F8&lt;'[4]Set Up'!$J$15,F8*'[4]Set Up'!$N$15,IF(F8&lt;'[4]Set Up'!$J$16,(F8-'[4]Set Up'!$J$15)*'[4]Set Up'!$N$16+'[4]Set Up'!$O$15,IF(F8&lt;'[4]Set Up'!$J$17,(F8-'[4]Set Up'!$J$16)*'[4]Set Up'!$N$17+'[4]Set Up'!$O$15+'[4]Set Up'!$O$16,(F8-'[4]Set Up'!$J$17)*'[4]Set Up'!$N$18 + SUM('[4]Set Up'!$O$15:'[4]Set Up'!$O$17)))))</f>
        <v>406.44793250857009</v>
      </c>
      <c r="G13" s="26">
        <f>IF(G8="","",IF(G8&lt;'[4]Set Up'!$J$15,G8*'[4]Set Up'!$N$15,IF(G8&lt;'[4]Set Up'!$J$16,(G8-'[4]Set Up'!$J$15)*'[4]Set Up'!$N$16+'[4]Set Up'!$O$15,IF(G8&lt;'[4]Set Up'!$J$17,(G8-'[4]Set Up'!$J$16)*'[4]Set Up'!$N$17+'[4]Set Up'!$O$15+'[4]Set Up'!$O$16,(G8-'[4]Set Up'!$J$17)*'[4]Set Up'!$N$18 + SUM('[4]Set Up'!$O$15:'[4]Set Up'!$O$17)))))</f>
        <v>403.44671145642724</v>
      </c>
      <c r="H13" s="26">
        <f>IF(H8="","",IF(H8&lt;'[4]Set Up'!$J$15,H8*'[4]Set Up'!$N$15,IF(H8&lt;'[4]Set Up'!$J$16,(H8-'[4]Set Up'!$J$15)*'[4]Set Up'!$N$16+'[4]Set Up'!$O$15,IF(H8&lt;'[4]Set Up'!$J$17,(H8-'[4]Set Up'!$J$16)*'[4]Set Up'!$N$17+'[4]Set Up'!$O$15+'[4]Set Up'!$O$16,(H8-'[4]Set Up'!$J$17)*'[4]Set Up'!$N$18 + SUM('[4]Set Up'!$O$15:'[4]Set Up'!$O$17)))))</f>
        <v>400.44549040428433</v>
      </c>
      <c r="I13" s="26">
        <f>IF(I8="","",IF(I8&lt;'[4]Set Up'!$J$15,I8*'[4]Set Up'!$N$15,IF(I8&lt;'[4]Set Up'!$J$16,(I8-'[4]Set Up'!$J$15)*'[4]Set Up'!$N$16+'[4]Set Up'!$O$15,IF(I8&lt;'[4]Set Up'!$J$17,(I8-'[4]Set Up'!$J$16)*'[4]Set Up'!$N$17+'[4]Set Up'!$O$15+'[4]Set Up'!$O$16,(I8-'[4]Set Up'!$J$17)*'[4]Set Up'!$N$18 + SUM('[4]Set Up'!$O$15:'[4]Set Up'!$O$17)))))</f>
        <v>397.44426935214142</v>
      </c>
      <c r="J13" s="26">
        <f>IF(J8="","",IF(J8&lt;'[4]Set Up'!$J$15,J8*'[4]Set Up'!$N$15,IF(J8&lt;'[4]Set Up'!$J$16,(J8-'[4]Set Up'!$J$15)*'[4]Set Up'!$N$16+'[4]Set Up'!$O$15,IF(J8&lt;'[4]Set Up'!$J$17,(J8-'[4]Set Up'!$J$16)*'[4]Set Up'!$N$17+'[4]Set Up'!$O$15+'[4]Set Up'!$O$16,(J8-'[4]Set Up'!$J$17)*'[4]Set Up'!$N$18 + SUM('[4]Set Up'!$O$15:'[4]Set Up'!$O$17)))))</f>
        <v>394.44304829999851</v>
      </c>
      <c r="K13" s="26">
        <f>IF(K8="","",IF(K8&lt;'[4]Set Up'!$J$15,K8*'[4]Set Up'!$N$15,IF(K8&lt;'[4]Set Up'!$J$16,(K8-'[4]Set Up'!$J$15)*'[4]Set Up'!$N$16+'[4]Set Up'!$O$15,IF(K8&lt;'[4]Set Up'!$J$17,(K8-'[4]Set Up'!$J$16)*'[4]Set Up'!$N$17+'[4]Set Up'!$O$15+'[4]Set Up'!$O$16,(K8-'[4]Set Up'!$J$17)*'[4]Set Up'!$N$18 + SUM('[4]Set Up'!$O$15:'[4]Set Up'!$O$17)))))</f>
        <v>391.45675869587626</v>
      </c>
      <c r="L13" s="26">
        <f>IF(L8="","",IF(L8&lt;'[4]Set Up'!$J$15,L8*'[4]Set Up'!$N$15,IF(L8&lt;'[4]Set Up'!$J$16,(L8-'[4]Set Up'!$J$15)*'[4]Set Up'!$N$16+'[4]Set Up'!$O$15,IF(L8&lt;'[4]Set Up'!$J$17,(L8-'[4]Set Up'!$J$16)*'[4]Set Up'!$N$17+'[4]Set Up'!$O$15+'[4]Set Up'!$O$16,(L8-'[4]Set Up'!$J$17)*'[4]Set Up'!$N$18 + SUM('[4]Set Up'!$O$15:'[4]Set Up'!$O$17)))))</f>
        <v>388.45553764373335</v>
      </c>
      <c r="M13" s="26">
        <f>IF(M8="","",IF(M8&lt;'[4]Set Up'!$J$15,M8*'[4]Set Up'!$N$15,IF(M8&lt;'[4]Set Up'!$J$16,(M8-'[4]Set Up'!$J$15)*'[4]Set Up'!$N$16+'[4]Set Up'!$O$15,IF(M8&lt;'[4]Set Up'!$J$17,(M8-'[4]Set Up'!$J$16)*'[4]Set Up'!$N$17+'[4]Set Up'!$O$15+'[4]Set Up'!$O$16,(M8-'[4]Set Up'!$J$17)*'[4]Set Up'!$N$18 + SUM('[4]Set Up'!$O$15:'[4]Set Up'!$O$17)))))</f>
        <v>385.45431659159044</v>
      </c>
      <c r="N13" s="26">
        <f>IF(N8="","",IF(N8&lt;'[4]Set Up'!$J$15,N8*'[4]Set Up'!$N$15,IF(N8&lt;'[4]Set Up'!$J$16,(N8-'[4]Set Up'!$J$15)*'[4]Set Up'!$N$16+'[4]Set Up'!$O$15,IF(N8&lt;'[4]Set Up'!$J$17,(N8-'[4]Set Up'!$J$16)*'[4]Set Up'!$N$17+'[4]Set Up'!$O$15+'[4]Set Up'!$O$16,(N8-'[4]Set Up'!$J$17)*'[4]Set Up'!$N$18 + SUM('[4]Set Up'!$O$15:'[4]Set Up'!$O$17)))))</f>
        <v>382.45309553944759</v>
      </c>
      <c r="O13" s="26">
        <f>IF(O8="","",IF(O8&lt;'[4]Set Up'!$J$15,O8*'[4]Set Up'!$N$15,IF(O8&lt;'[4]Set Up'!$J$16,(O8-'[4]Set Up'!$J$15)*'[4]Set Up'!$N$16+'[4]Set Up'!$O$15,IF(O8&lt;'[4]Set Up'!$J$17,(O8-'[4]Set Up'!$J$16)*'[4]Set Up'!$N$17+'[4]Set Up'!$O$15+'[4]Set Up'!$O$16,(O8-'[4]Set Up'!$J$17)*'[4]Set Up'!$N$18 + SUM('[4]Set Up'!$O$15:'[4]Set Up'!$O$17)))))</f>
        <v>379.45187448730474</v>
      </c>
      <c r="P13" s="26">
        <f>IF(P8="","",IF(P8&lt;'[4]Set Up'!$J$15,P8*'[4]Set Up'!$N$15,IF(P8&lt;'[4]Set Up'!$J$16,(P8-'[4]Set Up'!$J$15)*'[4]Set Up'!$N$16+'[4]Set Up'!$O$15,IF(P8&lt;'[4]Set Up'!$J$17,(P8-'[4]Set Up'!$J$16)*'[4]Set Up'!$N$17+'[4]Set Up'!$O$15+'[4]Set Up'!$O$16,(P8-'[4]Set Up'!$J$17)*'[4]Set Up'!$N$18 + SUM('[4]Set Up'!$O$15:'[4]Set Up'!$O$17)))))</f>
        <v>376.45065343516183</v>
      </c>
      <c r="Q13" s="26">
        <f>IF(Q8="","",IF(Q8&lt;'[4]Set Up'!$J$15,Q8*'[4]Set Up'!$N$15,IF(Q8&lt;'[4]Set Up'!$J$16,(Q8-'[4]Set Up'!$J$15)*'[4]Set Up'!$N$16+'[4]Set Up'!$O$15,IF(Q8&lt;'[4]Set Up'!$J$17,(Q8-'[4]Set Up'!$J$16)*'[4]Set Up'!$N$17+'[4]Set Up'!$O$15+'[4]Set Up'!$O$16,(Q8-'[4]Set Up'!$J$17)*'[4]Set Up'!$N$18 + SUM('[4]Set Up'!$O$15:'[4]Set Up'!$O$17)))))</f>
        <v>373.46436383103952</v>
      </c>
      <c r="R13" s="26">
        <f>IF(R8="","",IF(R8&lt;'[4]Set Up'!$J$15,R8*'[4]Set Up'!$N$15,IF(R8&lt;'[4]Set Up'!$J$16,(R8-'[4]Set Up'!$J$15)*'[4]Set Up'!$N$16+'[4]Set Up'!$O$15,IF(R8&lt;'[4]Set Up'!$J$17,(R8-'[4]Set Up'!$J$16)*'[4]Set Up'!$N$17+'[4]Set Up'!$O$15+'[4]Set Up'!$O$16,(R8-'[4]Set Up'!$J$17)*'[4]Set Up'!$N$18 + SUM('[4]Set Up'!$O$15:'[4]Set Up'!$O$17)))))</f>
        <v>370.46314277889667</v>
      </c>
      <c r="S13" s="26">
        <f>IF(S8="","",IF(S8&lt;'[4]Set Up'!$J$15,S8*'[4]Set Up'!$N$15,IF(S8&lt;'[4]Set Up'!$J$16,(S8-'[4]Set Up'!$J$15)*'[4]Set Up'!$N$16+'[4]Set Up'!$O$15,IF(S8&lt;'[4]Set Up'!$J$17,(S8-'[4]Set Up'!$J$16)*'[4]Set Up'!$N$17+'[4]Set Up'!$O$15+'[4]Set Up'!$O$16,(S8-'[4]Set Up'!$J$17)*'[4]Set Up'!$N$18 + SUM('[4]Set Up'!$O$15:'[4]Set Up'!$O$17)))))</f>
        <v>367.46192172675376</v>
      </c>
      <c r="T13" s="26">
        <f>IF(T8="","",IF(T8&lt;'[4]Set Up'!$J$15,T8*'[4]Set Up'!$N$15,IF(T8&lt;'[4]Set Up'!$J$16,(T8-'[4]Set Up'!$J$15)*'[4]Set Up'!$N$16+'[4]Set Up'!$O$15,IF(T8&lt;'[4]Set Up'!$J$17,(T8-'[4]Set Up'!$J$16)*'[4]Set Up'!$N$17+'[4]Set Up'!$O$15+'[4]Set Up'!$O$16,(T8-'[4]Set Up'!$J$17)*'[4]Set Up'!$N$18 + SUM('[4]Set Up'!$O$15:'[4]Set Up'!$O$17)))))</f>
        <v>364.46070067461085</v>
      </c>
      <c r="U13" s="26">
        <f>IF(U8="","",IF(U8&lt;'[4]Set Up'!$J$15,U8*'[4]Set Up'!$N$15,IF(U8&lt;'[4]Set Up'!$J$16,(U8-'[4]Set Up'!$J$15)*'[4]Set Up'!$N$16+'[4]Set Up'!$O$15,IF(U8&lt;'[4]Set Up'!$J$17,(U8-'[4]Set Up'!$J$16)*'[4]Set Up'!$N$17+'[4]Set Up'!$O$15+'[4]Set Up'!$O$16,(U8-'[4]Set Up'!$J$17)*'[4]Set Up'!$N$18 + SUM('[4]Set Up'!$O$15:'[4]Set Up'!$O$17)))))</f>
        <v>361.45947962246794</v>
      </c>
      <c r="V13" s="26">
        <f>IF(V8="","",IF(V8&lt;'[4]Set Up'!$J$15,V8*'[4]Set Up'!$N$15,IF(V8&lt;'[4]Set Up'!$J$16,(V8-'[4]Set Up'!$J$15)*'[4]Set Up'!$N$16+'[4]Set Up'!$O$15,IF(V8&lt;'[4]Set Up'!$J$17,(V8-'[4]Set Up'!$J$16)*'[4]Set Up'!$N$17+'[4]Set Up'!$O$15+'[4]Set Up'!$O$16,(V8-'[4]Set Up'!$J$17)*'[4]Set Up'!$N$18 + SUM('[4]Set Up'!$O$15:'[4]Set Up'!$O$17)))))</f>
        <v>358.45825857032509</v>
      </c>
      <c r="W13" s="26">
        <f>IF(W8="","",IF(W8&lt;'[4]Set Up'!$J$15,W8*'[4]Set Up'!$N$15,IF(W8&lt;'[4]Set Up'!$J$16,(W8-'[4]Set Up'!$J$15)*'[4]Set Up'!$N$16+'[4]Set Up'!$O$15,IF(W8&lt;'[4]Set Up'!$J$17,(W8-'[4]Set Up'!$J$16)*'[4]Set Up'!$N$17+'[4]Set Up'!$O$15+'[4]Set Up'!$O$16,(W8-'[4]Set Up'!$J$17)*'[4]Set Up'!$N$18 + SUM('[4]Set Up'!$O$15:'[4]Set Up'!$O$17)))))</f>
        <v>355.47196896620278</v>
      </c>
      <c r="X13" s="26">
        <f>IF(X8="","",IF(X8&lt;'[4]Set Up'!$J$15,X8*'[4]Set Up'!$N$15,IF(X8&lt;'[4]Set Up'!$J$16,(X8-'[4]Set Up'!$J$15)*'[4]Set Up'!$N$16+'[4]Set Up'!$O$15,IF(X8&lt;'[4]Set Up'!$J$17,(X8-'[4]Set Up'!$J$16)*'[4]Set Up'!$N$17+'[4]Set Up'!$O$15+'[4]Set Up'!$O$16,(X8-'[4]Set Up'!$J$17)*'[4]Set Up'!$N$18 + SUM('[4]Set Up'!$O$15:'[4]Set Up'!$O$17)))))</f>
        <v>352.47074791405993</v>
      </c>
      <c r="Y13" s="26">
        <f>IF(Y8="","",IF(Y8&lt;'[4]Set Up'!$J$15,Y8*'[4]Set Up'!$N$15,IF(Y8&lt;'[4]Set Up'!$J$16,(Y8-'[4]Set Up'!$J$15)*'[4]Set Up'!$N$16+'[4]Set Up'!$O$15,IF(Y8&lt;'[4]Set Up'!$J$17,(Y8-'[4]Set Up'!$J$16)*'[4]Set Up'!$N$17+'[4]Set Up'!$O$15+'[4]Set Up'!$O$16,(Y8-'[4]Set Up'!$J$17)*'[4]Set Up'!$N$18 + SUM('[4]Set Up'!$O$15:'[4]Set Up'!$O$17)))))</f>
        <v>349.46952686191702</v>
      </c>
      <c r="Z13" s="26">
        <f>IF(Z8="","",IF(Z8&lt;'[4]Set Up'!$J$15,Z8*'[4]Set Up'!$N$15,IF(Z8&lt;'[4]Set Up'!$J$16,(Z8-'[4]Set Up'!$J$15)*'[4]Set Up'!$N$16+'[4]Set Up'!$O$15,IF(Z8&lt;'[4]Set Up'!$J$17,(Z8-'[4]Set Up'!$J$16)*'[4]Set Up'!$N$17+'[4]Set Up'!$O$15+'[4]Set Up'!$O$16,(Z8-'[4]Set Up'!$J$17)*'[4]Set Up'!$N$18 + SUM('[4]Set Up'!$O$15:'[4]Set Up'!$O$17)))))</f>
        <v>346.46830580977417</v>
      </c>
      <c r="AA13" s="26">
        <f>IF(AA8="","",IF(AA8&lt;'[4]Set Up'!$J$15,AA8*'[4]Set Up'!$N$15,IF(AA8&lt;'[4]Set Up'!$J$16,(AA8-'[4]Set Up'!$J$15)*'[4]Set Up'!$N$16+'[4]Set Up'!$O$15,IF(AA8&lt;'[4]Set Up'!$J$17,(AA8-'[4]Set Up'!$J$16)*'[4]Set Up'!$N$17+'[4]Set Up'!$O$15+'[4]Set Up'!$O$16,(AA8-'[4]Set Up'!$J$17)*'[4]Set Up'!$N$18 + SUM('[4]Set Up'!$O$15:'[4]Set Up'!$O$17)))))</f>
        <v>343.46708475763126</v>
      </c>
      <c r="AB13" s="26">
        <f>IF(AB8="","",IF(AB8&lt;'[4]Set Up'!$J$15,AB8*'[4]Set Up'!$N$15,IF(AB8&lt;'[4]Set Up'!$J$16,(AB8-'[4]Set Up'!$J$15)*'[4]Set Up'!$N$16+'[4]Set Up'!$O$15,IF(AB8&lt;'[4]Set Up'!$J$17,(AB8-'[4]Set Up'!$J$16)*'[4]Set Up'!$N$17+'[4]Set Up'!$O$15+'[4]Set Up'!$O$16,(AB8-'[4]Set Up'!$J$17)*'[4]Set Up'!$N$18 + SUM('[4]Set Up'!$O$15:'[4]Set Up'!$O$17)))))</f>
        <v>340.46586370548835</v>
      </c>
      <c r="AC13" s="26">
        <f>IF(AC8="","",IF(AC8&lt;'[4]Set Up'!$J$15,AC8*'[4]Set Up'!$N$15,IF(AC8&lt;'[4]Set Up'!$J$16,(AC8-'[4]Set Up'!$J$15)*'[4]Set Up'!$N$16+'[4]Set Up'!$O$15,IF(AC8&lt;'[4]Set Up'!$J$17,(AC8-'[4]Set Up'!$J$16)*'[4]Set Up'!$N$17+'[4]Set Up'!$O$15+'[4]Set Up'!$O$16,(AC8-'[4]Set Up'!$J$17)*'[4]Set Up'!$N$18 + SUM('[4]Set Up'!$O$15:'[4]Set Up'!$O$17)))))</f>
        <v>337.4795741013661</v>
      </c>
      <c r="AD13" s="26">
        <f>IF(AD8="","",IF(AD8&lt;'[4]Set Up'!$J$15,AD8*'[4]Set Up'!$N$15,IF(AD8&lt;'[4]Set Up'!$J$16,(AD8-'[4]Set Up'!$J$15)*'[4]Set Up'!$N$16+'[4]Set Up'!$O$15,IF(AD8&lt;'[4]Set Up'!$J$17,(AD8-'[4]Set Up'!$J$16)*'[4]Set Up'!$N$17+'[4]Set Up'!$O$15+'[4]Set Up'!$O$16,(AD8-'[4]Set Up'!$J$17)*'[4]Set Up'!$N$18 + SUM('[4]Set Up'!$O$15:'[4]Set Up'!$O$17)))))</f>
        <v>334.47835304922319</v>
      </c>
      <c r="AE13" s="26">
        <f>IF(AE8="","",IF(AE8&lt;'[4]Set Up'!$J$15,AE8*'[4]Set Up'!$N$15,IF(AE8&lt;'[4]Set Up'!$J$16,(AE8-'[4]Set Up'!$J$15)*'[4]Set Up'!$N$16+'[4]Set Up'!$O$15,IF(AE8&lt;'[4]Set Up'!$J$17,(AE8-'[4]Set Up'!$J$16)*'[4]Set Up'!$N$17+'[4]Set Up'!$O$15+'[4]Set Up'!$O$16,(AE8-'[4]Set Up'!$J$17)*'[4]Set Up'!$N$18 + SUM('[4]Set Up'!$O$15:'[4]Set Up'!$O$17)))))</f>
        <v>331.47713199708028</v>
      </c>
      <c r="AF13" s="26">
        <f>IF(AF8="","",IF(AF8&lt;'[4]Set Up'!$J$15,AF8*'[4]Set Up'!$N$15,IF(AF8&lt;'[4]Set Up'!$J$16,(AF8-'[4]Set Up'!$J$15)*'[4]Set Up'!$N$16+'[4]Set Up'!$O$15,IF(AF8&lt;'[4]Set Up'!$J$17,(AF8-'[4]Set Up'!$J$16)*'[4]Set Up'!$N$17+'[4]Set Up'!$O$15+'[4]Set Up'!$O$16,(AF8-'[4]Set Up'!$J$17)*'[4]Set Up'!$N$18 + SUM('[4]Set Up'!$O$15:'[4]Set Up'!$O$17)))))</f>
        <v>328.47591094493737</v>
      </c>
      <c r="AG13" s="26">
        <f>IF(AG8="","",IF(AG8&lt;'[4]Set Up'!$J$15,AG8*'[4]Set Up'!$N$15,IF(AG8&lt;'[4]Set Up'!$J$16,(AG8-'[4]Set Up'!$J$15)*'[4]Set Up'!$N$16+'[4]Set Up'!$O$15,IF(AG8&lt;'[4]Set Up'!$J$17,(AG8-'[4]Set Up'!$J$16)*'[4]Set Up'!$N$17+'[4]Set Up'!$O$15+'[4]Set Up'!$O$16,(AG8-'[4]Set Up'!$J$17)*'[4]Set Up'!$N$18 + SUM('[4]Set Up'!$O$15:'[4]Set Up'!$O$17)))))</f>
        <v>325.47468989279452</v>
      </c>
      <c r="AH13" s="26">
        <f>IF(AH8="","",IF(AH8&lt;'[4]Set Up'!$J$15,AH8*'[4]Set Up'!$N$15,IF(AH8&lt;'[4]Set Up'!$J$16,(AH8-'[4]Set Up'!$J$15)*'[4]Set Up'!$N$16+'[4]Set Up'!$O$15,IF(AH8&lt;'[4]Set Up'!$J$17,(AH8-'[4]Set Up'!$J$16)*'[4]Set Up'!$N$17+'[4]Set Up'!$O$15+'[4]Set Up'!$O$16,(AH8-'[4]Set Up'!$J$17)*'[4]Set Up'!$N$18 + SUM('[4]Set Up'!$O$15:'[4]Set Up'!$O$17)))))</f>
        <v>322.47346884065161</v>
      </c>
      <c r="AI13" s="26">
        <f>IF(AI8="","",IF(AI8&lt;'[4]Set Up'!$J$15,AI8*'[4]Set Up'!$N$15,IF(AI8&lt;'[4]Set Up'!$J$16,(AI8-'[4]Set Up'!$J$15)*'[4]Set Up'!$N$16+'[4]Set Up'!$O$15,IF(AI8&lt;'[4]Set Up'!$J$17,(AI8-'[4]Set Up'!$J$16)*'[4]Set Up'!$N$17+'[4]Set Up'!$O$15+'[4]Set Up'!$O$16,(AI8-'[4]Set Up'!$J$17)*'[4]Set Up'!$N$18 + SUM('[4]Set Up'!$O$15:'[4]Set Up'!$O$17)))))</f>
        <v>319.47224778850875</v>
      </c>
      <c r="AJ13" s="26">
        <f>IF(AJ8="","",IF(AJ8&lt;'[4]Set Up'!$J$15,AJ8*'[4]Set Up'!$N$15,IF(AJ8&lt;'[4]Set Up'!$J$16,(AJ8-'[4]Set Up'!$J$15)*'[4]Set Up'!$N$16+'[4]Set Up'!$O$15,IF(AJ8&lt;'[4]Set Up'!$J$17,(AJ8-'[4]Set Up'!$J$16)*'[4]Set Up'!$N$17+'[4]Set Up'!$O$15+'[4]Set Up'!$O$16,(AJ8-'[4]Set Up'!$J$17)*'[4]Set Up'!$N$18 + SUM('[4]Set Up'!$O$15:'[4]Set Up'!$O$17)))))</f>
        <v>316.48595818438645</v>
      </c>
      <c r="AK13" s="26">
        <f>IF(AK8="","",IF(AK8&lt;'[4]Set Up'!$J$15,AK8*'[4]Set Up'!$N$15,IF(AK8&lt;'[4]Set Up'!$J$16,(AK8-'[4]Set Up'!$J$15)*'[4]Set Up'!$N$16+'[4]Set Up'!$O$15,IF(AK8&lt;'[4]Set Up'!$J$17,(AK8-'[4]Set Up'!$J$16)*'[4]Set Up'!$N$17+'[4]Set Up'!$O$15+'[4]Set Up'!$O$16,(AK8-'[4]Set Up'!$J$17)*'[4]Set Up'!$N$18 + SUM('[4]Set Up'!$O$15:'[4]Set Up'!$O$17)))))</f>
        <v>313.48473713224354</v>
      </c>
      <c r="AL13" s="26">
        <f>IF(AL8="","",IF(AL8&lt;'[4]Set Up'!$J$15,AL8*'[4]Set Up'!$N$15,IF(AL8&lt;'[4]Set Up'!$J$16,(AL8-'[4]Set Up'!$J$15)*'[4]Set Up'!$N$16+'[4]Set Up'!$O$15,IF(AL8&lt;'[4]Set Up'!$J$17,(AL8-'[4]Set Up'!$J$16)*'[4]Set Up'!$N$17+'[4]Set Up'!$O$15+'[4]Set Up'!$O$16,(AL8-'[4]Set Up'!$J$17)*'[4]Set Up'!$N$18 + SUM('[4]Set Up'!$O$15:'[4]Set Up'!$O$17)))))</f>
        <v>310.48351608010069</v>
      </c>
      <c r="AM13" s="26">
        <f>IF(AM8="","",IF(AM8&lt;'[4]Set Up'!$J$15,AM8*'[4]Set Up'!$N$15,IF(AM8&lt;'[4]Set Up'!$J$16,(AM8-'[4]Set Up'!$J$15)*'[4]Set Up'!$N$16+'[4]Set Up'!$O$15,IF(AM8&lt;'[4]Set Up'!$J$17,(AM8-'[4]Set Up'!$J$16)*'[4]Set Up'!$N$17+'[4]Set Up'!$O$15+'[4]Set Up'!$O$16,(AM8-'[4]Set Up'!$J$17)*'[4]Set Up'!$N$18 + SUM('[4]Set Up'!$O$15:'[4]Set Up'!$O$17)))))</f>
        <v>307.48229502795778</v>
      </c>
      <c r="AN13" s="26">
        <f>IF(AN8="","",IF(AN8&lt;'[4]Set Up'!$J$15,AN8*'[4]Set Up'!$N$15,IF(AN8&lt;'[4]Set Up'!$J$16,(AN8-'[4]Set Up'!$J$15)*'[4]Set Up'!$N$16+'[4]Set Up'!$O$15,IF(AN8&lt;'[4]Set Up'!$J$17,(AN8-'[4]Set Up'!$J$16)*'[4]Set Up'!$N$17+'[4]Set Up'!$O$15+'[4]Set Up'!$O$16,(AN8-'[4]Set Up'!$J$17)*'[4]Set Up'!$N$18 + SUM('[4]Set Up'!$O$15:'[4]Set Up'!$O$17)))))</f>
        <v>304.48107397581487</v>
      </c>
      <c r="AO13" s="26">
        <f>IF(AO8="","",IF(AO8&lt;'[4]Set Up'!$J$15,AO8*'[4]Set Up'!$N$15,IF(AO8&lt;'[4]Set Up'!$J$16,(AO8-'[4]Set Up'!$J$15)*'[4]Set Up'!$N$16+'[4]Set Up'!$O$15,IF(AO8&lt;'[4]Set Up'!$J$17,(AO8-'[4]Set Up'!$J$16)*'[4]Set Up'!$N$17+'[4]Set Up'!$O$15+'[4]Set Up'!$O$16,(AO8-'[4]Set Up'!$J$17)*'[4]Set Up'!$N$18 + SUM('[4]Set Up'!$O$15:'[4]Set Up'!$O$17)))))</f>
        <v>301.47985292367201</v>
      </c>
      <c r="AP13" s="26">
        <f>IF(AP8="","",IF(AP8&lt;'[4]Set Up'!$J$15,AP8*'[4]Set Up'!$N$15,IF(AP8&lt;'[4]Set Up'!$J$16,(AP8-'[4]Set Up'!$J$15)*'[4]Set Up'!$N$16+'[4]Set Up'!$O$15,IF(AP8&lt;'[4]Set Up'!$J$17,(AP8-'[4]Set Up'!$J$16)*'[4]Set Up'!$N$17+'[4]Set Up'!$O$15+'[4]Set Up'!$O$16,(AP8-'[4]Set Up'!$J$17)*'[4]Set Up'!$N$18 + SUM('[4]Set Up'!$O$15:'[4]Set Up'!$O$17)))))</f>
        <v>298.49356331954971</v>
      </c>
      <c r="AQ13" s="26">
        <f>IF(AQ8="","",IF(AQ8&lt;'[4]Set Up'!$J$15,AQ8*'[4]Set Up'!$N$15,IF(AQ8&lt;'[4]Set Up'!$J$16,(AQ8-'[4]Set Up'!$J$15)*'[4]Set Up'!$N$16+'[4]Set Up'!$O$15,IF(AQ8&lt;'[4]Set Up'!$J$17,(AQ8-'[4]Set Up'!$J$16)*'[4]Set Up'!$N$17+'[4]Set Up'!$O$15+'[4]Set Up'!$O$16,(AQ8-'[4]Set Up'!$J$17)*'[4]Set Up'!$N$18 + SUM('[4]Set Up'!$O$15:'[4]Set Up'!$O$17)))))</f>
        <v>295.49234226740685</v>
      </c>
      <c r="AR13" s="26">
        <f>IF(AR8="","",IF(AR8&lt;'[4]Set Up'!$J$15,AR8*'[4]Set Up'!$N$15,IF(AR8&lt;'[4]Set Up'!$J$16,(AR8-'[4]Set Up'!$J$15)*'[4]Set Up'!$N$16+'[4]Set Up'!$O$15,IF(AR8&lt;'[4]Set Up'!$J$17,(AR8-'[4]Set Up'!$J$16)*'[4]Set Up'!$N$17+'[4]Set Up'!$O$15+'[4]Set Up'!$O$16,(AR8-'[4]Set Up'!$J$17)*'[4]Set Up'!$N$18 + SUM('[4]Set Up'!$O$15:'[4]Set Up'!$O$17)))))</f>
        <v>292.49112121526395</v>
      </c>
      <c r="AS13" s="26">
        <f>IF(AS8="","",IF(AS8&lt;'[4]Set Up'!$J$15,AS8*'[4]Set Up'!$N$15,IF(AS8&lt;'[4]Set Up'!$J$16,(AS8-'[4]Set Up'!$J$15)*'[4]Set Up'!$N$16+'[4]Set Up'!$O$15,IF(AS8&lt;'[4]Set Up'!$J$17,(AS8-'[4]Set Up'!$J$16)*'[4]Set Up'!$N$17+'[4]Set Up'!$O$15+'[4]Set Up'!$O$16,(AS8-'[4]Set Up'!$J$17)*'[4]Set Up'!$N$18 + SUM('[4]Set Up'!$O$15:'[4]Set Up'!$O$17)))))</f>
        <v>289.48990016312104</v>
      </c>
      <c r="AT13" s="26">
        <f>IF(AT8="","",IF(AT8&lt;'[4]Set Up'!$J$15,AT8*'[4]Set Up'!$N$15,IF(AT8&lt;'[4]Set Up'!$J$16,(AT8-'[4]Set Up'!$J$15)*'[4]Set Up'!$N$16+'[4]Set Up'!$O$15,IF(AT8&lt;'[4]Set Up'!$J$17,(AT8-'[4]Set Up'!$J$16)*'[4]Set Up'!$N$17+'[4]Set Up'!$O$15+'[4]Set Up'!$O$16,(AT8-'[4]Set Up'!$J$17)*'[4]Set Up'!$N$18 + SUM('[4]Set Up'!$O$15:'[4]Set Up'!$O$17)))))</f>
        <v>286.48867911097818</v>
      </c>
      <c r="AU13" s="26">
        <f>IF(AU8="","",IF(AU8&lt;'[4]Set Up'!$J$15,AU8*'[4]Set Up'!$N$15,IF(AU8&lt;'[4]Set Up'!$J$16,(AU8-'[4]Set Up'!$J$15)*'[4]Set Up'!$N$16+'[4]Set Up'!$O$15,IF(AU8&lt;'[4]Set Up'!$J$17,(AU8-'[4]Set Up'!$J$16)*'[4]Set Up'!$N$17+'[4]Set Up'!$O$15+'[4]Set Up'!$O$16,(AU8-'[4]Set Up'!$J$17)*'[4]Set Up'!$N$18 + SUM('[4]Set Up'!$O$15:'[4]Set Up'!$O$17)))))</f>
        <v>283.48745805883527</v>
      </c>
      <c r="AV13" s="26">
        <f>IF(AV8="","",IF(AV8&lt;'[4]Set Up'!$J$15,AV8*'[4]Set Up'!$N$15,IF(AV8&lt;'[4]Set Up'!$J$16,(AV8-'[4]Set Up'!$J$15)*'[4]Set Up'!$N$16+'[4]Set Up'!$O$15,IF(AV8&lt;'[4]Set Up'!$J$17,(AV8-'[4]Set Up'!$J$16)*'[4]Set Up'!$N$17+'[4]Set Up'!$O$15+'[4]Set Up'!$O$16,(AV8-'[4]Set Up'!$J$17)*'[4]Set Up'!$N$18 + SUM('[4]Set Up'!$O$15:'[4]Set Up'!$O$17)))))</f>
        <v>280.50116845471297</v>
      </c>
      <c r="AW13" s="26">
        <f>IF(AW8="","",IF(AW8&lt;'[4]Set Up'!$J$15,AW8*'[4]Set Up'!$N$15,IF(AW8&lt;'[4]Set Up'!$J$16,(AW8-'[4]Set Up'!$J$15)*'[4]Set Up'!$N$16+'[4]Set Up'!$O$15,IF(AW8&lt;'[4]Set Up'!$J$17,(AW8-'[4]Set Up'!$J$16)*'[4]Set Up'!$N$17+'[4]Set Up'!$O$15+'[4]Set Up'!$O$16,(AW8-'[4]Set Up'!$J$17)*'[4]Set Up'!$N$18 + SUM('[4]Set Up'!$O$15:'[4]Set Up'!$O$17)))))</f>
        <v>277.49994740257011</v>
      </c>
      <c r="AX13" s="26">
        <f>IF(AX8="","",IF(AX8&lt;'[4]Set Up'!$J$15,AX8*'[4]Set Up'!$N$15,IF(AX8&lt;'[4]Set Up'!$J$16,(AX8-'[4]Set Up'!$J$15)*'[4]Set Up'!$N$16+'[4]Set Up'!$O$15,IF(AX8&lt;'[4]Set Up'!$J$17,(AX8-'[4]Set Up'!$J$16)*'[4]Set Up'!$N$17+'[4]Set Up'!$O$15+'[4]Set Up'!$O$16,(AX8-'[4]Set Up'!$J$17)*'[4]Set Up'!$N$18 + SUM('[4]Set Up'!$O$15:'[4]Set Up'!$O$17)))))</f>
        <v>274.49872635042721</v>
      </c>
      <c r="AY13" s="26">
        <f>IF(AY8="","",IF(AY8&lt;'[4]Set Up'!$J$15,AY8*'[4]Set Up'!$N$15,IF(AY8&lt;'[4]Set Up'!$J$16,(AY8-'[4]Set Up'!$J$15)*'[4]Set Up'!$N$16+'[4]Set Up'!$O$15,IF(AY8&lt;'[4]Set Up'!$J$17,(AY8-'[4]Set Up'!$J$16)*'[4]Set Up'!$N$17+'[4]Set Up'!$O$15+'[4]Set Up'!$O$16,(AY8-'[4]Set Up'!$J$17)*'[4]Set Up'!$N$18 + SUM('[4]Set Up'!$O$15:'[4]Set Up'!$O$17)))))</f>
        <v>271.4975052982843</v>
      </c>
      <c r="AZ13" s="26">
        <f>IF(AZ8="","",IF(AZ8&lt;'[4]Set Up'!$J$15,AZ8*'[4]Set Up'!$N$15,IF(AZ8&lt;'[4]Set Up'!$J$16,(AZ8-'[4]Set Up'!$J$15)*'[4]Set Up'!$N$16+'[4]Set Up'!$O$15,IF(AZ8&lt;'[4]Set Up'!$J$17,(AZ8-'[4]Set Up'!$J$16)*'[4]Set Up'!$N$17+'[4]Set Up'!$O$15+'[4]Set Up'!$O$16,(AZ8-'[4]Set Up'!$J$17)*'[4]Set Up'!$N$18 + SUM('[4]Set Up'!$O$15:'[4]Set Up'!$O$17)))))</f>
        <v>268.49628424614144</v>
      </c>
      <c r="BA13" s="26">
        <f>IF(BA8="","",IF(BA8&lt;'[4]Set Up'!$J$15,BA8*'[4]Set Up'!$N$15,IF(BA8&lt;'[4]Set Up'!$J$16,(BA8-'[4]Set Up'!$J$15)*'[4]Set Up'!$N$16+'[4]Set Up'!$O$15,IF(BA8&lt;'[4]Set Up'!$J$17,(BA8-'[4]Set Up'!$J$16)*'[4]Set Up'!$N$17+'[4]Set Up'!$O$15+'[4]Set Up'!$O$16,(BA8-'[4]Set Up'!$J$17)*'[4]Set Up'!$N$18 + SUM('[4]Set Up'!$O$15:'[4]Set Up'!$O$17)))))</f>
        <v>265.49506319399853</v>
      </c>
      <c r="BB13" s="26">
        <f>IF(BB8="","",IF(BB8&lt;'[4]Set Up'!$J$15,BB8*'[4]Set Up'!$N$15,IF(BB8&lt;'[4]Set Up'!$J$16,(BB8-'[4]Set Up'!$J$15)*'[4]Set Up'!$N$16+'[4]Set Up'!$O$15,IF(BB8&lt;'[4]Set Up'!$J$17,(BB8-'[4]Set Up'!$J$16)*'[4]Set Up'!$N$17+'[4]Set Up'!$O$15+'[4]Set Up'!$O$16,(BB8-'[4]Set Up'!$J$17)*'[4]Set Up'!$N$18 + SUM('[4]Set Up'!$O$15:'[4]Set Up'!$O$17)))))</f>
        <v>262.50877358987628</v>
      </c>
      <c r="BC13" s="26">
        <f>IF(BC8="","",IF(BC8&lt;'[4]Set Up'!$J$15,BC8*'[4]Set Up'!$N$15,IF(BC8&lt;'[4]Set Up'!$J$16,(BC8-'[4]Set Up'!$J$15)*'[4]Set Up'!$N$16+'[4]Set Up'!$O$15,IF(BC8&lt;'[4]Set Up'!$J$17,(BC8-'[4]Set Up'!$J$16)*'[4]Set Up'!$N$17+'[4]Set Up'!$O$15+'[4]Set Up'!$O$16,(BC8-'[4]Set Up'!$J$17)*'[4]Set Up'!$N$18 + SUM('[4]Set Up'!$O$15:'[4]Set Up'!$O$17)))))</f>
        <v>259.50755253773337</v>
      </c>
      <c r="BD13" s="26">
        <f>IF(BD8="","",IF(BD8&lt;'[4]Set Up'!$J$15,BD8*'[4]Set Up'!$N$15,IF(BD8&lt;'[4]Set Up'!$J$16,(BD8-'[4]Set Up'!$J$15)*'[4]Set Up'!$N$16+'[4]Set Up'!$O$15,IF(BD8&lt;'[4]Set Up'!$J$17,(BD8-'[4]Set Up'!$J$16)*'[4]Set Up'!$N$17+'[4]Set Up'!$O$15+'[4]Set Up'!$O$16,(BD8-'[4]Set Up'!$J$17)*'[4]Set Up'!$N$18 + SUM('[4]Set Up'!$O$15:'[4]Set Up'!$O$17)))))</f>
        <v>0</v>
      </c>
      <c r="BE13" s="26">
        <f>IF(BE8="","",IF(BE8&lt;'[4]Set Up'!$J$15,BE8*'[4]Set Up'!$N$15,IF(BE8&lt;'[4]Set Up'!$J$16,(BE8-'[4]Set Up'!$J$15)*'[4]Set Up'!$N$16+'[4]Set Up'!$O$15,IF(BE8&lt;'[4]Set Up'!$J$17,(BE8-'[4]Set Up'!$J$16)*'[4]Set Up'!$N$17+'[4]Set Up'!$O$15+'[4]Set Up'!$O$16,(BE8-'[4]Set Up'!$J$17)*'[4]Set Up'!$N$18 + SUM('[4]Set Up'!$O$15:'[4]Set Up'!$O$17)))))</f>
        <v>0</v>
      </c>
      <c r="BF13" s="26">
        <f>IF(BF8="","",IF(BF8&lt;'[4]Set Up'!$J$15,BF8*'[4]Set Up'!$N$15,IF(BF8&lt;'[4]Set Up'!$J$16,(BF8-'[4]Set Up'!$J$15)*'[4]Set Up'!$N$16+'[4]Set Up'!$O$15,IF(BF8&lt;'[4]Set Up'!$J$17,(BF8-'[4]Set Up'!$J$16)*'[4]Set Up'!$N$17+'[4]Set Up'!$O$15+'[4]Set Up'!$O$16,(BF8-'[4]Set Up'!$J$17)*'[4]Set Up'!$N$18 + SUM('[4]Set Up'!$O$15:'[4]Set Up'!$O$17)))))</f>
        <v>0</v>
      </c>
      <c r="BG13" s="26">
        <f>IF(BG8="","",IF(BG8&lt;'[4]Set Up'!$J$15,BG8*'[4]Set Up'!$N$15,IF(BG8&lt;'[4]Set Up'!$J$16,(BG8-'[4]Set Up'!$J$15)*'[4]Set Up'!$N$16+'[4]Set Up'!$O$15,IF(BG8&lt;'[4]Set Up'!$J$17,(BG8-'[4]Set Up'!$J$16)*'[4]Set Up'!$N$17+'[4]Set Up'!$O$15+'[4]Set Up'!$O$16,(BG8-'[4]Set Up'!$J$17)*'[4]Set Up'!$N$18 + SUM('[4]Set Up'!$O$15:'[4]Set Up'!$O$17)))))</f>
        <v>0</v>
      </c>
      <c r="BH13" s="26">
        <f>IF(BH8="","",IF(BH8&lt;'[4]Set Up'!$J$15,BH8*'[4]Set Up'!$N$15,IF(BH8&lt;'[4]Set Up'!$J$16,(BH8-'[4]Set Up'!$J$15)*'[4]Set Up'!$N$16+'[4]Set Up'!$O$15,IF(BH8&lt;'[4]Set Up'!$J$17,(BH8-'[4]Set Up'!$J$16)*'[4]Set Up'!$N$17+'[4]Set Up'!$O$15+'[4]Set Up'!$O$16,(BH8-'[4]Set Up'!$J$17)*'[4]Set Up'!$N$18 + SUM('[4]Set Up'!$O$15:'[4]Set Up'!$O$17)))))</f>
        <v>0</v>
      </c>
      <c r="BI13" s="26">
        <f>IF(BI8="","",IF(BI8&lt;'[4]Set Up'!$J$15,BI8*'[4]Set Up'!$N$15,IF(BI8&lt;'[4]Set Up'!$J$16,(BI8-'[4]Set Up'!$J$15)*'[4]Set Up'!$N$16+'[4]Set Up'!$O$15,IF(BI8&lt;'[4]Set Up'!$J$17,(BI8-'[4]Set Up'!$J$16)*'[4]Set Up'!$N$17+'[4]Set Up'!$O$15+'[4]Set Up'!$O$16,(BI8-'[4]Set Up'!$J$17)*'[4]Set Up'!$N$18 + SUM('[4]Set Up'!$O$15:'[4]Set Up'!$O$17)))))</f>
        <v>0</v>
      </c>
      <c r="BJ13" s="26">
        <f>IF(BJ8="","",IF(BJ8&lt;'[4]Set Up'!$J$15,BJ8*'[4]Set Up'!$N$15,IF(BJ8&lt;'[4]Set Up'!$J$16,(BJ8-'[4]Set Up'!$J$15)*'[4]Set Up'!$N$16+'[4]Set Up'!$O$15,IF(BJ8&lt;'[4]Set Up'!$J$17,(BJ8-'[4]Set Up'!$J$16)*'[4]Set Up'!$N$17+'[4]Set Up'!$O$15+'[4]Set Up'!$O$16,(BJ8-'[4]Set Up'!$J$17)*'[4]Set Up'!$N$18 + SUM('[4]Set Up'!$O$15:'[4]Set Up'!$O$17)))))</f>
        <v>0</v>
      </c>
      <c r="BK13" s="26">
        <f>IF(BK8="","",IF(BK8&lt;'[4]Set Up'!$J$15,BK8*'[4]Set Up'!$N$15,IF(BK8&lt;'[4]Set Up'!$J$16,(BK8-'[4]Set Up'!$J$15)*'[4]Set Up'!$N$16+'[4]Set Up'!$O$15,IF(BK8&lt;'[4]Set Up'!$J$17,(BK8-'[4]Set Up'!$J$16)*'[4]Set Up'!$N$17+'[4]Set Up'!$O$15+'[4]Set Up'!$O$16,(BK8-'[4]Set Up'!$J$17)*'[4]Set Up'!$N$18 + SUM('[4]Set Up'!$O$15:'[4]Set Up'!$O$17)))))</f>
        <v>0</v>
      </c>
      <c r="BL13" s="26">
        <f>IF(BL8="","",IF(BL8&lt;'[4]Set Up'!$J$15,BL8*'[4]Set Up'!$N$15,IF(BL8&lt;'[4]Set Up'!$J$16,(BL8-'[4]Set Up'!$J$15)*'[4]Set Up'!$N$16+'[4]Set Up'!$O$15,IF(BL8&lt;'[4]Set Up'!$J$17,(BL8-'[4]Set Up'!$J$16)*'[4]Set Up'!$N$17+'[4]Set Up'!$O$15+'[4]Set Up'!$O$16,(BL8-'[4]Set Up'!$J$17)*'[4]Set Up'!$N$18 + SUM('[4]Set Up'!$O$15:'[4]Set Up'!$O$17)))))</f>
        <v>0</v>
      </c>
      <c r="BM13" s="26">
        <f>IF(BM8="","",IF(BM8&lt;'[4]Set Up'!$J$15,BM8*'[4]Set Up'!$N$15,IF(BM8&lt;'[4]Set Up'!$J$16,(BM8-'[4]Set Up'!$J$15)*'[4]Set Up'!$N$16+'[4]Set Up'!$O$15,IF(BM8&lt;'[4]Set Up'!$J$17,(BM8-'[4]Set Up'!$J$16)*'[4]Set Up'!$N$17+'[4]Set Up'!$O$15+'[4]Set Up'!$O$16,(BM8-'[4]Set Up'!$J$17)*'[4]Set Up'!$N$18 + SUM('[4]Set Up'!$O$15:'[4]Set Up'!$O$17)))))</f>
        <v>0</v>
      </c>
      <c r="BN13" s="26">
        <f>IF(BN8="","",IF(BN8&lt;'[4]Set Up'!$J$15,BN8*'[4]Set Up'!$N$15,IF(BN8&lt;'[4]Set Up'!$J$16,(BN8-'[4]Set Up'!$J$15)*'[4]Set Up'!$N$16+'[4]Set Up'!$O$15,IF(BN8&lt;'[4]Set Up'!$J$17,(BN8-'[4]Set Up'!$J$16)*'[4]Set Up'!$N$17+'[4]Set Up'!$O$15+'[4]Set Up'!$O$16,(BN8-'[4]Set Up'!$J$17)*'[4]Set Up'!$N$18 + SUM('[4]Set Up'!$O$15:'[4]Set Up'!$O$17)))))</f>
        <v>0</v>
      </c>
      <c r="BO13" s="26">
        <f>IF(BO8="","",IF(BO8&lt;'[4]Set Up'!$J$15,BO8*'[4]Set Up'!$N$15,IF(BO8&lt;'[4]Set Up'!$J$16,(BO8-'[4]Set Up'!$J$15)*'[4]Set Up'!$N$16+'[4]Set Up'!$O$15,IF(BO8&lt;'[4]Set Up'!$J$17,(BO8-'[4]Set Up'!$J$16)*'[4]Set Up'!$N$17+'[4]Set Up'!$O$15+'[4]Set Up'!$O$16,(BO8-'[4]Set Up'!$J$17)*'[4]Set Up'!$N$18 + SUM('[4]Set Up'!$O$15:'[4]Set Up'!$O$17)))))</f>
        <v>0</v>
      </c>
      <c r="BP13" s="26">
        <f>IF(BP8="","",IF(BP8&lt;'[4]Set Up'!$J$15,BP8*'[4]Set Up'!$N$15,IF(BP8&lt;'[4]Set Up'!$J$16,(BP8-'[4]Set Up'!$J$15)*'[4]Set Up'!$N$16+'[4]Set Up'!$O$15,IF(BP8&lt;'[4]Set Up'!$J$17,(BP8-'[4]Set Up'!$J$16)*'[4]Set Up'!$N$17+'[4]Set Up'!$O$15+'[4]Set Up'!$O$16,(BP8-'[4]Set Up'!$J$17)*'[4]Set Up'!$N$18 + SUM('[4]Set Up'!$O$15:'[4]Set Up'!$O$17)))))</f>
        <v>0</v>
      </c>
      <c r="BQ13" s="26">
        <f>IF(BQ8="","",IF(BQ8&lt;'[4]Set Up'!$J$15,BQ8*'[4]Set Up'!$N$15,IF(BQ8&lt;'[4]Set Up'!$J$16,(BQ8-'[4]Set Up'!$J$15)*'[4]Set Up'!$N$16+'[4]Set Up'!$O$15,IF(BQ8&lt;'[4]Set Up'!$J$17,(BQ8-'[4]Set Up'!$J$16)*'[4]Set Up'!$N$17+'[4]Set Up'!$O$15+'[4]Set Up'!$O$16,(BQ8-'[4]Set Up'!$J$17)*'[4]Set Up'!$N$18 + SUM('[4]Set Up'!$O$15:'[4]Set Up'!$O$17)))))</f>
        <v>0</v>
      </c>
      <c r="BR13" s="26">
        <f>IF(BR8="","",IF(BR8&lt;'[4]Set Up'!$J$15,BR8*'[4]Set Up'!$N$15,IF(BR8&lt;'[4]Set Up'!$J$16,(BR8-'[4]Set Up'!$J$15)*'[4]Set Up'!$N$16+'[4]Set Up'!$O$15,IF(BR8&lt;'[4]Set Up'!$J$17,(BR8-'[4]Set Up'!$J$16)*'[4]Set Up'!$N$17+'[4]Set Up'!$O$15+'[4]Set Up'!$O$16,(BR8-'[4]Set Up'!$J$17)*'[4]Set Up'!$N$18 + SUM('[4]Set Up'!$O$15:'[4]Set Up'!$O$17)))))</f>
        <v>0</v>
      </c>
      <c r="BS13" s="26">
        <f>IF(BS8="","",IF(BS8&lt;'[4]Set Up'!$J$15,BS8*'[4]Set Up'!$N$15,IF(BS8&lt;'[4]Set Up'!$J$16,(BS8-'[4]Set Up'!$J$15)*'[4]Set Up'!$N$16+'[4]Set Up'!$O$15,IF(BS8&lt;'[4]Set Up'!$J$17,(BS8-'[4]Set Up'!$J$16)*'[4]Set Up'!$N$17+'[4]Set Up'!$O$15+'[4]Set Up'!$O$16,(BS8-'[4]Set Up'!$J$17)*'[4]Set Up'!$N$18 + SUM('[4]Set Up'!$O$15:'[4]Set Up'!$O$17)))))</f>
        <v>0</v>
      </c>
      <c r="BT13" s="26">
        <f>IF(BT8="","",IF(BT8&lt;'[4]Set Up'!$J$15,BT8*'[4]Set Up'!$N$15,IF(BT8&lt;'[4]Set Up'!$J$16,(BT8-'[4]Set Up'!$J$15)*'[4]Set Up'!$N$16+'[4]Set Up'!$O$15,IF(BT8&lt;'[4]Set Up'!$J$17,(BT8-'[4]Set Up'!$J$16)*'[4]Set Up'!$N$17+'[4]Set Up'!$O$15+'[4]Set Up'!$O$16,(BT8-'[4]Set Up'!$J$17)*'[4]Set Up'!$N$18 + SUM('[4]Set Up'!$O$15:'[4]Set Up'!$O$17)))))</f>
        <v>0</v>
      </c>
      <c r="BU13" s="26">
        <f>IF(BU8="","",IF(BU8&lt;'[4]Set Up'!$J$15,BU8*'[4]Set Up'!$N$15,IF(BU8&lt;'[4]Set Up'!$J$16,(BU8-'[4]Set Up'!$J$15)*'[4]Set Up'!$N$16+'[4]Set Up'!$O$15,IF(BU8&lt;'[4]Set Up'!$J$17,(BU8-'[4]Set Up'!$J$16)*'[4]Set Up'!$N$17+'[4]Set Up'!$O$15+'[4]Set Up'!$O$16,(BU8-'[4]Set Up'!$J$17)*'[4]Set Up'!$N$18 + SUM('[4]Set Up'!$O$15:'[4]Set Up'!$O$17)))))</f>
        <v>0</v>
      </c>
      <c r="BV13" s="26">
        <f>IF(BV8="","",IF(BV8&lt;'[4]Set Up'!$J$15,BV8*'[4]Set Up'!$N$15,IF(BV8&lt;'[4]Set Up'!$J$16,(BV8-'[4]Set Up'!$J$15)*'[4]Set Up'!$N$16+'[4]Set Up'!$O$15,IF(BV8&lt;'[4]Set Up'!$J$17,(BV8-'[4]Set Up'!$J$16)*'[4]Set Up'!$N$17+'[4]Set Up'!$O$15+'[4]Set Up'!$O$16,(BV8-'[4]Set Up'!$J$17)*'[4]Set Up'!$N$18 + SUM('[4]Set Up'!$O$15:'[4]Set Up'!$O$17)))))</f>
        <v>0</v>
      </c>
      <c r="BW13" s="26">
        <f>IF(BW8="","",IF(BW8&lt;'[4]Set Up'!$J$15,BW8*'[4]Set Up'!$N$15,IF(BW8&lt;'[4]Set Up'!$J$16,(BW8-'[4]Set Up'!$J$15)*'[4]Set Up'!$N$16+'[4]Set Up'!$O$15,IF(BW8&lt;'[4]Set Up'!$J$17,(BW8-'[4]Set Up'!$J$16)*'[4]Set Up'!$N$17+'[4]Set Up'!$O$15+'[4]Set Up'!$O$16,(BW8-'[4]Set Up'!$J$17)*'[4]Set Up'!$N$18 + SUM('[4]Set Up'!$O$15:'[4]Set Up'!$O$17)))))</f>
        <v>0</v>
      </c>
      <c r="BX13" s="26">
        <f>IF(BX8="","",IF(BX8&lt;'[4]Set Up'!$J$15,BX8*'[4]Set Up'!$N$15,IF(BX8&lt;'[4]Set Up'!$J$16,(BX8-'[4]Set Up'!$J$15)*'[4]Set Up'!$N$16+'[4]Set Up'!$O$15,IF(BX8&lt;'[4]Set Up'!$J$17,(BX8-'[4]Set Up'!$J$16)*'[4]Set Up'!$N$17+'[4]Set Up'!$O$15+'[4]Set Up'!$O$16,(BX8-'[4]Set Up'!$J$17)*'[4]Set Up'!$N$18 + SUM('[4]Set Up'!$O$15:'[4]Set Up'!$O$17)))))</f>
        <v>0</v>
      </c>
      <c r="BY13" s="26">
        <f>IF(BY8="","",IF(BY8&lt;'[4]Set Up'!$J$15,BY8*'[4]Set Up'!$N$15,IF(BY8&lt;'[4]Set Up'!$J$16,(BY8-'[4]Set Up'!$J$15)*'[4]Set Up'!$N$16+'[4]Set Up'!$O$15,IF(BY8&lt;'[4]Set Up'!$J$17,(BY8-'[4]Set Up'!$J$16)*'[4]Set Up'!$N$17+'[4]Set Up'!$O$15+'[4]Set Up'!$O$16,(BY8-'[4]Set Up'!$J$17)*'[4]Set Up'!$N$18 + SUM('[4]Set Up'!$O$15:'[4]Set Up'!$O$17)))))</f>
        <v>0</v>
      </c>
      <c r="BZ13" s="8"/>
    </row>
    <row r="14" spans="1:78" x14ac:dyDescent="0.35">
      <c r="A14" s="27" t="s">
        <v>21</v>
      </c>
      <c r="B14" s="195"/>
      <c r="C14" s="28">
        <f>IF(C9="","",IF(C9&lt;'[4]Set Up'!$J$15,C9*'[4]Set Up'!$N$15,IF(C9&lt;'[4]Set Up'!$J$16,(C9-'[4]Set Up'!$J$15)*'[4]Set Up'!$N$16+'[4]Set Up'!$O$15,IF(C9&lt;'[4]Set Up'!$J$17,(C9-'[4]Set Up'!$J$16)*'[4]Set Up'!$N$17+'[4]Set Up'!$O$15+'[4]Set Up'!$O$16,(C9-'[4]Set Up'!$J$17)*'[4]Set Up'!$N$18 + SUM('[4]Set Up'!$O$15:'[4]Set Up'!$O$17)))))</f>
        <v>417.85555879631721</v>
      </c>
      <c r="D14" s="28">
        <f>IF(D9="","",IF(D9&lt;'[4]Set Up'!$J$15,D9*'[4]Set Up'!$N$15,IF(D9&lt;'[4]Set Up'!$J$16,(D9-'[4]Set Up'!$J$15)*'[4]Set Up'!$N$16+'[4]Set Up'!$O$15,IF(D9&lt;'[4]Set Up'!$J$17,(D9-'[4]Set Up'!$J$16)*'[4]Set Up'!$N$17+'[4]Set Up'!$O$15+'[4]Set Up'!$O$16,(D9-'[4]Set Up'!$J$17)*'[4]Set Up'!$N$18 + SUM('[4]Set Up'!$O$15:'[4]Set Up'!$O$17)))))</f>
        <v>414.85433774417436</v>
      </c>
      <c r="E14" s="28">
        <f>IF(E9="","",IF(E9&lt;'[4]Set Up'!$J$15,E9*'[4]Set Up'!$N$15,IF(E9&lt;'[4]Set Up'!$J$16,(E9-'[4]Set Up'!$J$15)*'[4]Set Up'!$N$16+'[4]Set Up'!$O$15,IF(E9&lt;'[4]Set Up'!$J$17,(E9-'[4]Set Up'!$J$16)*'[4]Set Up'!$N$17+'[4]Set Up'!$O$15+'[4]Set Up'!$O$16,(E9-'[4]Set Up'!$J$17)*'[4]Set Up'!$N$18 + SUM('[4]Set Up'!$O$15:'[4]Set Up'!$O$17)))))</f>
        <v>411.85311669203145</v>
      </c>
      <c r="F14" s="28">
        <f>IF(F9="","",IF(F9&lt;'[4]Set Up'!$J$15,F9*'[4]Set Up'!$N$15,IF(F9&lt;'[4]Set Up'!$J$16,(F9-'[4]Set Up'!$J$15)*'[4]Set Up'!$N$16+'[4]Set Up'!$O$15,IF(F9&lt;'[4]Set Up'!$J$17,(F9-'[4]Set Up'!$J$16)*'[4]Set Up'!$N$17+'[4]Set Up'!$O$15+'[4]Set Up'!$O$16,(F9-'[4]Set Up'!$J$17)*'[4]Set Up'!$N$18 + SUM('[4]Set Up'!$O$15:'[4]Set Up'!$O$17)))))</f>
        <v>408.86682708790914</v>
      </c>
      <c r="G14" s="28">
        <f>IF(G9="","",IF(G9&lt;'[4]Set Up'!$J$15,G9*'[4]Set Up'!$N$15,IF(G9&lt;'[4]Set Up'!$J$16,(G9-'[4]Set Up'!$J$15)*'[4]Set Up'!$N$16+'[4]Set Up'!$O$15,IF(G9&lt;'[4]Set Up'!$J$17,(G9-'[4]Set Up'!$J$16)*'[4]Set Up'!$N$17+'[4]Set Up'!$O$15+'[4]Set Up'!$O$16,(G9-'[4]Set Up'!$J$17)*'[4]Set Up'!$N$18 + SUM('[4]Set Up'!$O$15:'[4]Set Up'!$O$17)))))</f>
        <v>405.86560603576629</v>
      </c>
      <c r="H14" s="28">
        <f>IF(H9="","",IF(H9&lt;'[4]Set Up'!$J$15,H9*'[4]Set Up'!$N$15,IF(H9&lt;'[4]Set Up'!$J$16,(H9-'[4]Set Up'!$J$15)*'[4]Set Up'!$N$16+'[4]Set Up'!$O$15,IF(H9&lt;'[4]Set Up'!$J$17,(H9-'[4]Set Up'!$J$16)*'[4]Set Up'!$N$17+'[4]Set Up'!$O$15+'[4]Set Up'!$O$16,(H9-'[4]Set Up'!$J$17)*'[4]Set Up'!$N$18 + SUM('[4]Set Up'!$O$15:'[4]Set Up'!$O$17)))))</f>
        <v>402.86438498362338</v>
      </c>
      <c r="I14" s="28">
        <f>IF(I9="","",IF(I9&lt;'[4]Set Up'!$J$15,I9*'[4]Set Up'!$N$15,IF(I9&lt;'[4]Set Up'!$J$16,(I9-'[4]Set Up'!$J$15)*'[4]Set Up'!$N$16+'[4]Set Up'!$O$15,IF(I9&lt;'[4]Set Up'!$J$17,(I9-'[4]Set Up'!$J$16)*'[4]Set Up'!$N$17+'[4]Set Up'!$O$15+'[4]Set Up'!$O$16,(I9-'[4]Set Up'!$J$17)*'[4]Set Up'!$N$18 + SUM('[4]Set Up'!$O$15:'[4]Set Up'!$O$17)))))</f>
        <v>399.86316393148047</v>
      </c>
      <c r="J14" s="28">
        <f>IF(J9="","",IF(J9&lt;'[4]Set Up'!$J$15,J9*'[4]Set Up'!$N$15,IF(J9&lt;'[4]Set Up'!$J$16,(J9-'[4]Set Up'!$J$15)*'[4]Set Up'!$N$16+'[4]Set Up'!$O$15,IF(J9&lt;'[4]Set Up'!$J$17,(J9-'[4]Set Up'!$J$16)*'[4]Set Up'!$N$17+'[4]Set Up'!$O$15+'[4]Set Up'!$O$16,(J9-'[4]Set Up'!$J$17)*'[4]Set Up'!$N$18 + SUM('[4]Set Up'!$O$15:'[4]Set Up'!$O$17)))))</f>
        <v>396.86194287933756</v>
      </c>
      <c r="K14" s="28">
        <f>IF(K9="","",IF(K9&lt;'[4]Set Up'!$J$15,K9*'[4]Set Up'!$N$15,IF(K9&lt;'[4]Set Up'!$J$16,(K9-'[4]Set Up'!$J$15)*'[4]Set Up'!$N$16+'[4]Set Up'!$O$15,IF(K9&lt;'[4]Set Up'!$J$17,(K9-'[4]Set Up'!$J$16)*'[4]Set Up'!$N$17+'[4]Set Up'!$O$15+'[4]Set Up'!$O$16,(K9-'[4]Set Up'!$J$17)*'[4]Set Up'!$N$18 + SUM('[4]Set Up'!$O$15:'[4]Set Up'!$O$17)))))</f>
        <v>393.86072182719471</v>
      </c>
      <c r="L14" s="28">
        <f>IF(L9="","",IF(L9&lt;'[4]Set Up'!$J$15,L9*'[4]Set Up'!$N$15,IF(L9&lt;'[4]Set Up'!$J$16,(L9-'[4]Set Up'!$J$15)*'[4]Set Up'!$N$16+'[4]Set Up'!$O$15,IF(L9&lt;'[4]Set Up'!$J$17,(L9-'[4]Set Up'!$J$16)*'[4]Set Up'!$N$17+'[4]Set Up'!$O$15+'[4]Set Up'!$O$16,(L9-'[4]Set Up'!$J$17)*'[4]Set Up'!$N$18 + SUM('[4]Set Up'!$O$15:'[4]Set Up'!$O$17)))))</f>
        <v>390.8744322230724</v>
      </c>
      <c r="M14" s="28">
        <f>IF(M9="","",IF(M9&lt;'[4]Set Up'!$J$15,M9*'[4]Set Up'!$N$15,IF(M9&lt;'[4]Set Up'!$J$16,(M9-'[4]Set Up'!$J$15)*'[4]Set Up'!$N$16+'[4]Set Up'!$O$15,IF(M9&lt;'[4]Set Up'!$J$17,(M9-'[4]Set Up'!$J$16)*'[4]Set Up'!$N$17+'[4]Set Up'!$O$15+'[4]Set Up'!$O$16,(M9-'[4]Set Up'!$J$17)*'[4]Set Up'!$N$18 + SUM('[4]Set Up'!$O$15:'[4]Set Up'!$O$17)))))</f>
        <v>387.87321117092949</v>
      </c>
      <c r="N14" s="28">
        <f>IF(N9="","",IF(N9&lt;'[4]Set Up'!$J$15,N9*'[4]Set Up'!$N$15,IF(N9&lt;'[4]Set Up'!$J$16,(N9-'[4]Set Up'!$J$15)*'[4]Set Up'!$N$16+'[4]Set Up'!$O$15,IF(N9&lt;'[4]Set Up'!$J$17,(N9-'[4]Set Up'!$J$16)*'[4]Set Up'!$N$17+'[4]Set Up'!$O$15+'[4]Set Up'!$O$16,(N9-'[4]Set Up'!$J$17)*'[4]Set Up'!$N$18 + SUM('[4]Set Up'!$O$15:'[4]Set Up'!$O$17)))))</f>
        <v>384.87199011878664</v>
      </c>
      <c r="O14" s="28">
        <f>IF(O9="","",IF(O9&lt;'[4]Set Up'!$J$15,O9*'[4]Set Up'!$N$15,IF(O9&lt;'[4]Set Up'!$J$16,(O9-'[4]Set Up'!$J$15)*'[4]Set Up'!$N$16+'[4]Set Up'!$O$15,IF(O9&lt;'[4]Set Up'!$J$17,(O9-'[4]Set Up'!$J$16)*'[4]Set Up'!$N$17+'[4]Set Up'!$O$15+'[4]Set Up'!$O$16,(O9-'[4]Set Up'!$J$17)*'[4]Set Up'!$N$18 + SUM('[4]Set Up'!$O$15:'[4]Set Up'!$O$17)))))</f>
        <v>381.87076906664379</v>
      </c>
      <c r="P14" s="28">
        <f>IF(P9="","",IF(P9&lt;'[4]Set Up'!$J$15,P9*'[4]Set Up'!$N$15,IF(P9&lt;'[4]Set Up'!$J$16,(P9-'[4]Set Up'!$J$15)*'[4]Set Up'!$N$16+'[4]Set Up'!$O$15,IF(P9&lt;'[4]Set Up'!$J$17,(P9-'[4]Set Up'!$J$16)*'[4]Set Up'!$N$17+'[4]Set Up'!$O$15+'[4]Set Up'!$O$16,(P9-'[4]Set Up'!$J$17)*'[4]Set Up'!$N$18 + SUM('[4]Set Up'!$O$15:'[4]Set Up'!$O$17)))))</f>
        <v>378.86954801450088</v>
      </c>
      <c r="Q14" s="28">
        <f>IF(Q9="","",IF(Q9&lt;'[4]Set Up'!$J$15,Q9*'[4]Set Up'!$N$15,IF(Q9&lt;'[4]Set Up'!$J$16,(Q9-'[4]Set Up'!$J$15)*'[4]Set Up'!$N$16+'[4]Set Up'!$O$15,IF(Q9&lt;'[4]Set Up'!$J$17,(Q9-'[4]Set Up'!$J$16)*'[4]Set Up'!$N$17+'[4]Set Up'!$O$15+'[4]Set Up'!$O$16,(Q9-'[4]Set Up'!$J$17)*'[4]Set Up'!$N$18 + SUM('[4]Set Up'!$O$15:'[4]Set Up'!$O$17)))))</f>
        <v>375.86832696235797</v>
      </c>
      <c r="R14" s="28">
        <f>IF(R9="","",IF(R9&lt;'[4]Set Up'!$J$15,R9*'[4]Set Up'!$N$15,IF(R9&lt;'[4]Set Up'!$J$16,(R9-'[4]Set Up'!$J$15)*'[4]Set Up'!$N$16+'[4]Set Up'!$O$15,IF(R9&lt;'[4]Set Up'!$J$17,(R9-'[4]Set Up'!$J$16)*'[4]Set Up'!$N$17+'[4]Set Up'!$O$15+'[4]Set Up'!$O$16,(R9-'[4]Set Up'!$J$17)*'[4]Set Up'!$N$18 + SUM('[4]Set Up'!$O$15:'[4]Set Up'!$O$17)))))</f>
        <v>372.88203735823572</v>
      </c>
      <c r="S14" s="28">
        <f>IF(S9="","",IF(S9&lt;'[4]Set Up'!$J$15,S9*'[4]Set Up'!$N$15,IF(S9&lt;'[4]Set Up'!$J$16,(S9-'[4]Set Up'!$J$15)*'[4]Set Up'!$N$16+'[4]Set Up'!$O$15,IF(S9&lt;'[4]Set Up'!$J$17,(S9-'[4]Set Up'!$J$16)*'[4]Set Up'!$N$17+'[4]Set Up'!$O$15+'[4]Set Up'!$O$16,(S9-'[4]Set Up'!$J$17)*'[4]Set Up'!$N$18 + SUM('[4]Set Up'!$O$15:'[4]Set Up'!$O$17)))))</f>
        <v>369.88081630609281</v>
      </c>
      <c r="T14" s="28">
        <f>IF(T9="","",IF(T9&lt;'[4]Set Up'!$J$15,T9*'[4]Set Up'!$N$15,IF(T9&lt;'[4]Set Up'!$J$16,(T9-'[4]Set Up'!$J$15)*'[4]Set Up'!$N$16+'[4]Set Up'!$O$15,IF(T9&lt;'[4]Set Up'!$J$17,(T9-'[4]Set Up'!$J$16)*'[4]Set Up'!$N$17+'[4]Set Up'!$O$15+'[4]Set Up'!$O$16,(T9-'[4]Set Up'!$J$17)*'[4]Set Up'!$N$18 + SUM('[4]Set Up'!$O$15:'[4]Set Up'!$O$17)))))</f>
        <v>366.8795952539499</v>
      </c>
      <c r="U14" s="28">
        <f>IF(U9="","",IF(U9&lt;'[4]Set Up'!$J$15,U9*'[4]Set Up'!$N$15,IF(U9&lt;'[4]Set Up'!$J$16,(U9-'[4]Set Up'!$J$15)*'[4]Set Up'!$N$16+'[4]Set Up'!$O$15,IF(U9&lt;'[4]Set Up'!$J$17,(U9-'[4]Set Up'!$J$16)*'[4]Set Up'!$N$17+'[4]Set Up'!$O$15+'[4]Set Up'!$O$16,(U9-'[4]Set Up'!$J$17)*'[4]Set Up'!$N$18 + SUM('[4]Set Up'!$O$15:'[4]Set Up'!$O$17)))))</f>
        <v>363.87837420180699</v>
      </c>
      <c r="V14" s="28">
        <f>IF(V9="","",IF(V9&lt;'[4]Set Up'!$J$15,V9*'[4]Set Up'!$N$15,IF(V9&lt;'[4]Set Up'!$J$16,(V9-'[4]Set Up'!$J$15)*'[4]Set Up'!$N$16+'[4]Set Up'!$O$15,IF(V9&lt;'[4]Set Up'!$J$17,(V9-'[4]Set Up'!$J$16)*'[4]Set Up'!$N$17+'[4]Set Up'!$O$15+'[4]Set Up'!$O$16,(V9-'[4]Set Up'!$J$17)*'[4]Set Up'!$N$18 + SUM('[4]Set Up'!$O$15:'[4]Set Up'!$O$17)))))</f>
        <v>360.87715314966414</v>
      </c>
      <c r="W14" s="28">
        <f>IF(W9="","",IF(W9&lt;'[4]Set Up'!$J$15,W9*'[4]Set Up'!$N$15,IF(W9&lt;'[4]Set Up'!$J$16,(W9-'[4]Set Up'!$J$15)*'[4]Set Up'!$N$16+'[4]Set Up'!$O$15,IF(W9&lt;'[4]Set Up'!$J$17,(W9-'[4]Set Up'!$J$16)*'[4]Set Up'!$N$17+'[4]Set Up'!$O$15+'[4]Set Up'!$O$16,(W9-'[4]Set Up'!$J$17)*'[4]Set Up'!$N$18 + SUM('[4]Set Up'!$O$15:'[4]Set Up'!$O$17)))))</f>
        <v>357.87593209752123</v>
      </c>
      <c r="X14" s="28">
        <f>IF(X9="","",IF(X9&lt;'[4]Set Up'!$J$15,X9*'[4]Set Up'!$N$15,IF(X9&lt;'[4]Set Up'!$J$16,(X9-'[4]Set Up'!$J$15)*'[4]Set Up'!$N$16+'[4]Set Up'!$O$15,IF(X9&lt;'[4]Set Up'!$J$17,(X9-'[4]Set Up'!$J$16)*'[4]Set Up'!$N$17+'[4]Set Up'!$O$15+'[4]Set Up'!$O$16,(X9-'[4]Set Up'!$J$17)*'[4]Set Up'!$N$18 + SUM('[4]Set Up'!$O$15:'[4]Set Up'!$O$17)))))</f>
        <v>354.88964249339892</v>
      </c>
      <c r="Y14" s="28">
        <f>IF(Y9="","",IF(Y9&lt;'[4]Set Up'!$J$15,Y9*'[4]Set Up'!$N$15,IF(Y9&lt;'[4]Set Up'!$J$16,(Y9-'[4]Set Up'!$J$15)*'[4]Set Up'!$N$16+'[4]Set Up'!$O$15,IF(Y9&lt;'[4]Set Up'!$J$17,(Y9-'[4]Set Up'!$J$16)*'[4]Set Up'!$N$17+'[4]Set Up'!$O$15+'[4]Set Up'!$O$16,(Y9-'[4]Set Up'!$J$17)*'[4]Set Up'!$N$18 + SUM('[4]Set Up'!$O$15:'[4]Set Up'!$O$17)))))</f>
        <v>351.88842144125607</v>
      </c>
      <c r="Z14" s="28">
        <f>IF(Z9="","",IF(Z9&lt;'[4]Set Up'!$J$15,Z9*'[4]Set Up'!$N$15,IF(Z9&lt;'[4]Set Up'!$J$16,(Z9-'[4]Set Up'!$J$15)*'[4]Set Up'!$N$16+'[4]Set Up'!$O$15,IF(Z9&lt;'[4]Set Up'!$J$17,(Z9-'[4]Set Up'!$J$16)*'[4]Set Up'!$N$17+'[4]Set Up'!$O$15+'[4]Set Up'!$O$16,(Z9-'[4]Set Up'!$J$17)*'[4]Set Up'!$N$18 + SUM('[4]Set Up'!$O$15:'[4]Set Up'!$O$17)))))</f>
        <v>348.88720038911316</v>
      </c>
      <c r="AA14" s="28">
        <f>IF(AA9="","",IF(AA9&lt;'[4]Set Up'!$J$15,AA9*'[4]Set Up'!$N$15,IF(AA9&lt;'[4]Set Up'!$J$16,(AA9-'[4]Set Up'!$J$15)*'[4]Set Up'!$N$16+'[4]Set Up'!$O$15,IF(AA9&lt;'[4]Set Up'!$J$17,(AA9-'[4]Set Up'!$J$16)*'[4]Set Up'!$N$17+'[4]Set Up'!$O$15+'[4]Set Up'!$O$16,(AA9-'[4]Set Up'!$J$17)*'[4]Set Up'!$N$18 + SUM('[4]Set Up'!$O$15:'[4]Set Up'!$O$17)))))</f>
        <v>345.88597933697031</v>
      </c>
      <c r="AB14" s="28">
        <f>IF(AB9="","",IF(AB9&lt;'[4]Set Up'!$J$15,AB9*'[4]Set Up'!$N$15,IF(AB9&lt;'[4]Set Up'!$J$16,(AB9-'[4]Set Up'!$J$15)*'[4]Set Up'!$N$16+'[4]Set Up'!$O$15,IF(AB9&lt;'[4]Set Up'!$J$17,(AB9-'[4]Set Up'!$J$16)*'[4]Set Up'!$N$17+'[4]Set Up'!$O$15+'[4]Set Up'!$O$16,(AB9-'[4]Set Up'!$J$17)*'[4]Set Up'!$N$18 + SUM('[4]Set Up'!$O$15:'[4]Set Up'!$O$17)))))</f>
        <v>342.8847582848274</v>
      </c>
      <c r="AC14" s="28">
        <f>IF(AC9="","",IF(AC9&lt;'[4]Set Up'!$J$15,AC9*'[4]Set Up'!$N$15,IF(AC9&lt;'[4]Set Up'!$J$16,(AC9-'[4]Set Up'!$J$15)*'[4]Set Up'!$N$16+'[4]Set Up'!$O$15,IF(AC9&lt;'[4]Set Up'!$J$17,(AC9-'[4]Set Up'!$J$16)*'[4]Set Up'!$N$17+'[4]Set Up'!$O$15+'[4]Set Up'!$O$16,(AC9-'[4]Set Up'!$J$17)*'[4]Set Up'!$N$18 + SUM('[4]Set Up'!$O$15:'[4]Set Up'!$O$17)))))</f>
        <v>339.88353723268449</v>
      </c>
      <c r="AD14" s="28">
        <f>IF(AD9="","",IF(AD9&lt;'[4]Set Up'!$J$15,AD9*'[4]Set Up'!$N$15,IF(AD9&lt;'[4]Set Up'!$J$16,(AD9-'[4]Set Up'!$J$15)*'[4]Set Up'!$N$16+'[4]Set Up'!$O$15,IF(AD9&lt;'[4]Set Up'!$J$17,(AD9-'[4]Set Up'!$J$16)*'[4]Set Up'!$N$17+'[4]Set Up'!$O$15+'[4]Set Up'!$O$16,(AD9-'[4]Set Up'!$J$17)*'[4]Set Up'!$N$18 + SUM('[4]Set Up'!$O$15:'[4]Set Up'!$O$17)))))</f>
        <v>336.89724762856224</v>
      </c>
      <c r="AE14" s="28">
        <f>IF(AE9="","",IF(AE9&lt;'[4]Set Up'!$J$15,AE9*'[4]Set Up'!$N$15,IF(AE9&lt;'[4]Set Up'!$J$16,(AE9-'[4]Set Up'!$J$15)*'[4]Set Up'!$N$16+'[4]Set Up'!$O$15,IF(AE9&lt;'[4]Set Up'!$J$17,(AE9-'[4]Set Up'!$J$16)*'[4]Set Up'!$N$17+'[4]Set Up'!$O$15+'[4]Set Up'!$O$16,(AE9-'[4]Set Up'!$J$17)*'[4]Set Up'!$N$18 + SUM('[4]Set Up'!$O$15:'[4]Set Up'!$O$17)))))</f>
        <v>333.89602657641933</v>
      </c>
      <c r="AF14" s="28">
        <f>IF(AF9="","",IF(AF9&lt;'[4]Set Up'!$J$15,AF9*'[4]Set Up'!$N$15,IF(AF9&lt;'[4]Set Up'!$J$16,(AF9-'[4]Set Up'!$J$15)*'[4]Set Up'!$N$16+'[4]Set Up'!$O$15,IF(AF9&lt;'[4]Set Up'!$J$17,(AF9-'[4]Set Up'!$J$16)*'[4]Set Up'!$N$17+'[4]Set Up'!$O$15+'[4]Set Up'!$O$16,(AF9-'[4]Set Up'!$J$17)*'[4]Set Up'!$N$18 + SUM('[4]Set Up'!$O$15:'[4]Set Up'!$O$17)))))</f>
        <v>330.89480552427642</v>
      </c>
      <c r="AG14" s="28">
        <f>IF(AG9="","",IF(AG9&lt;'[4]Set Up'!$J$15,AG9*'[4]Set Up'!$N$15,IF(AG9&lt;'[4]Set Up'!$J$16,(AG9-'[4]Set Up'!$J$15)*'[4]Set Up'!$N$16+'[4]Set Up'!$O$15,IF(AG9&lt;'[4]Set Up'!$J$17,(AG9-'[4]Set Up'!$J$16)*'[4]Set Up'!$N$17+'[4]Set Up'!$O$15+'[4]Set Up'!$O$16,(AG9-'[4]Set Up'!$J$17)*'[4]Set Up'!$N$18 + SUM('[4]Set Up'!$O$15:'[4]Set Up'!$O$17)))))</f>
        <v>327.89358447213357</v>
      </c>
      <c r="AH14" s="28">
        <f>IF(AH9="","",IF(AH9&lt;'[4]Set Up'!$J$15,AH9*'[4]Set Up'!$N$15,IF(AH9&lt;'[4]Set Up'!$J$16,(AH9-'[4]Set Up'!$J$15)*'[4]Set Up'!$N$16+'[4]Set Up'!$O$15,IF(AH9&lt;'[4]Set Up'!$J$17,(AH9-'[4]Set Up'!$J$16)*'[4]Set Up'!$N$17+'[4]Set Up'!$O$15+'[4]Set Up'!$O$16,(AH9-'[4]Set Up'!$J$17)*'[4]Set Up'!$N$18 + SUM('[4]Set Up'!$O$15:'[4]Set Up'!$O$17)))))</f>
        <v>324.89236341999066</v>
      </c>
      <c r="AI14" s="28">
        <f>IF(AI9="","",IF(AI9&lt;'[4]Set Up'!$J$15,AI9*'[4]Set Up'!$N$15,IF(AI9&lt;'[4]Set Up'!$J$16,(AI9-'[4]Set Up'!$J$15)*'[4]Set Up'!$N$16+'[4]Set Up'!$O$15,IF(AI9&lt;'[4]Set Up'!$J$17,(AI9-'[4]Set Up'!$J$16)*'[4]Set Up'!$N$17+'[4]Set Up'!$O$15+'[4]Set Up'!$O$16,(AI9-'[4]Set Up'!$J$17)*'[4]Set Up'!$N$18 + SUM('[4]Set Up'!$O$15:'[4]Set Up'!$O$17)))))</f>
        <v>321.89114236784781</v>
      </c>
      <c r="AJ14" s="28">
        <f>IF(AJ9="","",IF(AJ9&lt;'[4]Set Up'!$J$15,AJ9*'[4]Set Up'!$N$15,IF(AJ9&lt;'[4]Set Up'!$J$16,(AJ9-'[4]Set Up'!$J$15)*'[4]Set Up'!$N$16+'[4]Set Up'!$O$15,IF(AJ9&lt;'[4]Set Up'!$J$17,(AJ9-'[4]Set Up'!$J$16)*'[4]Set Up'!$N$17+'[4]Set Up'!$O$15+'[4]Set Up'!$O$16,(AJ9-'[4]Set Up'!$J$17)*'[4]Set Up'!$N$18 + SUM('[4]Set Up'!$O$15:'[4]Set Up'!$O$17)))))</f>
        <v>318.8899213157049</v>
      </c>
      <c r="AK14" s="28">
        <f>IF(AK9="","",IF(AK9&lt;'[4]Set Up'!$J$15,AK9*'[4]Set Up'!$N$15,IF(AK9&lt;'[4]Set Up'!$J$16,(AK9-'[4]Set Up'!$J$15)*'[4]Set Up'!$N$16+'[4]Set Up'!$O$15,IF(AK9&lt;'[4]Set Up'!$J$17,(AK9-'[4]Set Up'!$J$16)*'[4]Set Up'!$N$17+'[4]Set Up'!$O$15+'[4]Set Up'!$O$16,(AK9-'[4]Set Up'!$J$17)*'[4]Set Up'!$N$18 + SUM('[4]Set Up'!$O$15:'[4]Set Up'!$O$17)))))</f>
        <v>315.90363171158259</v>
      </c>
      <c r="AL14" s="28">
        <f>IF(AL9="","",IF(AL9&lt;'[4]Set Up'!$J$15,AL9*'[4]Set Up'!$N$15,IF(AL9&lt;'[4]Set Up'!$J$16,(AL9-'[4]Set Up'!$J$15)*'[4]Set Up'!$N$16+'[4]Set Up'!$O$15,IF(AL9&lt;'[4]Set Up'!$J$17,(AL9-'[4]Set Up'!$J$16)*'[4]Set Up'!$N$17+'[4]Set Up'!$O$15+'[4]Set Up'!$O$16,(AL9-'[4]Set Up'!$J$17)*'[4]Set Up'!$N$18 + SUM('[4]Set Up'!$O$15:'[4]Set Up'!$O$17)))))</f>
        <v>312.90241065943974</v>
      </c>
      <c r="AM14" s="28">
        <f>IF(AM9="","",IF(AM9&lt;'[4]Set Up'!$J$15,AM9*'[4]Set Up'!$N$15,IF(AM9&lt;'[4]Set Up'!$J$16,(AM9-'[4]Set Up'!$J$15)*'[4]Set Up'!$N$16+'[4]Set Up'!$O$15,IF(AM9&lt;'[4]Set Up'!$J$17,(AM9-'[4]Set Up'!$J$16)*'[4]Set Up'!$N$17+'[4]Set Up'!$O$15+'[4]Set Up'!$O$16,(AM9-'[4]Set Up'!$J$17)*'[4]Set Up'!$N$18 + SUM('[4]Set Up'!$O$15:'[4]Set Up'!$O$17)))))</f>
        <v>309.90118960729683</v>
      </c>
      <c r="AN14" s="28">
        <f>IF(AN9="","",IF(AN9&lt;'[4]Set Up'!$J$15,AN9*'[4]Set Up'!$N$15,IF(AN9&lt;'[4]Set Up'!$J$16,(AN9-'[4]Set Up'!$J$15)*'[4]Set Up'!$N$16+'[4]Set Up'!$O$15,IF(AN9&lt;'[4]Set Up'!$J$17,(AN9-'[4]Set Up'!$J$16)*'[4]Set Up'!$N$17+'[4]Set Up'!$O$15+'[4]Set Up'!$O$16,(AN9-'[4]Set Up'!$J$17)*'[4]Set Up'!$N$18 + SUM('[4]Set Up'!$O$15:'[4]Set Up'!$O$17)))))</f>
        <v>306.89996855515392</v>
      </c>
      <c r="AO14" s="28">
        <f>IF(AO9="","",IF(AO9&lt;'[4]Set Up'!$J$15,AO9*'[4]Set Up'!$N$15,IF(AO9&lt;'[4]Set Up'!$J$16,(AO9-'[4]Set Up'!$J$15)*'[4]Set Up'!$N$16+'[4]Set Up'!$O$15,IF(AO9&lt;'[4]Set Up'!$J$17,(AO9-'[4]Set Up'!$J$16)*'[4]Set Up'!$N$17+'[4]Set Up'!$O$15+'[4]Set Up'!$O$16,(AO9-'[4]Set Up'!$J$17)*'[4]Set Up'!$N$18 + SUM('[4]Set Up'!$O$15:'[4]Set Up'!$O$17)))))</f>
        <v>303.89874750301107</v>
      </c>
      <c r="AP14" s="28">
        <f>IF(AP9="","",IF(AP9&lt;'[4]Set Up'!$J$15,AP9*'[4]Set Up'!$N$15,IF(AP9&lt;'[4]Set Up'!$J$16,(AP9-'[4]Set Up'!$J$15)*'[4]Set Up'!$N$16+'[4]Set Up'!$O$15,IF(AP9&lt;'[4]Set Up'!$J$17,(AP9-'[4]Set Up'!$J$16)*'[4]Set Up'!$N$17+'[4]Set Up'!$O$15+'[4]Set Up'!$O$16,(AP9-'[4]Set Up'!$J$17)*'[4]Set Up'!$N$18 + SUM('[4]Set Up'!$O$15:'[4]Set Up'!$O$17)))))</f>
        <v>300.89752645086816</v>
      </c>
      <c r="AQ14" s="28">
        <f>IF(AQ9="","",IF(AQ9&lt;'[4]Set Up'!$J$15,AQ9*'[4]Set Up'!$N$15,IF(AQ9&lt;'[4]Set Up'!$J$16,(AQ9-'[4]Set Up'!$J$15)*'[4]Set Up'!$N$16+'[4]Set Up'!$O$15,IF(AQ9&lt;'[4]Set Up'!$J$17,(AQ9-'[4]Set Up'!$J$16)*'[4]Set Up'!$N$17+'[4]Set Up'!$O$15+'[4]Set Up'!$O$16,(AQ9-'[4]Set Up'!$J$17)*'[4]Set Up'!$N$18 + SUM('[4]Set Up'!$O$15:'[4]Set Up'!$O$17)))))</f>
        <v>297.91123684674585</v>
      </c>
      <c r="AR14" s="28">
        <f>IF(AR9="","",IF(AR9&lt;'[4]Set Up'!$J$15,AR9*'[4]Set Up'!$N$15,IF(AR9&lt;'[4]Set Up'!$J$16,(AR9-'[4]Set Up'!$J$15)*'[4]Set Up'!$N$16+'[4]Set Up'!$O$15,IF(AR9&lt;'[4]Set Up'!$J$17,(AR9-'[4]Set Up'!$J$16)*'[4]Set Up'!$N$17+'[4]Set Up'!$O$15+'[4]Set Up'!$O$16,(AR9-'[4]Set Up'!$J$17)*'[4]Set Up'!$N$18 + SUM('[4]Set Up'!$O$15:'[4]Set Up'!$O$17)))))</f>
        <v>294.910015794603</v>
      </c>
      <c r="AS14" s="28">
        <f>IF(AS9="","",IF(AS9&lt;'[4]Set Up'!$J$15,AS9*'[4]Set Up'!$N$15,IF(AS9&lt;'[4]Set Up'!$J$16,(AS9-'[4]Set Up'!$J$15)*'[4]Set Up'!$N$16+'[4]Set Up'!$O$15,IF(AS9&lt;'[4]Set Up'!$J$17,(AS9-'[4]Set Up'!$J$16)*'[4]Set Up'!$N$17+'[4]Set Up'!$O$15+'[4]Set Up'!$O$16,(AS9-'[4]Set Up'!$J$17)*'[4]Set Up'!$N$18 + SUM('[4]Set Up'!$O$15:'[4]Set Up'!$O$17)))))</f>
        <v>291.90879474246009</v>
      </c>
      <c r="AT14" s="28">
        <f>IF(AT9="","",IF(AT9&lt;'[4]Set Up'!$J$15,AT9*'[4]Set Up'!$N$15,IF(AT9&lt;'[4]Set Up'!$J$16,(AT9-'[4]Set Up'!$J$15)*'[4]Set Up'!$N$16+'[4]Set Up'!$O$15,IF(AT9&lt;'[4]Set Up'!$J$17,(AT9-'[4]Set Up'!$J$16)*'[4]Set Up'!$N$17+'[4]Set Up'!$O$15+'[4]Set Up'!$O$16,(AT9-'[4]Set Up'!$J$17)*'[4]Set Up'!$N$18 + SUM('[4]Set Up'!$O$15:'[4]Set Up'!$O$17)))))</f>
        <v>288.90757369031724</v>
      </c>
      <c r="AU14" s="28">
        <f>IF(AU9="","",IF(AU9&lt;'[4]Set Up'!$J$15,AU9*'[4]Set Up'!$N$15,IF(AU9&lt;'[4]Set Up'!$J$16,(AU9-'[4]Set Up'!$J$15)*'[4]Set Up'!$N$16+'[4]Set Up'!$O$15,IF(AU9&lt;'[4]Set Up'!$J$17,(AU9-'[4]Set Up'!$J$16)*'[4]Set Up'!$N$17+'[4]Set Up'!$O$15+'[4]Set Up'!$O$16,(AU9-'[4]Set Up'!$J$17)*'[4]Set Up'!$N$18 + SUM('[4]Set Up'!$O$15:'[4]Set Up'!$O$17)))))</f>
        <v>285.90635263817433</v>
      </c>
      <c r="AV14" s="28">
        <f>IF(AV9="","",IF(AV9&lt;'[4]Set Up'!$J$15,AV9*'[4]Set Up'!$N$15,IF(AV9&lt;'[4]Set Up'!$J$16,(AV9-'[4]Set Up'!$J$15)*'[4]Set Up'!$N$16+'[4]Set Up'!$O$15,IF(AV9&lt;'[4]Set Up'!$J$17,(AV9-'[4]Set Up'!$J$16)*'[4]Set Up'!$N$17+'[4]Set Up'!$O$15+'[4]Set Up'!$O$16,(AV9-'[4]Set Up'!$J$17)*'[4]Set Up'!$N$18 + SUM('[4]Set Up'!$O$15:'[4]Set Up'!$O$17)))))</f>
        <v>282.8603372419696</v>
      </c>
      <c r="AW14" s="28">
        <f>IF(AW9="","",IF(AW9&lt;'[4]Set Up'!$J$15,AW9*'[4]Set Up'!$N$15,IF(AW9&lt;'[4]Set Up'!$J$16,(AW9-'[4]Set Up'!$J$15)*'[4]Set Up'!$N$16+'[4]Set Up'!$O$15,IF(AW9&lt;'[4]Set Up'!$J$17,(AW9-'[4]Set Up'!$J$16)*'[4]Set Up'!$N$17+'[4]Set Up'!$O$15+'[4]Set Up'!$O$16,(AW9-'[4]Set Up'!$J$17)*'[4]Set Up'!$N$18 + SUM('[4]Set Up'!$O$15:'[4]Set Up'!$O$17)))))</f>
        <v>279.91884198190917</v>
      </c>
      <c r="AX14" s="28">
        <f>IF(AX9="","",IF(AX9&lt;'[4]Set Up'!$J$15,AX9*'[4]Set Up'!$N$15,IF(AX9&lt;'[4]Set Up'!$J$16,(AX9-'[4]Set Up'!$J$15)*'[4]Set Up'!$N$16+'[4]Set Up'!$O$15,IF(AX9&lt;'[4]Set Up'!$J$17,(AX9-'[4]Set Up'!$J$16)*'[4]Set Up'!$N$17+'[4]Set Up'!$O$15+'[4]Set Up'!$O$16,(AX9-'[4]Set Up'!$J$17)*'[4]Set Up'!$N$18 + SUM('[4]Set Up'!$O$15:'[4]Set Up'!$O$17)))))</f>
        <v>276.91762092976626</v>
      </c>
      <c r="AY14" s="28">
        <f>IF(AY9="","",IF(AY9&lt;'[4]Set Up'!$J$15,AY9*'[4]Set Up'!$N$15,IF(AY9&lt;'[4]Set Up'!$J$16,(AY9-'[4]Set Up'!$J$15)*'[4]Set Up'!$N$16+'[4]Set Up'!$O$15,IF(AY9&lt;'[4]Set Up'!$J$17,(AY9-'[4]Set Up'!$J$16)*'[4]Set Up'!$N$17+'[4]Set Up'!$O$15+'[4]Set Up'!$O$16,(AY9-'[4]Set Up'!$J$17)*'[4]Set Up'!$N$18 + SUM('[4]Set Up'!$O$15:'[4]Set Up'!$O$17)))))</f>
        <v>273.91639987762335</v>
      </c>
      <c r="AZ14" s="28">
        <f>IF(AZ9="","",IF(AZ9&lt;'[4]Set Up'!$J$15,AZ9*'[4]Set Up'!$N$15,IF(AZ9&lt;'[4]Set Up'!$J$16,(AZ9-'[4]Set Up'!$J$15)*'[4]Set Up'!$N$16+'[4]Set Up'!$O$15,IF(AZ9&lt;'[4]Set Up'!$J$17,(AZ9-'[4]Set Up'!$J$16)*'[4]Set Up'!$N$17+'[4]Set Up'!$O$15+'[4]Set Up'!$O$16,(AZ9-'[4]Set Up'!$J$17)*'[4]Set Up'!$N$18 + SUM('[4]Set Up'!$O$15:'[4]Set Up'!$O$17)))))</f>
        <v>270.9151788254805</v>
      </c>
      <c r="BA14" s="28">
        <f>IF(BA9="","",IF(BA9&lt;'[4]Set Up'!$J$15,BA9*'[4]Set Up'!$N$15,IF(BA9&lt;'[4]Set Up'!$J$16,(BA9-'[4]Set Up'!$J$15)*'[4]Set Up'!$N$16+'[4]Set Up'!$O$15,IF(BA9&lt;'[4]Set Up'!$J$17,(BA9-'[4]Set Up'!$J$16)*'[4]Set Up'!$N$17+'[4]Set Up'!$O$15+'[4]Set Up'!$O$16,(BA9-'[4]Set Up'!$J$17)*'[4]Set Up'!$N$18 + SUM('[4]Set Up'!$O$15:'[4]Set Up'!$O$17)))))</f>
        <v>267.91395777333759</v>
      </c>
      <c r="BB14" s="28">
        <f>IF(BB9="","",IF(BB9&lt;'[4]Set Up'!$J$15,BB9*'[4]Set Up'!$N$15,IF(BB9&lt;'[4]Set Up'!$J$16,(BB9-'[4]Set Up'!$J$15)*'[4]Set Up'!$N$16+'[4]Set Up'!$O$15,IF(BB9&lt;'[4]Set Up'!$J$17,(BB9-'[4]Set Up'!$J$16)*'[4]Set Up'!$N$17+'[4]Set Up'!$O$15+'[4]Set Up'!$O$16,(BB9-'[4]Set Up'!$J$17)*'[4]Set Up'!$N$18 + SUM('[4]Set Up'!$O$15:'[4]Set Up'!$O$17)))))</f>
        <v>264.91273672119468</v>
      </c>
      <c r="BC14" s="28">
        <f>IF(BC9="","",IF(BC9&lt;'[4]Set Up'!$J$15,BC9*'[4]Set Up'!$N$15,IF(BC9&lt;'[4]Set Up'!$J$16,(BC9-'[4]Set Up'!$J$15)*'[4]Set Up'!$N$16+'[4]Set Up'!$O$15,IF(BC9&lt;'[4]Set Up'!$J$17,(BC9-'[4]Set Up'!$J$16)*'[4]Set Up'!$N$17+'[4]Set Up'!$O$15+'[4]Set Up'!$O$16,(BC9-'[4]Set Up'!$J$17)*'[4]Set Up'!$N$18 + SUM('[4]Set Up'!$O$15:'[4]Set Up'!$O$17)))))</f>
        <v>261.92644711707243</v>
      </c>
      <c r="BD14" s="28">
        <f>IF(BD9="","",IF(BD9&lt;'[4]Set Up'!$J$15,BD9*'[4]Set Up'!$N$15,IF(BD9&lt;'[4]Set Up'!$J$16,(BD9-'[4]Set Up'!$J$15)*'[4]Set Up'!$N$16+'[4]Set Up'!$O$15,IF(BD9&lt;'[4]Set Up'!$J$17,(BD9-'[4]Set Up'!$J$16)*'[4]Set Up'!$N$17+'[4]Set Up'!$O$15+'[4]Set Up'!$O$16,(BD9-'[4]Set Up'!$J$17)*'[4]Set Up'!$N$18 + SUM('[4]Set Up'!$O$15:'[4]Set Up'!$O$17)))))</f>
        <v>0</v>
      </c>
      <c r="BE14" s="28">
        <f>IF(BE9="","",IF(BE9&lt;'[4]Set Up'!$J$15,BE9*'[4]Set Up'!$N$15,IF(BE9&lt;'[4]Set Up'!$J$16,(BE9-'[4]Set Up'!$J$15)*'[4]Set Up'!$N$16+'[4]Set Up'!$O$15,IF(BE9&lt;'[4]Set Up'!$J$17,(BE9-'[4]Set Up'!$J$16)*'[4]Set Up'!$N$17+'[4]Set Up'!$O$15+'[4]Set Up'!$O$16,(BE9-'[4]Set Up'!$J$17)*'[4]Set Up'!$N$18 + SUM('[4]Set Up'!$O$15:'[4]Set Up'!$O$17)))))</f>
        <v>0</v>
      </c>
      <c r="BF14" s="28">
        <f>IF(BF9="","",IF(BF9&lt;'[4]Set Up'!$J$15,BF9*'[4]Set Up'!$N$15,IF(BF9&lt;'[4]Set Up'!$J$16,(BF9-'[4]Set Up'!$J$15)*'[4]Set Up'!$N$16+'[4]Set Up'!$O$15,IF(BF9&lt;'[4]Set Up'!$J$17,(BF9-'[4]Set Up'!$J$16)*'[4]Set Up'!$N$17+'[4]Set Up'!$O$15+'[4]Set Up'!$O$16,(BF9-'[4]Set Up'!$J$17)*'[4]Set Up'!$N$18 + SUM('[4]Set Up'!$O$15:'[4]Set Up'!$O$17)))))</f>
        <v>0</v>
      </c>
      <c r="BG14" s="28">
        <f>IF(BG9="","",IF(BG9&lt;'[4]Set Up'!$J$15,BG9*'[4]Set Up'!$N$15,IF(BG9&lt;'[4]Set Up'!$J$16,(BG9-'[4]Set Up'!$J$15)*'[4]Set Up'!$N$16+'[4]Set Up'!$O$15,IF(BG9&lt;'[4]Set Up'!$J$17,(BG9-'[4]Set Up'!$J$16)*'[4]Set Up'!$N$17+'[4]Set Up'!$O$15+'[4]Set Up'!$O$16,(BG9-'[4]Set Up'!$J$17)*'[4]Set Up'!$N$18 + SUM('[4]Set Up'!$O$15:'[4]Set Up'!$O$17)))))</f>
        <v>0</v>
      </c>
      <c r="BH14" s="28">
        <f>IF(BH9="","",IF(BH9&lt;'[4]Set Up'!$J$15,BH9*'[4]Set Up'!$N$15,IF(BH9&lt;'[4]Set Up'!$J$16,(BH9-'[4]Set Up'!$J$15)*'[4]Set Up'!$N$16+'[4]Set Up'!$O$15,IF(BH9&lt;'[4]Set Up'!$J$17,(BH9-'[4]Set Up'!$J$16)*'[4]Set Up'!$N$17+'[4]Set Up'!$O$15+'[4]Set Up'!$O$16,(BH9-'[4]Set Up'!$J$17)*'[4]Set Up'!$N$18 + SUM('[4]Set Up'!$O$15:'[4]Set Up'!$O$17)))))</f>
        <v>0</v>
      </c>
      <c r="BI14" s="28">
        <f>IF(BI9="","",IF(BI9&lt;'[4]Set Up'!$J$15,BI9*'[4]Set Up'!$N$15,IF(BI9&lt;'[4]Set Up'!$J$16,(BI9-'[4]Set Up'!$J$15)*'[4]Set Up'!$N$16+'[4]Set Up'!$O$15,IF(BI9&lt;'[4]Set Up'!$J$17,(BI9-'[4]Set Up'!$J$16)*'[4]Set Up'!$N$17+'[4]Set Up'!$O$15+'[4]Set Up'!$O$16,(BI9-'[4]Set Up'!$J$17)*'[4]Set Up'!$N$18 + SUM('[4]Set Up'!$O$15:'[4]Set Up'!$O$17)))))</f>
        <v>0</v>
      </c>
      <c r="BJ14" s="28">
        <f>IF(BJ9="","",IF(BJ9&lt;'[4]Set Up'!$J$15,BJ9*'[4]Set Up'!$N$15,IF(BJ9&lt;'[4]Set Up'!$J$16,(BJ9-'[4]Set Up'!$J$15)*'[4]Set Up'!$N$16+'[4]Set Up'!$O$15,IF(BJ9&lt;'[4]Set Up'!$J$17,(BJ9-'[4]Set Up'!$J$16)*'[4]Set Up'!$N$17+'[4]Set Up'!$O$15+'[4]Set Up'!$O$16,(BJ9-'[4]Set Up'!$J$17)*'[4]Set Up'!$N$18 + SUM('[4]Set Up'!$O$15:'[4]Set Up'!$O$17)))))</f>
        <v>0</v>
      </c>
      <c r="BK14" s="28">
        <f>IF(BK9="","",IF(BK9&lt;'[4]Set Up'!$J$15,BK9*'[4]Set Up'!$N$15,IF(BK9&lt;'[4]Set Up'!$J$16,(BK9-'[4]Set Up'!$J$15)*'[4]Set Up'!$N$16+'[4]Set Up'!$O$15,IF(BK9&lt;'[4]Set Up'!$J$17,(BK9-'[4]Set Up'!$J$16)*'[4]Set Up'!$N$17+'[4]Set Up'!$O$15+'[4]Set Up'!$O$16,(BK9-'[4]Set Up'!$J$17)*'[4]Set Up'!$N$18 + SUM('[4]Set Up'!$O$15:'[4]Set Up'!$O$17)))))</f>
        <v>0</v>
      </c>
      <c r="BL14" s="28">
        <f>IF(BL9="","",IF(BL9&lt;'[4]Set Up'!$J$15,BL9*'[4]Set Up'!$N$15,IF(BL9&lt;'[4]Set Up'!$J$16,(BL9-'[4]Set Up'!$J$15)*'[4]Set Up'!$N$16+'[4]Set Up'!$O$15,IF(BL9&lt;'[4]Set Up'!$J$17,(BL9-'[4]Set Up'!$J$16)*'[4]Set Up'!$N$17+'[4]Set Up'!$O$15+'[4]Set Up'!$O$16,(BL9-'[4]Set Up'!$J$17)*'[4]Set Up'!$N$18 + SUM('[4]Set Up'!$O$15:'[4]Set Up'!$O$17)))))</f>
        <v>0</v>
      </c>
      <c r="BM14" s="28">
        <f>IF(BM9="","",IF(BM9&lt;'[4]Set Up'!$J$15,BM9*'[4]Set Up'!$N$15,IF(BM9&lt;'[4]Set Up'!$J$16,(BM9-'[4]Set Up'!$J$15)*'[4]Set Up'!$N$16+'[4]Set Up'!$O$15,IF(BM9&lt;'[4]Set Up'!$J$17,(BM9-'[4]Set Up'!$J$16)*'[4]Set Up'!$N$17+'[4]Set Up'!$O$15+'[4]Set Up'!$O$16,(BM9-'[4]Set Up'!$J$17)*'[4]Set Up'!$N$18 + SUM('[4]Set Up'!$O$15:'[4]Set Up'!$O$17)))))</f>
        <v>0</v>
      </c>
      <c r="BN14" s="28">
        <f>IF(BN9="","",IF(BN9&lt;'[4]Set Up'!$J$15,BN9*'[4]Set Up'!$N$15,IF(BN9&lt;'[4]Set Up'!$J$16,(BN9-'[4]Set Up'!$J$15)*'[4]Set Up'!$N$16+'[4]Set Up'!$O$15,IF(BN9&lt;'[4]Set Up'!$J$17,(BN9-'[4]Set Up'!$J$16)*'[4]Set Up'!$N$17+'[4]Set Up'!$O$15+'[4]Set Up'!$O$16,(BN9-'[4]Set Up'!$J$17)*'[4]Set Up'!$N$18 + SUM('[4]Set Up'!$O$15:'[4]Set Up'!$O$17)))))</f>
        <v>0</v>
      </c>
      <c r="BO14" s="28">
        <f>IF(BO9="","",IF(BO9&lt;'[4]Set Up'!$J$15,BO9*'[4]Set Up'!$N$15,IF(BO9&lt;'[4]Set Up'!$J$16,(BO9-'[4]Set Up'!$J$15)*'[4]Set Up'!$N$16+'[4]Set Up'!$O$15,IF(BO9&lt;'[4]Set Up'!$J$17,(BO9-'[4]Set Up'!$J$16)*'[4]Set Up'!$N$17+'[4]Set Up'!$O$15+'[4]Set Up'!$O$16,(BO9-'[4]Set Up'!$J$17)*'[4]Set Up'!$N$18 + SUM('[4]Set Up'!$O$15:'[4]Set Up'!$O$17)))))</f>
        <v>0</v>
      </c>
      <c r="BP14" s="28">
        <f>IF(BP9="","",IF(BP9&lt;'[4]Set Up'!$J$15,BP9*'[4]Set Up'!$N$15,IF(BP9&lt;'[4]Set Up'!$J$16,(BP9-'[4]Set Up'!$J$15)*'[4]Set Up'!$N$16+'[4]Set Up'!$O$15,IF(BP9&lt;'[4]Set Up'!$J$17,(BP9-'[4]Set Up'!$J$16)*'[4]Set Up'!$N$17+'[4]Set Up'!$O$15+'[4]Set Up'!$O$16,(BP9-'[4]Set Up'!$J$17)*'[4]Set Up'!$N$18 + SUM('[4]Set Up'!$O$15:'[4]Set Up'!$O$17)))))</f>
        <v>0</v>
      </c>
      <c r="BQ14" s="28">
        <f>IF(BQ9="","",IF(BQ9&lt;'[4]Set Up'!$J$15,BQ9*'[4]Set Up'!$N$15,IF(BQ9&lt;'[4]Set Up'!$J$16,(BQ9-'[4]Set Up'!$J$15)*'[4]Set Up'!$N$16+'[4]Set Up'!$O$15,IF(BQ9&lt;'[4]Set Up'!$J$17,(BQ9-'[4]Set Up'!$J$16)*'[4]Set Up'!$N$17+'[4]Set Up'!$O$15+'[4]Set Up'!$O$16,(BQ9-'[4]Set Up'!$J$17)*'[4]Set Up'!$N$18 + SUM('[4]Set Up'!$O$15:'[4]Set Up'!$O$17)))))</f>
        <v>0</v>
      </c>
      <c r="BR14" s="28">
        <f>IF(BR9="","",IF(BR9&lt;'[4]Set Up'!$J$15,BR9*'[4]Set Up'!$N$15,IF(BR9&lt;'[4]Set Up'!$J$16,(BR9-'[4]Set Up'!$J$15)*'[4]Set Up'!$N$16+'[4]Set Up'!$O$15,IF(BR9&lt;'[4]Set Up'!$J$17,(BR9-'[4]Set Up'!$J$16)*'[4]Set Up'!$N$17+'[4]Set Up'!$O$15+'[4]Set Up'!$O$16,(BR9-'[4]Set Up'!$J$17)*'[4]Set Up'!$N$18 + SUM('[4]Set Up'!$O$15:'[4]Set Up'!$O$17)))))</f>
        <v>0</v>
      </c>
      <c r="BS14" s="28">
        <f>IF(BS9="","",IF(BS9&lt;'[4]Set Up'!$J$15,BS9*'[4]Set Up'!$N$15,IF(BS9&lt;'[4]Set Up'!$J$16,(BS9-'[4]Set Up'!$J$15)*'[4]Set Up'!$N$16+'[4]Set Up'!$O$15,IF(BS9&lt;'[4]Set Up'!$J$17,(BS9-'[4]Set Up'!$J$16)*'[4]Set Up'!$N$17+'[4]Set Up'!$O$15+'[4]Set Up'!$O$16,(BS9-'[4]Set Up'!$J$17)*'[4]Set Up'!$N$18 + SUM('[4]Set Up'!$O$15:'[4]Set Up'!$O$17)))))</f>
        <v>0</v>
      </c>
      <c r="BT14" s="28">
        <f>IF(BT9="","",IF(BT9&lt;'[4]Set Up'!$J$15,BT9*'[4]Set Up'!$N$15,IF(BT9&lt;'[4]Set Up'!$J$16,(BT9-'[4]Set Up'!$J$15)*'[4]Set Up'!$N$16+'[4]Set Up'!$O$15,IF(BT9&lt;'[4]Set Up'!$J$17,(BT9-'[4]Set Up'!$J$16)*'[4]Set Up'!$N$17+'[4]Set Up'!$O$15+'[4]Set Up'!$O$16,(BT9-'[4]Set Up'!$J$17)*'[4]Set Up'!$N$18 + SUM('[4]Set Up'!$O$15:'[4]Set Up'!$O$17)))))</f>
        <v>0</v>
      </c>
      <c r="BU14" s="28">
        <f>IF(BU9="","",IF(BU9&lt;'[4]Set Up'!$J$15,BU9*'[4]Set Up'!$N$15,IF(BU9&lt;'[4]Set Up'!$J$16,(BU9-'[4]Set Up'!$J$15)*'[4]Set Up'!$N$16+'[4]Set Up'!$O$15,IF(BU9&lt;'[4]Set Up'!$J$17,(BU9-'[4]Set Up'!$J$16)*'[4]Set Up'!$N$17+'[4]Set Up'!$O$15+'[4]Set Up'!$O$16,(BU9-'[4]Set Up'!$J$17)*'[4]Set Up'!$N$18 + SUM('[4]Set Up'!$O$15:'[4]Set Up'!$O$17)))))</f>
        <v>0</v>
      </c>
      <c r="BV14" s="28">
        <f>IF(BV9="","",IF(BV9&lt;'[4]Set Up'!$J$15,BV9*'[4]Set Up'!$N$15,IF(BV9&lt;'[4]Set Up'!$J$16,(BV9-'[4]Set Up'!$J$15)*'[4]Set Up'!$N$16+'[4]Set Up'!$O$15,IF(BV9&lt;'[4]Set Up'!$J$17,(BV9-'[4]Set Up'!$J$16)*'[4]Set Up'!$N$17+'[4]Set Up'!$O$15+'[4]Set Up'!$O$16,(BV9-'[4]Set Up'!$J$17)*'[4]Set Up'!$N$18 + SUM('[4]Set Up'!$O$15:'[4]Set Up'!$O$17)))))</f>
        <v>0</v>
      </c>
      <c r="BW14" s="28">
        <f>IF(BW9="","",IF(BW9&lt;'[4]Set Up'!$J$15,BW9*'[4]Set Up'!$N$15,IF(BW9&lt;'[4]Set Up'!$J$16,(BW9-'[4]Set Up'!$J$15)*'[4]Set Up'!$N$16+'[4]Set Up'!$O$15,IF(BW9&lt;'[4]Set Up'!$J$17,(BW9-'[4]Set Up'!$J$16)*'[4]Set Up'!$N$17+'[4]Set Up'!$O$15+'[4]Set Up'!$O$16,(BW9-'[4]Set Up'!$J$17)*'[4]Set Up'!$N$18 + SUM('[4]Set Up'!$O$15:'[4]Set Up'!$O$17)))))</f>
        <v>0</v>
      </c>
      <c r="BX14" s="28">
        <f>IF(BX9="","",IF(BX9&lt;'[4]Set Up'!$J$15,BX9*'[4]Set Up'!$N$15,IF(BX9&lt;'[4]Set Up'!$J$16,(BX9-'[4]Set Up'!$J$15)*'[4]Set Up'!$N$16+'[4]Set Up'!$O$15,IF(BX9&lt;'[4]Set Up'!$J$17,(BX9-'[4]Set Up'!$J$16)*'[4]Set Up'!$N$17+'[4]Set Up'!$O$15+'[4]Set Up'!$O$16,(BX9-'[4]Set Up'!$J$17)*'[4]Set Up'!$N$18 + SUM('[4]Set Up'!$O$15:'[4]Set Up'!$O$17)))))</f>
        <v>0</v>
      </c>
      <c r="BY14" s="28">
        <f>IF(BY9="","",IF(BY9&lt;'[4]Set Up'!$J$15,BY9*'[4]Set Up'!$N$15,IF(BY9&lt;'[4]Set Up'!$J$16,(BY9-'[4]Set Up'!$J$15)*'[4]Set Up'!$N$16+'[4]Set Up'!$O$15,IF(BY9&lt;'[4]Set Up'!$J$17,(BY9-'[4]Set Up'!$J$16)*'[4]Set Up'!$N$17+'[4]Set Up'!$O$15+'[4]Set Up'!$O$16,(BY9-'[4]Set Up'!$J$17)*'[4]Set Up'!$N$18 + SUM('[4]Set Up'!$O$15:'[4]Set Up'!$O$17)))))</f>
        <v>0</v>
      </c>
      <c r="BZ14" s="8"/>
    </row>
    <row r="15" spans="1:78" ht="15" thickBot="1" x14ac:dyDescent="0.4">
      <c r="A15" s="29" t="s">
        <v>22</v>
      </c>
      <c r="B15" s="197"/>
      <c r="C15" s="30">
        <f>IF(C11="","",IF(C11&lt;'[4]Set Up'!$J$15,C11*'[4]Set Up'!$N$15,IF(C11&lt;'[4]Set Up'!$J$16,(C11-'[4]Set Up'!$J$15)*'[4]Set Up'!$N$16+'[4]Set Up'!$O$15,IF(C11&lt;'[4]Set Up'!$J$17,(C11-'[4]Set Up'!$J$16)*'[4]Set Up'!$N$17+'[4]Set Up'!$O$15+'[4]Set Up'!$O$16,(C11-'[4]Set Up'!$J$17)*'[4]Set Up'!$N$18 + SUM('[4]Set Up'!$O$15:'[4]Set Up'!$O$17)))))</f>
        <v>418.13925630870881</v>
      </c>
      <c r="D15" s="30">
        <f>IF(D11="","",IF(D11&lt;'[4]Set Up'!$J$15,D11*'[4]Set Up'!$N$15,IF(D11&lt;'[4]Set Up'!$J$16,(D11-'[4]Set Up'!$J$15)*'[4]Set Up'!$N$16+'[4]Set Up'!$O$15,IF(D11&lt;'[4]Set Up'!$J$17,(D11-'[4]Set Up'!$J$16)*'[4]Set Up'!$N$17+'[4]Set Up'!$O$15+'[4]Set Up'!$O$16,(D11-'[4]Set Up'!$J$17)*'[4]Set Up'!$N$18 + SUM('[4]Set Up'!$O$15:'[4]Set Up'!$O$17)))))</f>
        <v>415.1380352565659</v>
      </c>
      <c r="E15" s="30">
        <f>IF(E11="","",IF(E11&lt;'[4]Set Up'!$J$15,E11*'[4]Set Up'!$N$15,IF(E11&lt;'[4]Set Up'!$J$16,(E11-'[4]Set Up'!$J$15)*'[4]Set Up'!$N$16+'[4]Set Up'!$O$15,IF(E11&lt;'[4]Set Up'!$J$17,(E11-'[4]Set Up'!$J$16)*'[4]Set Up'!$N$17+'[4]Set Up'!$O$15+'[4]Set Up'!$O$16,(E11-'[4]Set Up'!$J$17)*'[4]Set Up'!$N$18 + SUM('[4]Set Up'!$O$15:'[4]Set Up'!$O$17)))))</f>
        <v>412.13681420442305</v>
      </c>
      <c r="F15" s="30">
        <f>IF(F11="","",IF(F11&lt;'[4]Set Up'!$J$15,F11*'[4]Set Up'!$N$15,IF(F11&lt;'[4]Set Up'!$J$16,(F11-'[4]Set Up'!$J$15)*'[4]Set Up'!$N$16+'[4]Set Up'!$O$15,IF(F11&lt;'[4]Set Up'!$J$17,(F11-'[4]Set Up'!$J$16)*'[4]Set Up'!$N$17+'[4]Set Up'!$O$15+'[4]Set Up'!$O$16,(F11-'[4]Set Up'!$J$17)*'[4]Set Up'!$N$18 + SUM('[4]Set Up'!$O$15:'[4]Set Up'!$O$17)))))</f>
        <v>409.15052460030074</v>
      </c>
      <c r="G15" s="30">
        <f>IF(G11="","",IF(G11&lt;'[4]Set Up'!$J$15,G11*'[4]Set Up'!$N$15,IF(G11&lt;'[4]Set Up'!$J$16,(G11-'[4]Set Up'!$J$15)*'[4]Set Up'!$N$16+'[4]Set Up'!$O$15,IF(G11&lt;'[4]Set Up'!$J$17,(G11-'[4]Set Up'!$J$16)*'[4]Set Up'!$N$17+'[4]Set Up'!$O$15+'[4]Set Up'!$O$16,(G11-'[4]Set Up'!$J$17)*'[4]Set Up'!$N$18 + SUM('[4]Set Up'!$O$15:'[4]Set Up'!$O$17)))))</f>
        <v>406.14930354815789</v>
      </c>
      <c r="H15" s="30">
        <f>IF(H11="","",IF(H11&lt;'[4]Set Up'!$J$15,H11*'[4]Set Up'!$N$15,IF(H11&lt;'[4]Set Up'!$J$16,(H11-'[4]Set Up'!$J$15)*'[4]Set Up'!$N$16+'[4]Set Up'!$O$15,IF(H11&lt;'[4]Set Up'!$J$17,(H11-'[4]Set Up'!$J$16)*'[4]Set Up'!$N$17+'[4]Set Up'!$O$15+'[4]Set Up'!$O$16,(H11-'[4]Set Up'!$J$17)*'[4]Set Up'!$N$18 + SUM('[4]Set Up'!$O$15:'[4]Set Up'!$O$17)))))</f>
        <v>403.14808249601498</v>
      </c>
      <c r="I15" s="30">
        <f>IF(I11="","",IF(I11&lt;'[4]Set Up'!$J$15,I11*'[4]Set Up'!$N$15,IF(I11&lt;'[4]Set Up'!$J$16,(I11-'[4]Set Up'!$J$15)*'[4]Set Up'!$N$16+'[4]Set Up'!$O$15,IF(I11&lt;'[4]Set Up'!$J$17,(I11-'[4]Set Up'!$J$16)*'[4]Set Up'!$N$17+'[4]Set Up'!$O$15+'[4]Set Up'!$O$16,(I11-'[4]Set Up'!$J$17)*'[4]Set Up'!$N$18 + SUM('[4]Set Up'!$O$15:'[4]Set Up'!$O$17)))))</f>
        <v>400.14686144387213</v>
      </c>
      <c r="J15" s="30">
        <f>IF(J11="","",IF(J11&lt;'[4]Set Up'!$J$15,J11*'[4]Set Up'!$N$15,IF(J11&lt;'[4]Set Up'!$J$16,(J11-'[4]Set Up'!$J$15)*'[4]Set Up'!$N$16+'[4]Set Up'!$O$15,IF(J11&lt;'[4]Set Up'!$J$17,(J11-'[4]Set Up'!$J$16)*'[4]Set Up'!$N$17+'[4]Set Up'!$O$15+'[4]Set Up'!$O$16,(J11-'[4]Set Up'!$J$17)*'[4]Set Up'!$N$18 + SUM('[4]Set Up'!$O$15:'[4]Set Up'!$O$17)))))</f>
        <v>397.14564039172922</v>
      </c>
      <c r="K15" s="30">
        <f>IF(K11="","",IF(K11&lt;'[4]Set Up'!$J$15,K11*'[4]Set Up'!$N$15,IF(K11&lt;'[4]Set Up'!$J$16,(K11-'[4]Set Up'!$J$15)*'[4]Set Up'!$N$16+'[4]Set Up'!$O$15,IF(K11&lt;'[4]Set Up'!$J$17,(K11-'[4]Set Up'!$J$16)*'[4]Set Up'!$N$17+'[4]Set Up'!$O$15+'[4]Set Up'!$O$16,(K11-'[4]Set Up'!$J$17)*'[4]Set Up'!$N$18 + SUM('[4]Set Up'!$O$15:'[4]Set Up'!$O$17)))))</f>
        <v>394.14441933958631</v>
      </c>
      <c r="L15" s="30">
        <f>IF(L11="","",IF(L11&lt;'[4]Set Up'!$J$15,L11*'[4]Set Up'!$N$15,IF(L11&lt;'[4]Set Up'!$J$16,(L11-'[4]Set Up'!$J$15)*'[4]Set Up'!$N$16+'[4]Set Up'!$O$15,IF(L11&lt;'[4]Set Up'!$J$17,(L11-'[4]Set Up'!$J$16)*'[4]Set Up'!$N$17+'[4]Set Up'!$O$15+'[4]Set Up'!$O$16,(L11-'[4]Set Up'!$J$17)*'[4]Set Up'!$N$18 + SUM('[4]Set Up'!$O$15:'[4]Set Up'!$O$17)))))</f>
        <v>391.15812973546406</v>
      </c>
      <c r="M15" s="30">
        <f>IF(M11="","",IF(M11&lt;'[4]Set Up'!$J$15,M11*'[4]Set Up'!$N$15,IF(M11&lt;'[4]Set Up'!$J$16,(M11-'[4]Set Up'!$J$15)*'[4]Set Up'!$N$16+'[4]Set Up'!$O$15,IF(M11&lt;'[4]Set Up'!$J$17,(M11-'[4]Set Up'!$J$16)*'[4]Set Up'!$N$17+'[4]Set Up'!$O$15+'[4]Set Up'!$O$16,(M11-'[4]Set Up'!$J$17)*'[4]Set Up'!$N$18 + SUM('[4]Set Up'!$O$15:'[4]Set Up'!$O$17)))))</f>
        <v>388.15690868332115</v>
      </c>
      <c r="N15" s="30">
        <f>IF(N11="","",IF(N11&lt;'[4]Set Up'!$J$15,N11*'[4]Set Up'!$N$15,IF(N11&lt;'[4]Set Up'!$J$16,(N11-'[4]Set Up'!$J$15)*'[4]Set Up'!$N$16+'[4]Set Up'!$O$15,IF(N11&lt;'[4]Set Up'!$J$17,(N11-'[4]Set Up'!$J$16)*'[4]Set Up'!$N$17+'[4]Set Up'!$O$15+'[4]Set Up'!$O$16,(N11-'[4]Set Up'!$J$17)*'[4]Set Up'!$N$18 + SUM('[4]Set Up'!$O$15:'[4]Set Up'!$O$17)))))</f>
        <v>385.15568763117824</v>
      </c>
      <c r="O15" s="30">
        <f>IF(O11="","",IF(O11&lt;'[4]Set Up'!$J$15,O11*'[4]Set Up'!$N$15,IF(O11&lt;'[4]Set Up'!$J$16,(O11-'[4]Set Up'!$J$15)*'[4]Set Up'!$N$16+'[4]Set Up'!$O$15,IF(O11&lt;'[4]Set Up'!$J$17,(O11-'[4]Set Up'!$J$16)*'[4]Set Up'!$N$17+'[4]Set Up'!$O$15+'[4]Set Up'!$O$16,(O11-'[4]Set Up'!$J$17)*'[4]Set Up'!$N$18 + SUM('[4]Set Up'!$O$15:'[4]Set Up'!$O$17)))))</f>
        <v>382.15446657903533</v>
      </c>
      <c r="P15" s="30">
        <f>IF(P11="","",IF(P11&lt;'[4]Set Up'!$J$15,P11*'[4]Set Up'!$N$15,IF(P11&lt;'[4]Set Up'!$J$16,(P11-'[4]Set Up'!$J$15)*'[4]Set Up'!$N$16+'[4]Set Up'!$O$15,IF(P11&lt;'[4]Set Up'!$J$17,(P11-'[4]Set Up'!$J$16)*'[4]Set Up'!$N$17+'[4]Set Up'!$O$15+'[4]Set Up'!$O$16,(P11-'[4]Set Up'!$J$17)*'[4]Set Up'!$N$18 + SUM('[4]Set Up'!$O$15:'[4]Set Up'!$O$17)))))</f>
        <v>379.15324552689248</v>
      </c>
      <c r="Q15" s="30">
        <f>IF(Q11="","",IF(Q11&lt;'[4]Set Up'!$J$15,Q11*'[4]Set Up'!$N$15,IF(Q11&lt;'[4]Set Up'!$J$16,(Q11-'[4]Set Up'!$J$15)*'[4]Set Up'!$N$16+'[4]Set Up'!$O$15,IF(Q11&lt;'[4]Set Up'!$J$17,(Q11-'[4]Set Up'!$J$16)*'[4]Set Up'!$N$17+'[4]Set Up'!$O$15+'[4]Set Up'!$O$16,(Q11-'[4]Set Up'!$J$17)*'[4]Set Up'!$N$18 + SUM('[4]Set Up'!$O$15:'[4]Set Up'!$O$17)))))</f>
        <v>376.15202447474957</v>
      </c>
      <c r="R15" s="30">
        <f>IF(R11="","",IF(R11&lt;'[4]Set Up'!$J$15,R11*'[4]Set Up'!$N$15,IF(R11&lt;'[4]Set Up'!$J$16,(R11-'[4]Set Up'!$J$15)*'[4]Set Up'!$N$16+'[4]Set Up'!$O$15,IF(R11&lt;'[4]Set Up'!$J$17,(R11-'[4]Set Up'!$J$16)*'[4]Set Up'!$N$17+'[4]Set Up'!$O$15+'[4]Set Up'!$O$16,(R11-'[4]Set Up'!$J$17)*'[4]Set Up'!$N$18 + SUM('[4]Set Up'!$O$15:'[4]Set Up'!$O$17)))))</f>
        <v>373.16573487062732</v>
      </c>
      <c r="S15" s="30">
        <f>IF(S11="","",IF(S11&lt;'[4]Set Up'!$J$15,S11*'[4]Set Up'!$N$15,IF(S11&lt;'[4]Set Up'!$J$16,(S11-'[4]Set Up'!$J$15)*'[4]Set Up'!$N$16+'[4]Set Up'!$O$15,IF(S11&lt;'[4]Set Up'!$J$17,(S11-'[4]Set Up'!$J$16)*'[4]Set Up'!$N$17+'[4]Set Up'!$O$15+'[4]Set Up'!$O$16,(S11-'[4]Set Up'!$J$17)*'[4]Set Up'!$N$18 + SUM('[4]Set Up'!$O$15:'[4]Set Up'!$O$17)))))</f>
        <v>370.16451381848441</v>
      </c>
      <c r="T15" s="30">
        <f>IF(T11="","",IF(T11&lt;'[4]Set Up'!$J$15,T11*'[4]Set Up'!$N$15,IF(T11&lt;'[4]Set Up'!$J$16,(T11-'[4]Set Up'!$J$15)*'[4]Set Up'!$N$16+'[4]Set Up'!$O$15,IF(T11&lt;'[4]Set Up'!$J$17,(T11-'[4]Set Up'!$J$16)*'[4]Set Up'!$N$17+'[4]Set Up'!$O$15+'[4]Set Up'!$O$16,(T11-'[4]Set Up'!$J$17)*'[4]Set Up'!$N$18 + SUM('[4]Set Up'!$O$15:'[4]Set Up'!$O$17)))))</f>
        <v>367.16329276634156</v>
      </c>
      <c r="U15" s="30">
        <f>IF(U11="","",IF(U11&lt;'[4]Set Up'!$J$15,U11*'[4]Set Up'!$N$15,IF(U11&lt;'[4]Set Up'!$J$16,(U11-'[4]Set Up'!$J$15)*'[4]Set Up'!$N$16+'[4]Set Up'!$O$15,IF(U11&lt;'[4]Set Up'!$J$17,(U11-'[4]Set Up'!$J$16)*'[4]Set Up'!$N$17+'[4]Set Up'!$O$15+'[4]Set Up'!$O$16,(U11-'[4]Set Up'!$J$17)*'[4]Set Up'!$N$18 + SUM('[4]Set Up'!$O$15:'[4]Set Up'!$O$17)))))</f>
        <v>364.16207171419865</v>
      </c>
      <c r="V15" s="30">
        <f>IF(V11="","",IF(V11&lt;'[4]Set Up'!$J$15,V11*'[4]Set Up'!$N$15,IF(V11&lt;'[4]Set Up'!$J$16,(V11-'[4]Set Up'!$J$15)*'[4]Set Up'!$N$16+'[4]Set Up'!$O$15,IF(V11&lt;'[4]Set Up'!$J$17,(V11-'[4]Set Up'!$J$16)*'[4]Set Up'!$N$17+'[4]Set Up'!$O$15+'[4]Set Up'!$O$16,(V11-'[4]Set Up'!$J$17)*'[4]Set Up'!$N$18 + SUM('[4]Set Up'!$O$15:'[4]Set Up'!$O$17)))))</f>
        <v>361.16085066205574</v>
      </c>
      <c r="W15" s="30">
        <f>IF(W11="","",IF(W11&lt;'[4]Set Up'!$J$15,W11*'[4]Set Up'!$N$15,IF(W11&lt;'[4]Set Up'!$J$16,(W11-'[4]Set Up'!$J$15)*'[4]Set Up'!$N$16+'[4]Set Up'!$O$15,IF(W11&lt;'[4]Set Up'!$J$17,(W11-'[4]Set Up'!$J$16)*'[4]Set Up'!$N$17+'[4]Set Up'!$O$15+'[4]Set Up'!$O$16,(W11-'[4]Set Up'!$J$17)*'[4]Set Up'!$N$18 + SUM('[4]Set Up'!$O$15:'[4]Set Up'!$O$17)))))</f>
        <v>358.15962960991283</v>
      </c>
      <c r="X15" s="30">
        <f>IF(X11="","",IF(X11&lt;'[4]Set Up'!$J$15,X11*'[4]Set Up'!$N$15,IF(X11&lt;'[4]Set Up'!$J$16,(X11-'[4]Set Up'!$J$15)*'[4]Set Up'!$N$16+'[4]Set Up'!$O$15,IF(X11&lt;'[4]Set Up'!$J$17,(X11-'[4]Set Up'!$J$16)*'[4]Set Up'!$N$17+'[4]Set Up'!$O$15+'[4]Set Up'!$O$16,(X11-'[4]Set Up'!$J$17)*'[4]Set Up'!$N$18 + SUM('[4]Set Up'!$O$15:'[4]Set Up'!$O$17)))))</f>
        <v>355.17334000579058</v>
      </c>
      <c r="Y15" s="30">
        <f>IF(Y11="","",IF(Y11&lt;'[4]Set Up'!$J$15,Y11*'[4]Set Up'!$N$15,IF(Y11&lt;'[4]Set Up'!$J$16,(Y11-'[4]Set Up'!$J$15)*'[4]Set Up'!$N$16+'[4]Set Up'!$O$15,IF(Y11&lt;'[4]Set Up'!$J$17,(Y11-'[4]Set Up'!$J$16)*'[4]Set Up'!$N$17+'[4]Set Up'!$O$15+'[4]Set Up'!$O$16,(Y11-'[4]Set Up'!$J$17)*'[4]Set Up'!$N$18 + SUM('[4]Set Up'!$O$15:'[4]Set Up'!$O$17)))))</f>
        <v>352.17211895364767</v>
      </c>
      <c r="Z15" s="30">
        <f>IF(Z11="","",IF(Z11&lt;'[4]Set Up'!$J$15,Z11*'[4]Set Up'!$N$15,IF(Z11&lt;'[4]Set Up'!$J$16,(Z11-'[4]Set Up'!$J$15)*'[4]Set Up'!$N$16+'[4]Set Up'!$O$15,IF(Z11&lt;'[4]Set Up'!$J$17,(Z11-'[4]Set Up'!$J$16)*'[4]Set Up'!$N$17+'[4]Set Up'!$O$15+'[4]Set Up'!$O$16,(Z11-'[4]Set Up'!$J$17)*'[4]Set Up'!$N$18 + SUM('[4]Set Up'!$O$15:'[4]Set Up'!$O$17)))))</f>
        <v>349.17089790150476</v>
      </c>
      <c r="AA15" s="30">
        <f>IF(AA11="","",IF(AA11&lt;'[4]Set Up'!$J$15,AA11*'[4]Set Up'!$N$15,IF(AA11&lt;'[4]Set Up'!$J$16,(AA11-'[4]Set Up'!$J$15)*'[4]Set Up'!$N$16+'[4]Set Up'!$O$15,IF(AA11&lt;'[4]Set Up'!$J$17,(AA11-'[4]Set Up'!$J$16)*'[4]Set Up'!$N$17+'[4]Set Up'!$O$15+'[4]Set Up'!$O$16,(AA11-'[4]Set Up'!$J$17)*'[4]Set Up'!$N$18 + SUM('[4]Set Up'!$O$15:'[4]Set Up'!$O$17)))))</f>
        <v>346.16967684936191</v>
      </c>
      <c r="AB15" s="30">
        <f>IF(AB11="","",IF(AB11&lt;'[4]Set Up'!$J$15,AB11*'[4]Set Up'!$N$15,IF(AB11&lt;'[4]Set Up'!$J$16,(AB11-'[4]Set Up'!$J$15)*'[4]Set Up'!$N$16+'[4]Set Up'!$O$15,IF(AB11&lt;'[4]Set Up'!$J$17,(AB11-'[4]Set Up'!$J$16)*'[4]Set Up'!$N$17+'[4]Set Up'!$O$15+'[4]Set Up'!$O$16,(AB11-'[4]Set Up'!$J$17)*'[4]Set Up'!$N$18 + SUM('[4]Set Up'!$O$15:'[4]Set Up'!$O$17)))))</f>
        <v>343.168455797219</v>
      </c>
      <c r="AC15" s="30">
        <f>IF(AC11="","",IF(AC11&lt;'[4]Set Up'!$J$15,AC11*'[4]Set Up'!$N$15,IF(AC11&lt;'[4]Set Up'!$J$16,(AC11-'[4]Set Up'!$J$15)*'[4]Set Up'!$N$16+'[4]Set Up'!$O$15,IF(AC11&lt;'[4]Set Up'!$J$17,(AC11-'[4]Set Up'!$J$16)*'[4]Set Up'!$N$17+'[4]Set Up'!$O$15+'[4]Set Up'!$O$16,(AC11-'[4]Set Up'!$J$17)*'[4]Set Up'!$N$18 + SUM('[4]Set Up'!$O$15:'[4]Set Up'!$O$17)))))</f>
        <v>340.16723474507614</v>
      </c>
      <c r="AD15" s="30">
        <f>IF(AD11="","",IF(AD11&lt;'[4]Set Up'!$J$15,AD11*'[4]Set Up'!$N$15,IF(AD11&lt;'[4]Set Up'!$J$16,(AD11-'[4]Set Up'!$J$15)*'[4]Set Up'!$N$16+'[4]Set Up'!$O$15,IF(AD11&lt;'[4]Set Up'!$J$17,(AD11-'[4]Set Up'!$J$16)*'[4]Set Up'!$N$17+'[4]Set Up'!$O$15+'[4]Set Up'!$O$16,(AD11-'[4]Set Up'!$J$17)*'[4]Set Up'!$N$18 + SUM('[4]Set Up'!$O$15:'[4]Set Up'!$O$17)))))</f>
        <v>337.18094514095384</v>
      </c>
      <c r="AE15" s="30">
        <f>IF(AE11="","",IF(AE11&lt;'[4]Set Up'!$J$15,AE11*'[4]Set Up'!$N$15,IF(AE11&lt;'[4]Set Up'!$J$16,(AE11-'[4]Set Up'!$J$15)*'[4]Set Up'!$N$16+'[4]Set Up'!$O$15,IF(AE11&lt;'[4]Set Up'!$J$17,(AE11-'[4]Set Up'!$J$16)*'[4]Set Up'!$N$17+'[4]Set Up'!$O$15+'[4]Set Up'!$O$16,(AE11-'[4]Set Up'!$J$17)*'[4]Set Up'!$N$18 + SUM('[4]Set Up'!$O$15:'[4]Set Up'!$O$17)))))</f>
        <v>334.17972408881099</v>
      </c>
      <c r="AF15" s="30">
        <f>IF(AF11="","",IF(AF11&lt;'[4]Set Up'!$J$15,AF11*'[4]Set Up'!$N$15,IF(AF11&lt;'[4]Set Up'!$J$16,(AF11-'[4]Set Up'!$J$15)*'[4]Set Up'!$N$16+'[4]Set Up'!$O$15,IF(AF11&lt;'[4]Set Up'!$J$17,(AF11-'[4]Set Up'!$J$16)*'[4]Set Up'!$N$17+'[4]Set Up'!$O$15+'[4]Set Up'!$O$16,(AF11-'[4]Set Up'!$J$17)*'[4]Set Up'!$N$18 + SUM('[4]Set Up'!$O$15:'[4]Set Up'!$O$17)))))</f>
        <v>331.17850303666808</v>
      </c>
      <c r="AG15" s="30">
        <f>IF(AG11="","",IF(AG11&lt;'[4]Set Up'!$J$15,AG11*'[4]Set Up'!$N$15,IF(AG11&lt;'[4]Set Up'!$J$16,(AG11-'[4]Set Up'!$J$15)*'[4]Set Up'!$N$16+'[4]Set Up'!$O$15,IF(AG11&lt;'[4]Set Up'!$J$17,(AG11-'[4]Set Up'!$J$16)*'[4]Set Up'!$N$17+'[4]Set Up'!$O$15+'[4]Set Up'!$O$16,(AG11-'[4]Set Up'!$J$17)*'[4]Set Up'!$N$18 + SUM('[4]Set Up'!$O$15:'[4]Set Up'!$O$17)))))</f>
        <v>328.17728198452517</v>
      </c>
      <c r="AH15" s="30">
        <f>IF(AH11="","",IF(AH11&lt;'[4]Set Up'!$J$15,AH11*'[4]Set Up'!$N$15,IF(AH11&lt;'[4]Set Up'!$J$16,(AH11-'[4]Set Up'!$J$15)*'[4]Set Up'!$N$16+'[4]Set Up'!$O$15,IF(AH11&lt;'[4]Set Up'!$J$17,(AH11-'[4]Set Up'!$J$16)*'[4]Set Up'!$N$17+'[4]Set Up'!$O$15+'[4]Set Up'!$O$16,(AH11-'[4]Set Up'!$J$17)*'[4]Set Up'!$N$18 + SUM('[4]Set Up'!$O$15:'[4]Set Up'!$O$17)))))</f>
        <v>325.17606093238226</v>
      </c>
      <c r="AI15" s="30">
        <f>IF(AI11="","",IF(AI11&lt;'[4]Set Up'!$J$15,AI11*'[4]Set Up'!$N$15,IF(AI11&lt;'[4]Set Up'!$J$16,(AI11-'[4]Set Up'!$J$15)*'[4]Set Up'!$N$16+'[4]Set Up'!$O$15,IF(AI11&lt;'[4]Set Up'!$J$17,(AI11-'[4]Set Up'!$J$16)*'[4]Set Up'!$N$17+'[4]Set Up'!$O$15+'[4]Set Up'!$O$16,(AI11-'[4]Set Up'!$J$17)*'[4]Set Up'!$N$18 + SUM('[4]Set Up'!$O$15:'[4]Set Up'!$O$17)))))</f>
        <v>322.1748398802394</v>
      </c>
      <c r="AJ15" s="30">
        <f>IF(AJ11="","",IF(AJ11&lt;'[4]Set Up'!$J$15,AJ11*'[4]Set Up'!$N$15,IF(AJ11&lt;'[4]Set Up'!$J$16,(AJ11-'[4]Set Up'!$J$15)*'[4]Set Up'!$N$16+'[4]Set Up'!$O$15,IF(AJ11&lt;'[4]Set Up'!$J$17,(AJ11-'[4]Set Up'!$J$16)*'[4]Set Up'!$N$17+'[4]Set Up'!$O$15+'[4]Set Up'!$O$16,(AJ11-'[4]Set Up'!$J$17)*'[4]Set Up'!$N$18 + SUM('[4]Set Up'!$O$15:'[4]Set Up'!$O$17)))))</f>
        <v>319.17361882809649</v>
      </c>
      <c r="AK15" s="30">
        <f>IF(AK11="","",IF(AK11&lt;'[4]Set Up'!$J$15,AK11*'[4]Set Up'!$N$15,IF(AK11&lt;'[4]Set Up'!$J$16,(AK11-'[4]Set Up'!$J$15)*'[4]Set Up'!$N$16+'[4]Set Up'!$O$15,IF(AK11&lt;'[4]Set Up'!$J$17,(AK11-'[4]Set Up'!$J$16)*'[4]Set Up'!$N$17+'[4]Set Up'!$O$15+'[4]Set Up'!$O$16,(AK11-'[4]Set Up'!$J$17)*'[4]Set Up'!$N$18 + SUM('[4]Set Up'!$O$15:'[4]Set Up'!$O$17)))))</f>
        <v>316.18732922397419</v>
      </c>
      <c r="AL15" s="30">
        <f>IF(AL11="","",IF(AL11&lt;'[4]Set Up'!$J$15,AL11*'[4]Set Up'!$N$15,IF(AL11&lt;'[4]Set Up'!$J$16,(AL11-'[4]Set Up'!$J$15)*'[4]Set Up'!$N$16+'[4]Set Up'!$O$15,IF(AL11&lt;'[4]Set Up'!$J$17,(AL11-'[4]Set Up'!$J$16)*'[4]Set Up'!$N$17+'[4]Set Up'!$O$15+'[4]Set Up'!$O$16,(AL11-'[4]Set Up'!$J$17)*'[4]Set Up'!$N$18 + SUM('[4]Set Up'!$O$15:'[4]Set Up'!$O$17)))))</f>
        <v>313.18610817183134</v>
      </c>
      <c r="AM15" s="30">
        <f>IF(AM11="","",IF(AM11&lt;'[4]Set Up'!$J$15,AM11*'[4]Set Up'!$N$15,IF(AM11&lt;'[4]Set Up'!$J$16,(AM11-'[4]Set Up'!$J$15)*'[4]Set Up'!$N$16+'[4]Set Up'!$O$15,IF(AM11&lt;'[4]Set Up'!$J$17,(AM11-'[4]Set Up'!$J$16)*'[4]Set Up'!$N$17+'[4]Set Up'!$O$15+'[4]Set Up'!$O$16,(AM11-'[4]Set Up'!$J$17)*'[4]Set Up'!$N$18 + SUM('[4]Set Up'!$O$15:'[4]Set Up'!$O$17)))))</f>
        <v>310.18488711968843</v>
      </c>
      <c r="AN15" s="30">
        <f>IF(AN11="","",IF(AN11&lt;'[4]Set Up'!$J$15,AN11*'[4]Set Up'!$N$15,IF(AN11&lt;'[4]Set Up'!$J$16,(AN11-'[4]Set Up'!$J$15)*'[4]Set Up'!$N$16+'[4]Set Up'!$O$15,IF(AN11&lt;'[4]Set Up'!$J$17,(AN11-'[4]Set Up'!$J$16)*'[4]Set Up'!$N$17+'[4]Set Up'!$O$15+'[4]Set Up'!$O$16,(AN11-'[4]Set Up'!$J$17)*'[4]Set Up'!$N$18 + SUM('[4]Set Up'!$O$15:'[4]Set Up'!$O$17)))))</f>
        <v>307.18366606754557</v>
      </c>
      <c r="AO15" s="30">
        <f>IF(AO11="","",IF(AO11&lt;'[4]Set Up'!$J$15,AO11*'[4]Set Up'!$N$15,IF(AO11&lt;'[4]Set Up'!$J$16,(AO11-'[4]Set Up'!$J$15)*'[4]Set Up'!$N$16+'[4]Set Up'!$O$15,IF(AO11&lt;'[4]Set Up'!$J$17,(AO11-'[4]Set Up'!$J$16)*'[4]Set Up'!$N$17+'[4]Set Up'!$O$15+'[4]Set Up'!$O$16,(AO11-'[4]Set Up'!$J$17)*'[4]Set Up'!$N$18 + SUM('[4]Set Up'!$O$15:'[4]Set Up'!$O$17)))))</f>
        <v>304.18244501540266</v>
      </c>
      <c r="AP15" s="30">
        <f>IF(AP11="","",IF(AP11&lt;'[4]Set Up'!$J$15,AP11*'[4]Set Up'!$N$15,IF(AP11&lt;'[4]Set Up'!$J$16,(AP11-'[4]Set Up'!$J$15)*'[4]Set Up'!$N$16+'[4]Set Up'!$O$15,IF(AP11&lt;'[4]Set Up'!$J$17,(AP11-'[4]Set Up'!$J$16)*'[4]Set Up'!$N$17+'[4]Set Up'!$O$15+'[4]Set Up'!$O$16,(AP11-'[4]Set Up'!$J$17)*'[4]Set Up'!$N$18 + SUM('[4]Set Up'!$O$15:'[4]Set Up'!$O$17)))))</f>
        <v>301.18122396325975</v>
      </c>
      <c r="AQ15" s="30">
        <f>IF(AQ11="","",IF(AQ11&lt;'[4]Set Up'!$J$15,AQ11*'[4]Set Up'!$N$15,IF(AQ11&lt;'[4]Set Up'!$J$16,(AQ11-'[4]Set Up'!$J$15)*'[4]Set Up'!$N$16+'[4]Set Up'!$O$15,IF(AQ11&lt;'[4]Set Up'!$J$17,(AQ11-'[4]Set Up'!$J$16)*'[4]Set Up'!$N$17+'[4]Set Up'!$O$15+'[4]Set Up'!$O$16,(AQ11-'[4]Set Up'!$J$17)*'[4]Set Up'!$N$18 + SUM('[4]Set Up'!$O$15:'[4]Set Up'!$O$17)))))</f>
        <v>298.19493435913751</v>
      </c>
      <c r="AR15" s="30">
        <f>IF(AR11="","",IF(AR11&lt;'[4]Set Up'!$J$15,AR11*'[4]Set Up'!$N$15,IF(AR11&lt;'[4]Set Up'!$J$16,(AR11-'[4]Set Up'!$J$15)*'[4]Set Up'!$N$16+'[4]Set Up'!$O$15,IF(AR11&lt;'[4]Set Up'!$J$17,(AR11-'[4]Set Up'!$J$16)*'[4]Set Up'!$N$17+'[4]Set Up'!$O$15+'[4]Set Up'!$O$16,(AR11-'[4]Set Up'!$J$17)*'[4]Set Up'!$N$18 + SUM('[4]Set Up'!$O$15:'[4]Set Up'!$O$17)))))</f>
        <v>295.1937133069946</v>
      </c>
      <c r="AS15" s="30">
        <f>IF(AS11="","",IF(AS11&lt;'[4]Set Up'!$J$15,AS11*'[4]Set Up'!$N$15,IF(AS11&lt;'[4]Set Up'!$J$16,(AS11-'[4]Set Up'!$J$15)*'[4]Set Up'!$N$16+'[4]Set Up'!$O$15,IF(AS11&lt;'[4]Set Up'!$J$17,(AS11-'[4]Set Up'!$J$16)*'[4]Set Up'!$N$17+'[4]Set Up'!$O$15+'[4]Set Up'!$O$16,(AS11-'[4]Set Up'!$J$17)*'[4]Set Up'!$N$18 + SUM('[4]Set Up'!$O$15:'[4]Set Up'!$O$17)))))</f>
        <v>292.19249225485169</v>
      </c>
      <c r="AT15" s="30">
        <f>IF(AT11="","",IF(AT11&lt;'[4]Set Up'!$J$15,AT11*'[4]Set Up'!$N$15,IF(AT11&lt;'[4]Set Up'!$J$16,(AT11-'[4]Set Up'!$J$15)*'[4]Set Up'!$N$16+'[4]Set Up'!$O$15,IF(AT11&lt;'[4]Set Up'!$J$17,(AT11-'[4]Set Up'!$J$16)*'[4]Set Up'!$N$17+'[4]Set Up'!$O$15+'[4]Set Up'!$O$16,(AT11-'[4]Set Up'!$J$17)*'[4]Set Up'!$N$18 + SUM('[4]Set Up'!$O$15:'[4]Set Up'!$O$17)))))</f>
        <v>289.19127120270883</v>
      </c>
      <c r="AU15" s="30">
        <f>IF(AU11="","",IF(AU11&lt;'[4]Set Up'!$J$15,AU11*'[4]Set Up'!$N$15,IF(AU11&lt;'[4]Set Up'!$J$16,(AU11-'[4]Set Up'!$J$15)*'[4]Set Up'!$N$16+'[4]Set Up'!$O$15,IF(AU11&lt;'[4]Set Up'!$J$17,(AU11-'[4]Set Up'!$J$16)*'[4]Set Up'!$N$17+'[4]Set Up'!$O$15+'[4]Set Up'!$O$16,(AU11-'[4]Set Up'!$J$17)*'[4]Set Up'!$N$18 + SUM('[4]Set Up'!$O$15:'[4]Set Up'!$O$17)))))</f>
        <v>286.19005015056592</v>
      </c>
      <c r="AV15" s="30">
        <f>IF(AV11="","",IF(AV11&lt;'[4]Set Up'!$J$15,AV11*'[4]Set Up'!$N$15,IF(AV11&lt;'[4]Set Up'!$J$16,(AV11-'[4]Set Up'!$J$15)*'[4]Set Up'!$N$16+'[4]Set Up'!$O$15,IF(AV11&lt;'[4]Set Up'!$J$17,(AV11-'[4]Set Up'!$J$16)*'[4]Set Up'!$N$17+'[4]Set Up'!$O$15+'[4]Set Up'!$O$16,(AV11-'[4]Set Up'!$J$17)*'[4]Set Up'!$N$18 + SUM('[4]Set Up'!$O$15:'[4]Set Up'!$O$17)))))</f>
        <v>283.18882909842307</v>
      </c>
      <c r="AW15" s="30">
        <f>IF(AW11="","",IF(AW11&lt;'[4]Set Up'!$J$15,AW11*'[4]Set Up'!$N$15,IF(AW11&lt;'[4]Set Up'!$J$16,(AW11-'[4]Set Up'!$J$15)*'[4]Set Up'!$N$16+'[4]Set Up'!$O$15,IF(AW11&lt;'[4]Set Up'!$J$17,(AW11-'[4]Set Up'!$J$16)*'[4]Set Up'!$N$17+'[4]Set Up'!$O$15+'[4]Set Up'!$O$16,(AW11-'[4]Set Up'!$J$17)*'[4]Set Up'!$N$18 + SUM('[4]Set Up'!$O$15:'[4]Set Up'!$O$17)))))</f>
        <v>280.20253949430077</v>
      </c>
      <c r="AX15" s="30">
        <f>IF(AX11="","",IF(AX11&lt;'[4]Set Up'!$J$15,AX11*'[4]Set Up'!$N$15,IF(AX11&lt;'[4]Set Up'!$J$16,(AX11-'[4]Set Up'!$J$15)*'[4]Set Up'!$N$16+'[4]Set Up'!$O$15,IF(AX11&lt;'[4]Set Up'!$J$17,(AX11-'[4]Set Up'!$J$16)*'[4]Set Up'!$N$17+'[4]Set Up'!$O$15+'[4]Set Up'!$O$16,(AX11-'[4]Set Up'!$J$17)*'[4]Set Up'!$N$18 + SUM('[4]Set Up'!$O$15:'[4]Set Up'!$O$17)))))</f>
        <v>277.20131844215786</v>
      </c>
      <c r="AY15" s="30">
        <f>IF(AY11="","",IF(AY11&lt;'[4]Set Up'!$J$15,AY11*'[4]Set Up'!$N$15,IF(AY11&lt;'[4]Set Up'!$J$16,(AY11-'[4]Set Up'!$J$15)*'[4]Set Up'!$N$16+'[4]Set Up'!$O$15,IF(AY11&lt;'[4]Set Up'!$J$17,(AY11-'[4]Set Up'!$J$16)*'[4]Set Up'!$N$17+'[4]Set Up'!$O$15+'[4]Set Up'!$O$16,(AY11-'[4]Set Up'!$J$17)*'[4]Set Up'!$N$18 + SUM('[4]Set Up'!$O$15:'[4]Set Up'!$O$17)))))</f>
        <v>274.200097390015</v>
      </c>
      <c r="AZ15" s="30">
        <f>IF(AZ11="","",IF(AZ11&lt;'[4]Set Up'!$J$15,AZ11*'[4]Set Up'!$N$15,IF(AZ11&lt;'[4]Set Up'!$J$16,(AZ11-'[4]Set Up'!$J$15)*'[4]Set Up'!$N$16+'[4]Set Up'!$O$15,IF(AZ11&lt;'[4]Set Up'!$J$17,(AZ11-'[4]Set Up'!$J$16)*'[4]Set Up'!$N$17+'[4]Set Up'!$O$15+'[4]Set Up'!$O$16,(AZ11-'[4]Set Up'!$J$17)*'[4]Set Up'!$N$18 + SUM('[4]Set Up'!$O$15:'[4]Set Up'!$O$17)))))</f>
        <v>271.19887633787209</v>
      </c>
      <c r="BA15" s="30">
        <f>IF(BA11="","",IF(BA11&lt;'[4]Set Up'!$J$15,BA11*'[4]Set Up'!$N$15,IF(BA11&lt;'[4]Set Up'!$J$16,(BA11-'[4]Set Up'!$J$15)*'[4]Set Up'!$N$16+'[4]Set Up'!$O$15,IF(BA11&lt;'[4]Set Up'!$J$17,(BA11-'[4]Set Up'!$J$16)*'[4]Set Up'!$N$17+'[4]Set Up'!$O$15+'[4]Set Up'!$O$16,(BA11-'[4]Set Up'!$J$17)*'[4]Set Up'!$N$18 + SUM('[4]Set Up'!$O$15:'[4]Set Up'!$O$17)))))</f>
        <v>268.19765528572918</v>
      </c>
      <c r="BB15" s="30">
        <f>IF(BB11="","",IF(BB11&lt;'[4]Set Up'!$J$15,BB11*'[4]Set Up'!$N$15,IF(BB11&lt;'[4]Set Up'!$J$16,(BB11-'[4]Set Up'!$J$15)*'[4]Set Up'!$N$16+'[4]Set Up'!$O$15,IF(BB11&lt;'[4]Set Up'!$J$17,(BB11-'[4]Set Up'!$J$16)*'[4]Set Up'!$N$17+'[4]Set Up'!$O$15+'[4]Set Up'!$O$16,(BB11-'[4]Set Up'!$J$17)*'[4]Set Up'!$N$18 + SUM('[4]Set Up'!$O$15:'[4]Set Up'!$O$17)))))</f>
        <v>265.19643423358633</v>
      </c>
      <c r="BC15" s="30">
        <f>IF(BC11="","",IF(BC11&lt;'[4]Set Up'!$J$15,BC11*'[4]Set Up'!$N$15,IF(BC11&lt;'[4]Set Up'!$J$16,(BC11-'[4]Set Up'!$J$15)*'[4]Set Up'!$N$16+'[4]Set Up'!$O$15,IF(BC11&lt;'[4]Set Up'!$J$17,(BC11-'[4]Set Up'!$J$16)*'[4]Set Up'!$N$17+'[4]Set Up'!$O$15+'[4]Set Up'!$O$16,(BC11-'[4]Set Up'!$J$17)*'[4]Set Up'!$N$18 + SUM('[4]Set Up'!$O$15:'[4]Set Up'!$O$17)))))</f>
        <v>262.21014462946403</v>
      </c>
      <c r="BD15" s="30">
        <f>IF(BD11="","",IF(BD11&lt;'[4]Set Up'!$J$15,BD11*'[4]Set Up'!$N$15,IF(BD11&lt;'[4]Set Up'!$J$16,(BD11-'[4]Set Up'!$J$15)*'[4]Set Up'!$N$16+'[4]Set Up'!$O$15,IF(BD11&lt;'[4]Set Up'!$J$17,(BD11-'[4]Set Up'!$J$16)*'[4]Set Up'!$N$17+'[4]Set Up'!$O$15+'[4]Set Up'!$O$16,(BD11-'[4]Set Up'!$J$17)*'[4]Set Up'!$N$18 + SUM('[4]Set Up'!$O$15:'[4]Set Up'!$O$17)))))</f>
        <v>0</v>
      </c>
      <c r="BE15" s="30">
        <f>IF(BE11="","",IF(BE11&lt;'[4]Set Up'!$J$15,BE11*'[4]Set Up'!$N$15,IF(BE11&lt;'[4]Set Up'!$J$16,(BE11-'[4]Set Up'!$J$15)*'[4]Set Up'!$N$16+'[4]Set Up'!$O$15,IF(BE11&lt;'[4]Set Up'!$J$17,(BE11-'[4]Set Up'!$J$16)*'[4]Set Up'!$N$17+'[4]Set Up'!$O$15+'[4]Set Up'!$O$16,(BE11-'[4]Set Up'!$J$17)*'[4]Set Up'!$N$18 + SUM('[4]Set Up'!$O$15:'[4]Set Up'!$O$17)))))</f>
        <v>0</v>
      </c>
      <c r="BF15" s="30">
        <f>IF(BF11="","",IF(BF11&lt;'[4]Set Up'!$J$15,BF11*'[4]Set Up'!$N$15,IF(BF11&lt;'[4]Set Up'!$J$16,(BF11-'[4]Set Up'!$J$15)*'[4]Set Up'!$N$16+'[4]Set Up'!$O$15,IF(BF11&lt;'[4]Set Up'!$J$17,(BF11-'[4]Set Up'!$J$16)*'[4]Set Up'!$N$17+'[4]Set Up'!$O$15+'[4]Set Up'!$O$16,(BF11-'[4]Set Up'!$J$17)*'[4]Set Up'!$N$18 + SUM('[4]Set Up'!$O$15:'[4]Set Up'!$O$17)))))</f>
        <v>0</v>
      </c>
      <c r="BG15" s="30">
        <f>IF(BG11="","",IF(BG11&lt;'[4]Set Up'!$J$15,BG11*'[4]Set Up'!$N$15,IF(BG11&lt;'[4]Set Up'!$J$16,(BG11-'[4]Set Up'!$J$15)*'[4]Set Up'!$N$16+'[4]Set Up'!$O$15,IF(BG11&lt;'[4]Set Up'!$J$17,(BG11-'[4]Set Up'!$J$16)*'[4]Set Up'!$N$17+'[4]Set Up'!$O$15+'[4]Set Up'!$O$16,(BG11-'[4]Set Up'!$J$17)*'[4]Set Up'!$N$18 + SUM('[4]Set Up'!$O$15:'[4]Set Up'!$O$17)))))</f>
        <v>0</v>
      </c>
      <c r="BH15" s="30">
        <f>IF(BH11="","",IF(BH11&lt;'[4]Set Up'!$J$15,BH11*'[4]Set Up'!$N$15,IF(BH11&lt;'[4]Set Up'!$J$16,(BH11-'[4]Set Up'!$J$15)*'[4]Set Up'!$N$16+'[4]Set Up'!$O$15,IF(BH11&lt;'[4]Set Up'!$J$17,(BH11-'[4]Set Up'!$J$16)*'[4]Set Up'!$N$17+'[4]Set Up'!$O$15+'[4]Set Up'!$O$16,(BH11-'[4]Set Up'!$J$17)*'[4]Set Up'!$N$18 + SUM('[4]Set Up'!$O$15:'[4]Set Up'!$O$17)))))</f>
        <v>0</v>
      </c>
      <c r="BI15" s="30">
        <f>IF(BI11="","",IF(BI11&lt;'[4]Set Up'!$J$15,BI11*'[4]Set Up'!$N$15,IF(BI11&lt;'[4]Set Up'!$J$16,(BI11-'[4]Set Up'!$J$15)*'[4]Set Up'!$N$16+'[4]Set Up'!$O$15,IF(BI11&lt;'[4]Set Up'!$J$17,(BI11-'[4]Set Up'!$J$16)*'[4]Set Up'!$N$17+'[4]Set Up'!$O$15+'[4]Set Up'!$O$16,(BI11-'[4]Set Up'!$J$17)*'[4]Set Up'!$N$18 + SUM('[4]Set Up'!$O$15:'[4]Set Up'!$O$17)))))</f>
        <v>0</v>
      </c>
      <c r="BJ15" s="30">
        <f>IF(BJ11="","",IF(BJ11&lt;'[4]Set Up'!$J$15,BJ11*'[4]Set Up'!$N$15,IF(BJ11&lt;'[4]Set Up'!$J$16,(BJ11-'[4]Set Up'!$J$15)*'[4]Set Up'!$N$16+'[4]Set Up'!$O$15,IF(BJ11&lt;'[4]Set Up'!$J$17,(BJ11-'[4]Set Up'!$J$16)*'[4]Set Up'!$N$17+'[4]Set Up'!$O$15+'[4]Set Up'!$O$16,(BJ11-'[4]Set Up'!$J$17)*'[4]Set Up'!$N$18 + SUM('[4]Set Up'!$O$15:'[4]Set Up'!$O$17)))))</f>
        <v>0</v>
      </c>
      <c r="BK15" s="30">
        <f>IF(BK11="","",IF(BK11&lt;'[4]Set Up'!$J$15,BK11*'[4]Set Up'!$N$15,IF(BK11&lt;'[4]Set Up'!$J$16,(BK11-'[4]Set Up'!$J$15)*'[4]Set Up'!$N$16+'[4]Set Up'!$O$15,IF(BK11&lt;'[4]Set Up'!$J$17,(BK11-'[4]Set Up'!$J$16)*'[4]Set Up'!$N$17+'[4]Set Up'!$O$15+'[4]Set Up'!$O$16,(BK11-'[4]Set Up'!$J$17)*'[4]Set Up'!$N$18 + SUM('[4]Set Up'!$O$15:'[4]Set Up'!$O$17)))))</f>
        <v>0</v>
      </c>
      <c r="BL15" s="30">
        <f>IF(BL11="","",IF(BL11&lt;'[4]Set Up'!$J$15,BL11*'[4]Set Up'!$N$15,IF(BL11&lt;'[4]Set Up'!$J$16,(BL11-'[4]Set Up'!$J$15)*'[4]Set Up'!$N$16+'[4]Set Up'!$O$15,IF(BL11&lt;'[4]Set Up'!$J$17,(BL11-'[4]Set Up'!$J$16)*'[4]Set Up'!$N$17+'[4]Set Up'!$O$15+'[4]Set Up'!$O$16,(BL11-'[4]Set Up'!$J$17)*'[4]Set Up'!$N$18 + SUM('[4]Set Up'!$O$15:'[4]Set Up'!$O$17)))))</f>
        <v>0</v>
      </c>
      <c r="BM15" s="30">
        <f>IF(BM11="","",IF(BM11&lt;'[4]Set Up'!$J$15,BM11*'[4]Set Up'!$N$15,IF(BM11&lt;'[4]Set Up'!$J$16,(BM11-'[4]Set Up'!$J$15)*'[4]Set Up'!$N$16+'[4]Set Up'!$O$15,IF(BM11&lt;'[4]Set Up'!$J$17,(BM11-'[4]Set Up'!$J$16)*'[4]Set Up'!$N$17+'[4]Set Up'!$O$15+'[4]Set Up'!$O$16,(BM11-'[4]Set Up'!$J$17)*'[4]Set Up'!$N$18 + SUM('[4]Set Up'!$O$15:'[4]Set Up'!$O$17)))))</f>
        <v>0</v>
      </c>
      <c r="BN15" s="30">
        <f>IF(BN11="","",IF(BN11&lt;'[4]Set Up'!$J$15,BN11*'[4]Set Up'!$N$15,IF(BN11&lt;'[4]Set Up'!$J$16,(BN11-'[4]Set Up'!$J$15)*'[4]Set Up'!$N$16+'[4]Set Up'!$O$15,IF(BN11&lt;'[4]Set Up'!$J$17,(BN11-'[4]Set Up'!$J$16)*'[4]Set Up'!$N$17+'[4]Set Up'!$O$15+'[4]Set Up'!$O$16,(BN11-'[4]Set Up'!$J$17)*'[4]Set Up'!$N$18 + SUM('[4]Set Up'!$O$15:'[4]Set Up'!$O$17)))))</f>
        <v>0</v>
      </c>
      <c r="BO15" s="30">
        <f>IF(BO11="","",IF(BO11&lt;'[4]Set Up'!$J$15,BO11*'[4]Set Up'!$N$15,IF(BO11&lt;'[4]Set Up'!$J$16,(BO11-'[4]Set Up'!$J$15)*'[4]Set Up'!$N$16+'[4]Set Up'!$O$15,IF(BO11&lt;'[4]Set Up'!$J$17,(BO11-'[4]Set Up'!$J$16)*'[4]Set Up'!$N$17+'[4]Set Up'!$O$15+'[4]Set Up'!$O$16,(BO11-'[4]Set Up'!$J$17)*'[4]Set Up'!$N$18 + SUM('[4]Set Up'!$O$15:'[4]Set Up'!$O$17)))))</f>
        <v>0</v>
      </c>
      <c r="BP15" s="30">
        <f>IF(BP11="","",IF(BP11&lt;'[4]Set Up'!$J$15,BP11*'[4]Set Up'!$N$15,IF(BP11&lt;'[4]Set Up'!$J$16,(BP11-'[4]Set Up'!$J$15)*'[4]Set Up'!$N$16+'[4]Set Up'!$O$15,IF(BP11&lt;'[4]Set Up'!$J$17,(BP11-'[4]Set Up'!$J$16)*'[4]Set Up'!$N$17+'[4]Set Up'!$O$15+'[4]Set Up'!$O$16,(BP11-'[4]Set Up'!$J$17)*'[4]Set Up'!$N$18 + SUM('[4]Set Up'!$O$15:'[4]Set Up'!$O$17)))))</f>
        <v>0</v>
      </c>
      <c r="BQ15" s="30">
        <f>IF(BQ11="","",IF(BQ11&lt;'[4]Set Up'!$J$15,BQ11*'[4]Set Up'!$N$15,IF(BQ11&lt;'[4]Set Up'!$J$16,(BQ11-'[4]Set Up'!$J$15)*'[4]Set Up'!$N$16+'[4]Set Up'!$O$15,IF(BQ11&lt;'[4]Set Up'!$J$17,(BQ11-'[4]Set Up'!$J$16)*'[4]Set Up'!$N$17+'[4]Set Up'!$O$15+'[4]Set Up'!$O$16,(BQ11-'[4]Set Up'!$J$17)*'[4]Set Up'!$N$18 + SUM('[4]Set Up'!$O$15:'[4]Set Up'!$O$17)))))</f>
        <v>0</v>
      </c>
      <c r="BR15" s="30">
        <f>IF(BR11="","",IF(BR11&lt;'[4]Set Up'!$J$15,BR11*'[4]Set Up'!$N$15,IF(BR11&lt;'[4]Set Up'!$J$16,(BR11-'[4]Set Up'!$J$15)*'[4]Set Up'!$N$16+'[4]Set Up'!$O$15,IF(BR11&lt;'[4]Set Up'!$J$17,(BR11-'[4]Set Up'!$J$16)*'[4]Set Up'!$N$17+'[4]Set Up'!$O$15+'[4]Set Up'!$O$16,(BR11-'[4]Set Up'!$J$17)*'[4]Set Up'!$N$18 + SUM('[4]Set Up'!$O$15:'[4]Set Up'!$O$17)))))</f>
        <v>0</v>
      </c>
      <c r="BS15" s="30">
        <f>IF(BS11="","",IF(BS11&lt;'[4]Set Up'!$J$15,BS11*'[4]Set Up'!$N$15,IF(BS11&lt;'[4]Set Up'!$J$16,(BS11-'[4]Set Up'!$J$15)*'[4]Set Up'!$N$16+'[4]Set Up'!$O$15,IF(BS11&lt;'[4]Set Up'!$J$17,(BS11-'[4]Set Up'!$J$16)*'[4]Set Up'!$N$17+'[4]Set Up'!$O$15+'[4]Set Up'!$O$16,(BS11-'[4]Set Up'!$J$17)*'[4]Set Up'!$N$18 + SUM('[4]Set Up'!$O$15:'[4]Set Up'!$O$17)))))</f>
        <v>0</v>
      </c>
      <c r="BT15" s="30">
        <f>IF(BT11="","",IF(BT11&lt;'[4]Set Up'!$J$15,BT11*'[4]Set Up'!$N$15,IF(BT11&lt;'[4]Set Up'!$J$16,(BT11-'[4]Set Up'!$J$15)*'[4]Set Up'!$N$16+'[4]Set Up'!$O$15,IF(BT11&lt;'[4]Set Up'!$J$17,(BT11-'[4]Set Up'!$J$16)*'[4]Set Up'!$N$17+'[4]Set Up'!$O$15+'[4]Set Up'!$O$16,(BT11-'[4]Set Up'!$J$17)*'[4]Set Up'!$N$18 + SUM('[4]Set Up'!$O$15:'[4]Set Up'!$O$17)))))</f>
        <v>0</v>
      </c>
      <c r="BU15" s="30">
        <f>IF(BU11="","",IF(BU11&lt;'[4]Set Up'!$J$15,BU11*'[4]Set Up'!$N$15,IF(BU11&lt;'[4]Set Up'!$J$16,(BU11-'[4]Set Up'!$J$15)*'[4]Set Up'!$N$16+'[4]Set Up'!$O$15,IF(BU11&lt;'[4]Set Up'!$J$17,(BU11-'[4]Set Up'!$J$16)*'[4]Set Up'!$N$17+'[4]Set Up'!$O$15+'[4]Set Up'!$O$16,(BU11-'[4]Set Up'!$J$17)*'[4]Set Up'!$N$18 + SUM('[4]Set Up'!$O$15:'[4]Set Up'!$O$17)))))</f>
        <v>0</v>
      </c>
      <c r="BV15" s="30">
        <f>IF(BV11="","",IF(BV11&lt;'[4]Set Up'!$J$15,BV11*'[4]Set Up'!$N$15,IF(BV11&lt;'[4]Set Up'!$J$16,(BV11-'[4]Set Up'!$J$15)*'[4]Set Up'!$N$16+'[4]Set Up'!$O$15,IF(BV11&lt;'[4]Set Up'!$J$17,(BV11-'[4]Set Up'!$J$16)*'[4]Set Up'!$N$17+'[4]Set Up'!$O$15+'[4]Set Up'!$O$16,(BV11-'[4]Set Up'!$J$17)*'[4]Set Up'!$N$18 + SUM('[4]Set Up'!$O$15:'[4]Set Up'!$O$17)))))</f>
        <v>0</v>
      </c>
      <c r="BW15" s="30">
        <f>IF(BW11="","",IF(BW11&lt;'[4]Set Up'!$J$15,BW11*'[4]Set Up'!$N$15,IF(BW11&lt;'[4]Set Up'!$J$16,(BW11-'[4]Set Up'!$J$15)*'[4]Set Up'!$N$16+'[4]Set Up'!$O$15,IF(BW11&lt;'[4]Set Up'!$J$17,(BW11-'[4]Set Up'!$J$16)*'[4]Set Up'!$N$17+'[4]Set Up'!$O$15+'[4]Set Up'!$O$16,(BW11-'[4]Set Up'!$J$17)*'[4]Set Up'!$N$18 + SUM('[4]Set Up'!$O$15:'[4]Set Up'!$O$17)))))</f>
        <v>0</v>
      </c>
      <c r="BX15" s="30">
        <f>IF(BX11="","",IF(BX11&lt;'[4]Set Up'!$J$15,BX11*'[4]Set Up'!$N$15,IF(BX11&lt;'[4]Set Up'!$J$16,(BX11-'[4]Set Up'!$J$15)*'[4]Set Up'!$N$16+'[4]Set Up'!$O$15,IF(BX11&lt;'[4]Set Up'!$J$17,(BX11-'[4]Set Up'!$J$16)*'[4]Set Up'!$N$17+'[4]Set Up'!$O$15+'[4]Set Up'!$O$16,(BX11-'[4]Set Up'!$J$17)*'[4]Set Up'!$N$18 + SUM('[4]Set Up'!$O$15:'[4]Set Up'!$O$17)))))</f>
        <v>0</v>
      </c>
      <c r="BY15" s="30">
        <f>IF(BY11="","",IF(BY11&lt;'[4]Set Up'!$J$15,BY11*'[4]Set Up'!$N$15,IF(BY11&lt;'[4]Set Up'!$J$16,(BY11-'[4]Set Up'!$J$15)*'[4]Set Up'!$N$16+'[4]Set Up'!$O$15,IF(BY11&lt;'[4]Set Up'!$J$17,(BY11-'[4]Set Up'!$J$16)*'[4]Set Up'!$N$17+'[4]Set Up'!$O$15+'[4]Set Up'!$O$16,(BY11-'[4]Set Up'!$J$17)*'[4]Set Up'!$N$18 + SUM('[4]Set Up'!$O$15:'[4]Set Up'!$O$17)))))</f>
        <v>0</v>
      </c>
      <c r="BZ15" s="8"/>
    </row>
    <row r="16" spans="1:78" ht="15" thickBot="1" x14ac:dyDescent="0.4">
      <c r="A16" s="31"/>
      <c r="B16" s="32"/>
      <c r="C16" s="183" t="s">
        <v>23</v>
      </c>
      <c r="D16" s="184"/>
      <c r="E16" s="184"/>
      <c r="F16" s="184"/>
      <c r="G16" s="184"/>
      <c r="H16" s="184"/>
      <c r="I16" s="185"/>
      <c r="J16" s="32"/>
      <c r="K16" s="32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8"/>
    </row>
    <row r="17" spans="1:78" x14ac:dyDescent="0.35">
      <c r="A17" s="34" t="s">
        <v>24</v>
      </c>
      <c r="B17" s="35" t="s">
        <v>11</v>
      </c>
      <c r="C17" s="36">
        <v>43266</v>
      </c>
      <c r="D17" s="36">
        <v>43266</v>
      </c>
      <c r="E17" s="36">
        <v>43267</v>
      </c>
      <c r="F17" s="36">
        <v>43267</v>
      </c>
      <c r="G17" s="36">
        <v>43267</v>
      </c>
      <c r="H17" s="36">
        <v>43268</v>
      </c>
      <c r="I17" s="36">
        <v>43268</v>
      </c>
      <c r="J17" s="36">
        <v>43281</v>
      </c>
      <c r="K17" s="36">
        <v>43281</v>
      </c>
      <c r="L17" s="36">
        <v>43269</v>
      </c>
      <c r="M17" s="36">
        <v>43269</v>
      </c>
      <c r="N17" s="36">
        <v>43281</v>
      </c>
      <c r="O17" s="36">
        <v>43281</v>
      </c>
      <c r="P17" s="36">
        <v>43270</v>
      </c>
      <c r="Q17" s="36">
        <v>43281</v>
      </c>
      <c r="R17" s="36">
        <v>43271</v>
      </c>
      <c r="S17" s="36">
        <v>43276</v>
      </c>
      <c r="T17" s="36">
        <v>43271</v>
      </c>
      <c r="U17" s="36">
        <v>43271</v>
      </c>
      <c r="V17" s="36">
        <v>43272</v>
      </c>
      <c r="W17" s="36">
        <v>43281</v>
      </c>
      <c r="X17" s="36">
        <v>43281</v>
      </c>
      <c r="Y17" s="36">
        <v>43273</v>
      </c>
      <c r="Z17" s="36">
        <v>43273</v>
      </c>
      <c r="AA17" s="36">
        <v>43273</v>
      </c>
      <c r="AB17" s="36">
        <v>43281</v>
      </c>
      <c r="AC17" s="36">
        <v>43281</v>
      </c>
      <c r="AD17" s="36">
        <v>43281</v>
      </c>
      <c r="AE17" s="36">
        <v>43281</v>
      </c>
      <c r="AF17" s="36">
        <v>43275</v>
      </c>
      <c r="AG17" s="36">
        <v>43275</v>
      </c>
      <c r="AH17" s="36">
        <v>43281</v>
      </c>
      <c r="AI17" s="36">
        <v>43281</v>
      </c>
      <c r="AJ17" s="36">
        <v>43276</v>
      </c>
      <c r="AK17" s="36">
        <v>43276</v>
      </c>
      <c r="AL17" s="36">
        <v>43281</v>
      </c>
      <c r="AM17" s="36">
        <v>43277</v>
      </c>
      <c r="AN17" s="36">
        <v>43277</v>
      </c>
      <c r="AO17" s="36">
        <v>43277</v>
      </c>
      <c r="AP17" s="36">
        <v>43277</v>
      </c>
      <c r="AQ17" s="36">
        <v>43278</v>
      </c>
      <c r="AR17" s="36">
        <v>43278</v>
      </c>
      <c r="AS17" s="36">
        <v>43278</v>
      </c>
      <c r="AT17" s="36">
        <v>43279</v>
      </c>
      <c r="AU17" s="36">
        <v>43279</v>
      </c>
      <c r="AV17" s="36">
        <v>43279</v>
      </c>
      <c r="AW17" s="36">
        <v>43279</v>
      </c>
      <c r="AX17" s="36">
        <v>43280</v>
      </c>
      <c r="AY17" s="36">
        <v>43280</v>
      </c>
      <c r="AZ17" s="36">
        <v>43280</v>
      </c>
      <c r="BA17" s="36">
        <v>43280</v>
      </c>
      <c r="BB17" s="36">
        <v>43281</v>
      </c>
      <c r="BC17" s="36">
        <v>43281</v>
      </c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7"/>
    </row>
    <row r="18" spans="1:78" x14ac:dyDescent="0.35">
      <c r="A18" s="38" t="s">
        <v>25</v>
      </c>
      <c r="B18" s="39">
        <f>IF(C18="","",AVERAGE(C18:BY18))</f>
        <v>4755.0943396226412</v>
      </c>
      <c r="C18" s="40">
        <v>3400</v>
      </c>
      <c r="D18" s="40">
        <v>4360</v>
      </c>
      <c r="E18" s="41">
        <v>4510</v>
      </c>
      <c r="F18" s="41">
        <v>4750</v>
      </c>
      <c r="G18" s="41">
        <v>4920</v>
      </c>
      <c r="H18" s="41">
        <v>4690</v>
      </c>
      <c r="I18" s="41">
        <v>4790</v>
      </c>
      <c r="J18" s="41">
        <v>4970</v>
      </c>
      <c r="K18" s="41">
        <v>4960</v>
      </c>
      <c r="L18" s="41">
        <v>4660</v>
      </c>
      <c r="M18" s="41">
        <v>4640</v>
      </c>
      <c r="N18" s="41">
        <v>4860</v>
      </c>
      <c r="O18" s="41">
        <v>4720</v>
      </c>
      <c r="P18" s="41">
        <v>4900</v>
      </c>
      <c r="Q18" s="41">
        <v>4680</v>
      </c>
      <c r="R18" s="41">
        <v>4950</v>
      </c>
      <c r="S18" s="41">
        <v>4870</v>
      </c>
      <c r="T18" s="41">
        <v>4930</v>
      </c>
      <c r="U18" s="41">
        <v>4700</v>
      </c>
      <c r="V18" s="41">
        <v>4620</v>
      </c>
      <c r="W18" s="41">
        <v>4330</v>
      </c>
      <c r="X18" s="41">
        <v>4420</v>
      </c>
      <c r="Y18" s="41">
        <v>4770</v>
      </c>
      <c r="Z18" s="41">
        <v>4710</v>
      </c>
      <c r="AA18" s="41">
        <v>4930</v>
      </c>
      <c r="AB18" s="41">
        <v>4970</v>
      </c>
      <c r="AC18" s="41">
        <v>4680</v>
      </c>
      <c r="AD18" s="41">
        <v>4940</v>
      </c>
      <c r="AE18" s="41">
        <v>4880</v>
      </c>
      <c r="AF18" s="41">
        <v>4890</v>
      </c>
      <c r="AG18" s="41">
        <v>4690</v>
      </c>
      <c r="AH18" s="41">
        <v>4830</v>
      </c>
      <c r="AI18" s="41">
        <v>4950</v>
      </c>
      <c r="AJ18" s="41">
        <v>4880</v>
      </c>
      <c r="AK18" s="41">
        <v>4970</v>
      </c>
      <c r="AL18" s="41">
        <v>4910</v>
      </c>
      <c r="AM18" s="41">
        <v>4810</v>
      </c>
      <c r="AN18" s="41">
        <v>4720</v>
      </c>
      <c r="AO18" s="41">
        <v>4620</v>
      </c>
      <c r="AP18" s="41">
        <v>4740</v>
      </c>
      <c r="AQ18" s="41">
        <v>4850</v>
      </c>
      <c r="AR18" s="41">
        <v>4890</v>
      </c>
      <c r="AS18" s="41">
        <v>4970</v>
      </c>
      <c r="AT18" s="41">
        <v>4790</v>
      </c>
      <c r="AU18" s="41">
        <v>4510</v>
      </c>
      <c r="AV18" s="41">
        <v>4700</v>
      </c>
      <c r="AW18" s="41">
        <v>4890</v>
      </c>
      <c r="AX18" s="41">
        <v>4570</v>
      </c>
      <c r="AY18" s="41">
        <v>4680</v>
      </c>
      <c r="AZ18" s="41">
        <v>4940</v>
      </c>
      <c r="BA18" s="41">
        <v>4970</v>
      </c>
      <c r="BB18" s="41">
        <v>4880</v>
      </c>
      <c r="BC18" s="41">
        <v>4860</v>
      </c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2"/>
    </row>
    <row r="19" spans="1:78" ht="15" thickBot="1" x14ac:dyDescent="0.4">
      <c r="A19" s="43" t="s">
        <v>26</v>
      </c>
      <c r="B19" s="44">
        <f>IF(C19="","",AVERAGE(C19:BY19))</f>
        <v>7307.5471698113206</v>
      </c>
      <c r="C19" s="45">
        <v>7230</v>
      </c>
      <c r="D19" s="46">
        <v>6700</v>
      </c>
      <c r="E19" s="46">
        <v>8080</v>
      </c>
      <c r="F19" s="46">
        <v>8920</v>
      </c>
      <c r="G19" s="46">
        <v>7740</v>
      </c>
      <c r="H19" s="46">
        <v>7760</v>
      </c>
      <c r="I19" s="46">
        <v>7130</v>
      </c>
      <c r="J19" s="46">
        <v>7300</v>
      </c>
      <c r="K19" s="46">
        <v>6800</v>
      </c>
      <c r="L19" s="46">
        <v>6930</v>
      </c>
      <c r="M19" s="46">
        <v>7180</v>
      </c>
      <c r="N19" s="46">
        <v>6610</v>
      </c>
      <c r="O19" s="46">
        <v>6760</v>
      </c>
      <c r="P19" s="46">
        <v>7160</v>
      </c>
      <c r="Q19" s="46">
        <v>7060</v>
      </c>
      <c r="R19" s="46">
        <v>7220</v>
      </c>
      <c r="S19" s="46">
        <v>7240</v>
      </c>
      <c r="T19" s="46">
        <v>7560</v>
      </c>
      <c r="U19" s="46">
        <v>7560</v>
      </c>
      <c r="V19" s="46">
        <v>7080</v>
      </c>
      <c r="W19" s="46">
        <v>7340</v>
      </c>
      <c r="X19" s="46">
        <v>7200</v>
      </c>
      <c r="Y19" s="46">
        <v>7310</v>
      </c>
      <c r="Z19" s="46">
        <v>7400</v>
      </c>
      <c r="AA19" s="46">
        <v>7570</v>
      </c>
      <c r="AB19" s="46">
        <v>7130</v>
      </c>
      <c r="AC19" s="46">
        <v>7310</v>
      </c>
      <c r="AD19" s="46">
        <v>8290</v>
      </c>
      <c r="AE19" s="46">
        <v>7580</v>
      </c>
      <c r="AF19" s="46">
        <v>7540</v>
      </c>
      <c r="AG19" s="46">
        <v>7720</v>
      </c>
      <c r="AH19" s="46">
        <v>7880</v>
      </c>
      <c r="AI19" s="46">
        <v>7550</v>
      </c>
      <c r="AJ19" s="46">
        <v>7490</v>
      </c>
      <c r="AK19" s="46">
        <v>7400</v>
      </c>
      <c r="AL19" s="46">
        <v>7010</v>
      </c>
      <c r="AM19" s="46">
        <v>7010</v>
      </c>
      <c r="AN19" s="46">
        <v>7670</v>
      </c>
      <c r="AO19" s="46">
        <v>7600</v>
      </c>
      <c r="AP19" s="46">
        <v>6960</v>
      </c>
      <c r="AQ19" s="46">
        <v>6950</v>
      </c>
      <c r="AR19" s="46">
        <v>7440</v>
      </c>
      <c r="AS19" s="46">
        <v>7290</v>
      </c>
      <c r="AT19" s="46">
        <v>6880</v>
      </c>
      <c r="AU19" s="46">
        <v>7080</v>
      </c>
      <c r="AV19" s="46">
        <v>6840</v>
      </c>
      <c r="AW19" s="46">
        <v>6980</v>
      </c>
      <c r="AX19" s="46">
        <v>6930</v>
      </c>
      <c r="AY19" s="46">
        <v>6890</v>
      </c>
      <c r="AZ19" s="46">
        <v>6980</v>
      </c>
      <c r="BA19" s="46">
        <v>7250</v>
      </c>
      <c r="BB19" s="46">
        <v>7160</v>
      </c>
      <c r="BC19" s="46">
        <v>7650</v>
      </c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7"/>
    </row>
    <row r="20" spans="1:78" x14ac:dyDescent="0.35">
      <c r="A20" s="48" t="s">
        <v>27</v>
      </c>
      <c r="B20" s="49"/>
      <c r="C20" s="50">
        <v>0.99861111111111101</v>
      </c>
      <c r="D20" s="51">
        <v>0.42986111111111108</v>
      </c>
      <c r="E20" s="51">
        <v>0.76111111111111107</v>
      </c>
      <c r="F20" s="51">
        <v>7.8472222222222221E-2</v>
      </c>
      <c r="G20" s="51">
        <v>0.51388888888888895</v>
      </c>
      <c r="H20" s="51">
        <v>2.0833333333333332E-2</v>
      </c>
      <c r="I20" s="51">
        <v>0.33888888888888885</v>
      </c>
      <c r="J20" s="51">
        <v>0.63541666666666663</v>
      </c>
      <c r="K20" s="51">
        <v>0.92361111111111116</v>
      </c>
      <c r="L20" s="51">
        <v>0.23124999999999998</v>
      </c>
      <c r="M20" s="51">
        <v>0.52500000000000002</v>
      </c>
      <c r="N20" s="51">
        <v>0.81666666666666676</v>
      </c>
      <c r="O20" s="51">
        <v>8.9583333333333334E-2</v>
      </c>
      <c r="P20" s="51">
        <v>0.36527777777777781</v>
      </c>
      <c r="Q20" s="51">
        <v>0.67083333333333339</v>
      </c>
      <c r="R20" s="51">
        <v>0.94791666666666663</v>
      </c>
      <c r="S20" s="51">
        <v>0.20694444444444446</v>
      </c>
      <c r="T20" s="51">
        <v>0.48333333333333334</v>
      </c>
      <c r="U20" s="51">
        <v>0.78541666666666676</v>
      </c>
      <c r="V20" s="51">
        <v>7.4999999999999997E-2</v>
      </c>
      <c r="W20" s="51">
        <v>0.41319444444444442</v>
      </c>
      <c r="X20" s="51">
        <v>0.72777777777777775</v>
      </c>
      <c r="Y20" s="51">
        <v>9.0277777777777787E-3</v>
      </c>
      <c r="Z20" s="51">
        <v>0.30902777777777779</v>
      </c>
      <c r="AA20" s="51">
        <v>0.5805555555555556</v>
      </c>
      <c r="AB20" s="51">
        <v>0.85138888888888886</v>
      </c>
      <c r="AC20" s="51">
        <v>0.11805555555555557</v>
      </c>
      <c r="AD20" s="51">
        <v>0.41319444444444442</v>
      </c>
      <c r="AE20" s="51">
        <v>0.87291666666666667</v>
      </c>
      <c r="AF20" s="51">
        <v>0.11458333333333333</v>
      </c>
      <c r="AG20" s="51">
        <v>0.3743055555555555</v>
      </c>
      <c r="AH20" s="51">
        <v>0.62916666666666665</v>
      </c>
      <c r="AI20" s="51">
        <v>0.87083333333333324</v>
      </c>
      <c r="AJ20" s="51">
        <v>0.21458333333333335</v>
      </c>
      <c r="AK20" s="51">
        <v>0.48472222222222222</v>
      </c>
      <c r="AL20" s="51">
        <v>0.73888888888888893</v>
      </c>
      <c r="AM20" s="51">
        <v>9.7222222222222224E-3</v>
      </c>
      <c r="AN20" s="51">
        <v>0.2673611111111111</v>
      </c>
      <c r="AO20" s="51">
        <v>0.52083333333333337</v>
      </c>
      <c r="AP20" s="51">
        <v>0.76458333333333339</v>
      </c>
      <c r="AQ20" s="51">
        <v>7.6388888888888886E-3</v>
      </c>
      <c r="AR20" s="51">
        <v>0.27499999999999997</v>
      </c>
      <c r="AS20" s="51">
        <v>0.52569444444444446</v>
      </c>
      <c r="AT20" s="51">
        <v>0.77500000000000002</v>
      </c>
      <c r="AU20" s="51">
        <v>5.347222222222222E-2</v>
      </c>
      <c r="AV20" s="51">
        <v>0.32083333333333336</v>
      </c>
      <c r="AW20" s="51">
        <v>0.55347222222222225</v>
      </c>
      <c r="AX20" s="51">
        <v>0.84583333333333333</v>
      </c>
      <c r="AY20" s="51">
        <v>0.15347222222222223</v>
      </c>
      <c r="AZ20" s="51">
        <v>0.3840277777777778</v>
      </c>
      <c r="BA20" s="51">
        <v>0.60416666666666663</v>
      </c>
      <c r="BB20" s="51">
        <v>0.85069444444444453</v>
      </c>
      <c r="BC20" s="51">
        <v>9.9999999999999992E-2</v>
      </c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52"/>
    </row>
    <row r="21" spans="1:78" x14ac:dyDescent="0.35">
      <c r="A21" s="53" t="s">
        <v>28</v>
      </c>
      <c r="B21" s="54"/>
      <c r="C21" s="55">
        <v>0.14444444444444446</v>
      </c>
      <c r="D21" s="54">
        <v>0.5708333333333333</v>
      </c>
      <c r="E21" s="54">
        <v>0.88611111111111107</v>
      </c>
      <c r="F21" s="54">
        <v>0.31041666666666667</v>
      </c>
      <c r="G21" s="54">
        <v>0.79513888888888884</v>
      </c>
      <c r="H21" s="54">
        <v>0.15138888888888888</v>
      </c>
      <c r="I21" s="54">
        <v>0.47847222222222219</v>
      </c>
      <c r="J21" s="54">
        <v>0.7729166666666667</v>
      </c>
      <c r="K21" s="54">
        <v>5.6944444444444443E-2</v>
      </c>
      <c r="L21" s="54">
        <v>0.3576388888888889</v>
      </c>
      <c r="M21" s="54">
        <v>0.65902777777777777</v>
      </c>
      <c r="N21" s="54">
        <v>0.94444444444444453</v>
      </c>
      <c r="O21" s="54">
        <v>0.21666666666666667</v>
      </c>
      <c r="P21" s="54">
        <v>0.49305555555555558</v>
      </c>
      <c r="Q21" s="54">
        <v>0.80138888888888893</v>
      </c>
      <c r="R21" s="54">
        <v>7.0833333333333331E-2</v>
      </c>
      <c r="S21" s="54">
        <v>0.3298611111111111</v>
      </c>
      <c r="T21" s="54">
        <v>0.61249999999999993</v>
      </c>
      <c r="U21" s="54">
        <v>0.91180555555555554</v>
      </c>
      <c r="V21" s="54">
        <v>0.21875</v>
      </c>
      <c r="W21" s="54">
        <v>0.5395833333333333</v>
      </c>
      <c r="X21" s="54">
        <v>0.85</v>
      </c>
      <c r="Y21" s="54">
        <v>0.1361111111111111</v>
      </c>
      <c r="Z21" s="54">
        <v>0.43541666666666662</v>
      </c>
      <c r="AA21" s="54">
        <v>0.7270833333333333</v>
      </c>
      <c r="AB21" s="54">
        <v>0.97638888888888886</v>
      </c>
      <c r="AC21" s="54">
        <v>0.24861111111111112</v>
      </c>
      <c r="AD21" s="54">
        <v>0.53472222222222221</v>
      </c>
      <c r="AE21" s="54">
        <v>0.99722222222222223</v>
      </c>
      <c r="AF21" s="54">
        <v>0.23819444444444446</v>
      </c>
      <c r="AG21" s="54">
        <v>0.50138888888888888</v>
      </c>
      <c r="AH21" s="54">
        <v>0.75</v>
      </c>
      <c r="AI21" s="54">
        <v>9.2361111111111116E-2</v>
      </c>
      <c r="AJ21" s="54">
        <v>0.3354166666666667</v>
      </c>
      <c r="AK21" s="54">
        <v>0.60833333333333328</v>
      </c>
      <c r="AL21" s="54">
        <v>0.86736111111111114</v>
      </c>
      <c r="AM21" s="54">
        <v>0.13194444444444445</v>
      </c>
      <c r="AN21" s="54">
        <v>0.38958333333333334</v>
      </c>
      <c r="AO21" s="54">
        <v>0.64583333333333337</v>
      </c>
      <c r="AP21" s="54">
        <v>0.88958333333333339</v>
      </c>
      <c r="AQ21" s="54">
        <v>0.12916666666666668</v>
      </c>
      <c r="AR21" s="54">
        <v>0.39374999999999999</v>
      </c>
      <c r="AS21" s="54">
        <v>0.65138888888888891</v>
      </c>
      <c r="AT21" s="54">
        <v>0.90555555555555556</v>
      </c>
      <c r="AU21" s="54">
        <v>0.19722222222222222</v>
      </c>
      <c r="AV21" s="54">
        <v>0.4465277777777778</v>
      </c>
      <c r="AW21" s="54">
        <v>0.72430555555555554</v>
      </c>
      <c r="AX21" s="54">
        <v>2.7083333333333334E-2</v>
      </c>
      <c r="AY21" s="54">
        <v>0.27152777777777776</v>
      </c>
      <c r="AZ21" s="54">
        <v>0.50277777777777777</v>
      </c>
      <c r="BA21" s="54">
        <v>0.73055555555555562</v>
      </c>
      <c r="BB21" s="54">
        <v>0.97013888888888899</v>
      </c>
      <c r="BC21" s="54">
        <v>0.21597222222222223</v>
      </c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2"/>
    </row>
    <row r="22" spans="1:78" ht="15" thickBot="1" x14ac:dyDescent="0.4">
      <c r="A22" s="56" t="s">
        <v>29</v>
      </c>
      <c r="B22" s="57">
        <f t="shared" ref="B22:B31" si="0">IF(C22="","",AVERAGE(C22:BY22))</f>
        <v>0.13607180293501045</v>
      </c>
      <c r="C22" s="58">
        <v>0.14583333333333348</v>
      </c>
      <c r="D22" s="59">
        <v>0.14097222222222222</v>
      </c>
      <c r="E22" s="59">
        <v>0.125</v>
      </c>
      <c r="F22" s="59">
        <v>0.23194444444444445</v>
      </c>
      <c r="G22" s="59">
        <v>0.28124999999999989</v>
      </c>
      <c r="H22" s="59">
        <v>0.13055555555555554</v>
      </c>
      <c r="I22" s="59">
        <v>0.13958333333333334</v>
      </c>
      <c r="J22" s="59">
        <v>0.13750000000000007</v>
      </c>
      <c r="K22" s="59">
        <v>0.1333333333333333</v>
      </c>
      <c r="L22" s="59">
        <v>0.12638888888888891</v>
      </c>
      <c r="M22" s="59">
        <v>0.13402777777777775</v>
      </c>
      <c r="N22" s="59">
        <v>0.12777777777777777</v>
      </c>
      <c r="O22" s="59">
        <v>0.12708333333333333</v>
      </c>
      <c r="P22" s="59">
        <v>0.12777777777777777</v>
      </c>
      <c r="Q22" s="59">
        <v>0.13055555555555554</v>
      </c>
      <c r="R22" s="59">
        <v>0.12291666666666667</v>
      </c>
      <c r="S22" s="59">
        <v>0.12291666666666665</v>
      </c>
      <c r="T22" s="59">
        <v>0.1291666666666666</v>
      </c>
      <c r="U22" s="59">
        <v>0.12638888888888877</v>
      </c>
      <c r="V22" s="59">
        <v>0.14374999999999999</v>
      </c>
      <c r="W22" s="59">
        <v>0.12638888888888888</v>
      </c>
      <c r="X22" s="59">
        <v>0.12222222222222223</v>
      </c>
      <c r="Y22" s="59">
        <v>0.12708333333333333</v>
      </c>
      <c r="Z22" s="59">
        <v>0.12638888888888883</v>
      </c>
      <c r="AA22" s="59">
        <v>0.1465277777777777</v>
      </c>
      <c r="AB22" s="59">
        <v>0.125</v>
      </c>
      <c r="AC22" s="59">
        <v>0.13055555555555554</v>
      </c>
      <c r="AD22" s="59">
        <v>0.12152777777777779</v>
      </c>
      <c r="AE22" s="59">
        <v>0.12430555555555556</v>
      </c>
      <c r="AF22" s="59">
        <v>0.12361111111111113</v>
      </c>
      <c r="AG22" s="59">
        <v>0.12708333333333338</v>
      </c>
      <c r="AH22" s="59">
        <v>0.12083333333333335</v>
      </c>
      <c r="AI22" s="59">
        <v>0.22152777777777788</v>
      </c>
      <c r="AJ22" s="59">
        <v>0.12083333333333335</v>
      </c>
      <c r="AK22" s="59">
        <v>0.12361111111111106</v>
      </c>
      <c r="AL22" s="59">
        <v>0.12847222222222221</v>
      </c>
      <c r="AM22" s="59">
        <v>0.12222222222222223</v>
      </c>
      <c r="AN22" s="59">
        <v>0.12222222222222223</v>
      </c>
      <c r="AO22" s="59">
        <v>0.125</v>
      </c>
      <c r="AP22" s="59">
        <v>0.125</v>
      </c>
      <c r="AQ22" s="59">
        <v>0.12152777777777779</v>
      </c>
      <c r="AR22" s="59">
        <v>0.11875000000000002</v>
      </c>
      <c r="AS22" s="59">
        <v>0.12569444444444444</v>
      </c>
      <c r="AT22" s="59">
        <v>0.13055555555555554</v>
      </c>
      <c r="AU22" s="59">
        <v>0.14374999999999999</v>
      </c>
      <c r="AV22" s="59">
        <v>0.12569444444444444</v>
      </c>
      <c r="AW22" s="59">
        <v>0.17083333333333328</v>
      </c>
      <c r="AX22" s="59">
        <v>0.18125000000000002</v>
      </c>
      <c r="AY22" s="59">
        <v>0.11805555555555552</v>
      </c>
      <c r="AZ22" s="59">
        <v>0.11874999999999997</v>
      </c>
      <c r="BA22" s="59">
        <v>0.12638888888888899</v>
      </c>
      <c r="BB22" s="59">
        <v>0.11944444444444446</v>
      </c>
      <c r="BC22" s="59">
        <v>0.11597222222222224</v>
      </c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2"/>
    </row>
    <row r="23" spans="1:78" x14ac:dyDescent="0.35">
      <c r="A23" s="60" t="s">
        <v>30</v>
      </c>
      <c r="B23" s="61">
        <f t="shared" si="0"/>
        <v>68.122547169811313</v>
      </c>
      <c r="C23" s="62">
        <v>63.1</v>
      </c>
      <c r="D23" s="63">
        <v>69.8</v>
      </c>
      <c r="E23" s="63">
        <v>72</v>
      </c>
      <c r="F23" s="63">
        <v>62.4</v>
      </c>
      <c r="G23" s="63">
        <v>64.844999999999999</v>
      </c>
      <c r="H23" s="63">
        <v>66.680000000000007</v>
      </c>
      <c r="I23" s="63">
        <v>66.8</v>
      </c>
      <c r="J23" s="63">
        <v>66.61</v>
      </c>
      <c r="K23" s="63">
        <v>65.58</v>
      </c>
      <c r="L23" s="63">
        <v>70</v>
      </c>
      <c r="M23" s="63">
        <v>65.8</v>
      </c>
      <c r="N23" s="63">
        <v>67.739999999999995</v>
      </c>
      <c r="O23" s="63">
        <v>68</v>
      </c>
      <c r="P23" s="63">
        <v>67.2</v>
      </c>
      <c r="Q23" s="63">
        <v>67.709999999999994</v>
      </c>
      <c r="R23" s="63">
        <v>69.69</v>
      </c>
      <c r="S23" s="63">
        <v>70.400000000000006</v>
      </c>
      <c r="T23" s="63">
        <v>66.3</v>
      </c>
      <c r="U23" s="63">
        <v>67.73</v>
      </c>
      <c r="V23" s="63">
        <v>68.5</v>
      </c>
      <c r="W23" s="63">
        <v>70</v>
      </c>
      <c r="X23" s="63">
        <v>68.8</v>
      </c>
      <c r="Y23" s="63">
        <v>68.58</v>
      </c>
      <c r="Z23" s="63">
        <v>68.099999999999994</v>
      </c>
      <c r="AA23" s="63">
        <v>69.954999999999998</v>
      </c>
      <c r="AB23" s="63">
        <v>69.040000000000006</v>
      </c>
      <c r="AC23" s="63">
        <v>67.400000000000006</v>
      </c>
      <c r="AD23" s="63">
        <v>69.599999999999994</v>
      </c>
      <c r="AE23" s="63">
        <v>67.97</v>
      </c>
      <c r="AF23" s="63">
        <v>68.400000000000006</v>
      </c>
      <c r="AG23" s="63">
        <v>69.2</v>
      </c>
      <c r="AH23" s="63">
        <v>69.12</v>
      </c>
      <c r="AI23" s="63">
        <v>68.625</v>
      </c>
      <c r="AJ23" s="63">
        <v>69.7</v>
      </c>
      <c r="AK23" s="63">
        <v>69.599999999999994</v>
      </c>
      <c r="AL23" s="63">
        <v>65.41</v>
      </c>
      <c r="AM23" s="63">
        <v>68.78</v>
      </c>
      <c r="AN23" s="63">
        <v>70.5</v>
      </c>
      <c r="AO23" s="63">
        <v>69.900000000000006</v>
      </c>
      <c r="AP23" s="63">
        <v>66.89</v>
      </c>
      <c r="AQ23" s="63">
        <v>68.849999999999994</v>
      </c>
      <c r="AR23" s="63">
        <v>69.8</v>
      </c>
      <c r="AS23" s="63">
        <v>68.099999999999994</v>
      </c>
      <c r="AT23" s="63">
        <v>67.275000000000006</v>
      </c>
      <c r="AU23" s="63">
        <v>68.900000000000006</v>
      </c>
      <c r="AV23" s="63">
        <v>66.400000000000006</v>
      </c>
      <c r="AW23" s="63">
        <v>65.365000000000009</v>
      </c>
      <c r="AX23" s="63">
        <v>69.05</v>
      </c>
      <c r="AY23" s="63">
        <v>70.599999999999994</v>
      </c>
      <c r="AZ23" s="63">
        <v>69.400000000000006</v>
      </c>
      <c r="BA23" s="63">
        <v>65</v>
      </c>
      <c r="BB23" s="63">
        <v>69.599999999999994</v>
      </c>
      <c r="BC23" s="63">
        <v>69.7</v>
      </c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4"/>
    </row>
    <row r="24" spans="1:78" x14ac:dyDescent="0.35">
      <c r="A24" s="65" t="s">
        <v>31</v>
      </c>
      <c r="B24" s="66">
        <f t="shared" si="0"/>
        <v>11478.132075471698</v>
      </c>
      <c r="C24" s="67">
        <v>11109</v>
      </c>
      <c r="D24" s="68">
        <v>11024</v>
      </c>
      <c r="E24" s="68">
        <v>11675</v>
      </c>
      <c r="F24" s="68">
        <v>11445</v>
      </c>
      <c r="G24" s="68">
        <v>11420.5</v>
      </c>
      <c r="H24" s="68">
        <v>11304</v>
      </c>
      <c r="I24" s="68">
        <v>11706</v>
      </c>
      <c r="J24" s="68">
        <v>11569</v>
      </c>
      <c r="K24" s="68">
        <v>11455</v>
      </c>
      <c r="L24" s="68">
        <v>11808</v>
      </c>
      <c r="M24" s="68">
        <v>11444</v>
      </c>
      <c r="N24" s="68">
        <v>11590</v>
      </c>
      <c r="O24" s="68">
        <v>11566</v>
      </c>
      <c r="P24" s="68">
        <v>11411</v>
      </c>
      <c r="Q24" s="68">
        <v>11352</v>
      </c>
      <c r="R24" s="68">
        <v>11630</v>
      </c>
      <c r="S24" s="68">
        <v>11705</v>
      </c>
      <c r="T24" s="68">
        <v>11687</v>
      </c>
      <c r="U24" s="68">
        <v>11638</v>
      </c>
      <c r="V24" s="68">
        <v>11658</v>
      </c>
      <c r="W24" s="68">
        <v>11286</v>
      </c>
      <c r="X24" s="68">
        <v>11645</v>
      </c>
      <c r="Y24" s="68">
        <v>11677</v>
      </c>
      <c r="Z24" s="68">
        <v>11303</v>
      </c>
      <c r="AA24" s="68">
        <v>11492</v>
      </c>
      <c r="AB24" s="68">
        <v>11685</v>
      </c>
      <c r="AC24" s="68">
        <v>11480</v>
      </c>
      <c r="AD24" s="68">
        <v>11656</v>
      </c>
      <c r="AE24" s="68">
        <v>11640</v>
      </c>
      <c r="AF24" s="68">
        <v>11695</v>
      </c>
      <c r="AG24" s="68">
        <v>11654</v>
      </c>
      <c r="AH24" s="68">
        <v>11678</v>
      </c>
      <c r="AI24" s="68">
        <v>11556.5</v>
      </c>
      <c r="AJ24" s="68">
        <v>11482</v>
      </c>
      <c r="AK24" s="68">
        <v>11556</v>
      </c>
      <c r="AL24" s="68">
        <v>11449</v>
      </c>
      <c r="AM24" s="68">
        <v>11664</v>
      </c>
      <c r="AN24" s="68">
        <v>11615</v>
      </c>
      <c r="AO24" s="68">
        <v>11308</v>
      </c>
      <c r="AP24" s="68">
        <v>11474</v>
      </c>
      <c r="AQ24" s="68">
        <v>11615</v>
      </c>
      <c r="AR24" s="68">
        <v>11401</v>
      </c>
      <c r="AS24" s="68">
        <v>10961</v>
      </c>
      <c r="AT24" s="68">
        <v>11549.5</v>
      </c>
      <c r="AU24" s="68">
        <v>11696</v>
      </c>
      <c r="AV24" s="68">
        <v>11158</v>
      </c>
      <c r="AW24" s="68">
        <v>10811.5</v>
      </c>
      <c r="AX24" s="68">
        <v>11593</v>
      </c>
      <c r="AY24" s="68">
        <v>11419</v>
      </c>
      <c r="AZ24" s="68">
        <v>11504</v>
      </c>
      <c r="BA24" s="68">
        <v>11150</v>
      </c>
      <c r="BB24" s="68">
        <v>11211</v>
      </c>
      <c r="BC24" s="68">
        <v>11080</v>
      </c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8"/>
      <c r="BY24" s="68"/>
      <c r="BZ24" s="69"/>
    </row>
    <row r="25" spans="1:78" x14ac:dyDescent="0.35">
      <c r="A25" s="70" t="s">
        <v>32</v>
      </c>
      <c r="B25" s="71">
        <f t="shared" si="0"/>
        <v>70.431509433962276</v>
      </c>
      <c r="C25" s="72">
        <v>68.5</v>
      </c>
      <c r="D25" s="73">
        <v>70.900000000000006</v>
      </c>
      <c r="E25" s="73">
        <v>73.599999999999994</v>
      </c>
      <c r="F25" s="73">
        <v>65.8</v>
      </c>
      <c r="G25" s="73">
        <v>71</v>
      </c>
      <c r="H25" s="73">
        <v>71.02</v>
      </c>
      <c r="I25" s="73">
        <v>70.8</v>
      </c>
      <c r="J25" s="73">
        <v>69.209999999999994</v>
      </c>
      <c r="K25" s="73">
        <v>71.63</v>
      </c>
      <c r="L25" s="73">
        <v>70.599999999999994</v>
      </c>
      <c r="M25" s="73">
        <v>66.900000000000006</v>
      </c>
      <c r="N25" s="73">
        <v>70.19</v>
      </c>
      <c r="O25" s="73">
        <v>70.3</v>
      </c>
      <c r="P25" s="73">
        <v>69.599999999999994</v>
      </c>
      <c r="Q25" s="73">
        <v>71.66</v>
      </c>
      <c r="R25" s="73">
        <v>70.83</v>
      </c>
      <c r="S25" s="73">
        <v>71</v>
      </c>
      <c r="T25" s="73">
        <v>67.2</v>
      </c>
      <c r="U25" s="73">
        <v>69.430000000000007</v>
      </c>
      <c r="V25" s="73">
        <v>70.3</v>
      </c>
      <c r="W25" s="73">
        <v>70.900000000000006</v>
      </c>
      <c r="X25" s="73">
        <v>70.13</v>
      </c>
      <c r="Y25" s="73">
        <v>70.3</v>
      </c>
      <c r="Z25" s="73">
        <v>71.8</v>
      </c>
      <c r="AA25" s="73">
        <v>71.11</v>
      </c>
      <c r="AB25" s="73">
        <v>69.7</v>
      </c>
      <c r="AC25" s="73">
        <v>70.8</v>
      </c>
      <c r="AD25" s="73">
        <v>70.599999999999994</v>
      </c>
      <c r="AE25" s="73">
        <v>70.22</v>
      </c>
      <c r="AF25" s="73">
        <v>70.3</v>
      </c>
      <c r="AG25" s="73">
        <v>70.400000000000006</v>
      </c>
      <c r="AH25" s="73">
        <v>70.52</v>
      </c>
      <c r="AI25" s="73">
        <v>69.92</v>
      </c>
      <c r="AJ25" s="73">
        <v>70.599999999999994</v>
      </c>
      <c r="AK25" s="73">
        <v>71.400000000000006</v>
      </c>
      <c r="AL25" s="73">
        <v>69.48</v>
      </c>
      <c r="AM25" s="73">
        <v>70.42</v>
      </c>
      <c r="AN25" s="73">
        <v>70.900000000000006</v>
      </c>
      <c r="AO25" s="73">
        <v>70.5</v>
      </c>
      <c r="AP25" s="73">
        <v>70.349999999999994</v>
      </c>
      <c r="AQ25" s="73">
        <v>70.62</v>
      </c>
      <c r="AR25" s="73">
        <v>70.599999999999994</v>
      </c>
      <c r="AS25" s="73">
        <v>71.2</v>
      </c>
      <c r="AT25" s="73">
        <v>70.52</v>
      </c>
      <c r="AU25" s="73">
        <v>70.599999999999994</v>
      </c>
      <c r="AV25" s="73">
        <v>72.599999999999994</v>
      </c>
      <c r="AW25" s="73">
        <v>70.3</v>
      </c>
      <c r="AX25" s="73">
        <v>71.010000000000005</v>
      </c>
      <c r="AY25" s="73">
        <v>71.599999999999994</v>
      </c>
      <c r="AZ25" s="73">
        <v>71.400000000000006</v>
      </c>
      <c r="BA25" s="73">
        <v>70</v>
      </c>
      <c r="BB25" s="73">
        <v>70.8</v>
      </c>
      <c r="BC25" s="73">
        <v>70.8</v>
      </c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64"/>
    </row>
    <row r="26" spans="1:78" ht="15" thickBot="1" x14ac:dyDescent="0.4">
      <c r="A26" s="74" t="s">
        <v>33</v>
      </c>
      <c r="B26" s="75">
        <f t="shared" si="0"/>
        <v>11906.792452830188</v>
      </c>
      <c r="C26" s="76">
        <v>12020</v>
      </c>
      <c r="D26" s="77">
        <v>11740</v>
      </c>
      <c r="E26" s="77">
        <v>11970</v>
      </c>
      <c r="F26" s="77">
        <v>11940</v>
      </c>
      <c r="G26" s="77">
        <v>12160</v>
      </c>
      <c r="H26" s="77">
        <v>11580</v>
      </c>
      <c r="I26" s="77">
        <v>12010</v>
      </c>
      <c r="J26" s="77">
        <v>12050</v>
      </c>
      <c r="K26" s="77">
        <v>11640</v>
      </c>
      <c r="L26" s="77">
        <v>12190</v>
      </c>
      <c r="M26" s="77">
        <v>11890</v>
      </c>
      <c r="N26" s="77">
        <v>11790</v>
      </c>
      <c r="O26" s="77">
        <v>11800</v>
      </c>
      <c r="P26" s="77">
        <v>11680</v>
      </c>
      <c r="Q26" s="77">
        <v>11740</v>
      </c>
      <c r="R26" s="77">
        <v>11880</v>
      </c>
      <c r="S26" s="77">
        <v>11820</v>
      </c>
      <c r="T26" s="77">
        <v>11870</v>
      </c>
      <c r="U26" s="77">
        <v>11880</v>
      </c>
      <c r="V26" s="77">
        <v>11840</v>
      </c>
      <c r="W26" s="77">
        <v>11860</v>
      </c>
      <c r="X26" s="77">
        <v>12030</v>
      </c>
      <c r="Y26" s="77">
        <v>11950</v>
      </c>
      <c r="Z26" s="77">
        <v>11880</v>
      </c>
      <c r="AA26" s="77">
        <v>11920</v>
      </c>
      <c r="AB26" s="77">
        <v>11900</v>
      </c>
      <c r="AC26" s="77">
        <v>12320</v>
      </c>
      <c r="AD26" s="77">
        <v>11910</v>
      </c>
      <c r="AE26" s="77">
        <v>11960</v>
      </c>
      <c r="AF26" s="77">
        <v>12050</v>
      </c>
      <c r="AG26" s="77">
        <v>11960</v>
      </c>
      <c r="AH26" s="77">
        <v>11870</v>
      </c>
      <c r="AI26" s="77">
        <v>11900</v>
      </c>
      <c r="AJ26" s="77">
        <v>11760</v>
      </c>
      <c r="AK26" s="77">
        <v>11910</v>
      </c>
      <c r="AL26" s="77">
        <v>11930</v>
      </c>
      <c r="AM26" s="77">
        <v>11910</v>
      </c>
      <c r="AN26" s="77">
        <v>12000</v>
      </c>
      <c r="AO26" s="77">
        <v>11830</v>
      </c>
      <c r="AP26" s="77">
        <v>12070</v>
      </c>
      <c r="AQ26" s="77">
        <v>12000</v>
      </c>
      <c r="AR26" s="77">
        <v>11690</v>
      </c>
      <c r="AS26" s="77">
        <v>11750</v>
      </c>
      <c r="AT26" s="77">
        <v>11960</v>
      </c>
      <c r="AU26" s="77">
        <v>12000</v>
      </c>
      <c r="AV26" s="77">
        <v>11960</v>
      </c>
      <c r="AW26" s="77">
        <v>12250</v>
      </c>
      <c r="AX26" s="77">
        <v>11960</v>
      </c>
      <c r="AY26" s="77">
        <v>11680</v>
      </c>
      <c r="AZ26" s="77">
        <v>11830</v>
      </c>
      <c r="BA26" s="77">
        <v>11820</v>
      </c>
      <c r="BB26" s="77">
        <v>11820</v>
      </c>
      <c r="BC26" s="77">
        <v>11930</v>
      </c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77"/>
      <c r="BX26" s="77"/>
      <c r="BY26" s="77"/>
      <c r="BZ26" s="64"/>
    </row>
    <row r="27" spans="1:78" x14ac:dyDescent="0.35">
      <c r="A27" s="78" t="s">
        <v>34</v>
      </c>
      <c r="B27" s="79">
        <f t="shared" si="0"/>
        <v>5748.5471698113206</v>
      </c>
      <c r="C27" s="80">
        <v>5190</v>
      </c>
      <c r="D27" s="81">
        <v>5430</v>
      </c>
      <c r="E27" s="81">
        <v>5490</v>
      </c>
      <c r="F27" s="81">
        <v>5590</v>
      </c>
      <c r="G27" s="81">
        <v>5740</v>
      </c>
      <c r="H27" s="81">
        <v>5760</v>
      </c>
      <c r="I27" s="81">
        <v>5610</v>
      </c>
      <c r="J27" s="81">
        <v>5790</v>
      </c>
      <c r="K27" s="81">
        <v>5790</v>
      </c>
      <c r="L27" s="81">
        <v>5700</v>
      </c>
      <c r="M27" s="81">
        <v>5700</v>
      </c>
      <c r="N27" s="81">
        <v>5760</v>
      </c>
      <c r="O27" s="81">
        <v>5780</v>
      </c>
      <c r="P27" s="81">
        <v>5690</v>
      </c>
      <c r="Q27" s="81">
        <v>5700</v>
      </c>
      <c r="R27" s="81">
        <v>5840</v>
      </c>
      <c r="S27" s="81">
        <v>5850</v>
      </c>
      <c r="T27" s="81">
        <v>5840</v>
      </c>
      <c r="U27" s="81">
        <v>5770</v>
      </c>
      <c r="V27" s="81">
        <v>5660</v>
      </c>
      <c r="W27" s="81">
        <v>5890</v>
      </c>
      <c r="X27" s="81">
        <v>5830</v>
      </c>
      <c r="Y27" s="81">
        <v>5860</v>
      </c>
      <c r="Z27" s="81">
        <v>5810</v>
      </c>
      <c r="AA27" s="81">
        <v>5810</v>
      </c>
      <c r="AB27" s="81">
        <v>5790</v>
      </c>
      <c r="AC27" s="81">
        <v>5710</v>
      </c>
      <c r="AD27" s="81">
        <v>5850</v>
      </c>
      <c r="AE27" s="81">
        <v>5820</v>
      </c>
      <c r="AF27" s="81">
        <v>5750</v>
      </c>
      <c r="AG27" s="81">
        <v>5770</v>
      </c>
      <c r="AH27" s="81">
        <v>5740</v>
      </c>
      <c r="AI27" s="81">
        <v>5850</v>
      </c>
      <c r="AJ27" s="81">
        <v>5800</v>
      </c>
      <c r="AK27" s="81">
        <v>5780</v>
      </c>
      <c r="AL27" s="81">
        <v>5910</v>
      </c>
      <c r="AM27" s="81">
        <v>5830</v>
      </c>
      <c r="AN27" s="81">
        <v>5609</v>
      </c>
      <c r="AO27" s="81">
        <v>5740</v>
      </c>
      <c r="AP27" s="81">
        <v>5760</v>
      </c>
      <c r="AQ27" s="81">
        <v>5800</v>
      </c>
      <c r="AR27" s="81">
        <v>5840</v>
      </c>
      <c r="AS27" s="81">
        <v>5830</v>
      </c>
      <c r="AT27" s="81">
        <v>5810</v>
      </c>
      <c r="AU27" s="81">
        <v>5700</v>
      </c>
      <c r="AV27" s="81">
        <v>5853</v>
      </c>
      <c r="AW27" s="81">
        <v>5700</v>
      </c>
      <c r="AX27" s="81">
        <v>5740</v>
      </c>
      <c r="AY27" s="81">
        <v>5784</v>
      </c>
      <c r="AZ27" s="81">
        <v>5759</v>
      </c>
      <c r="BA27" s="81">
        <v>5750</v>
      </c>
      <c r="BB27" s="81">
        <v>5750</v>
      </c>
      <c r="BC27" s="81">
        <v>5768</v>
      </c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64"/>
    </row>
    <row r="28" spans="1:78" x14ac:dyDescent="0.35">
      <c r="A28" s="82" t="s">
        <v>35</v>
      </c>
      <c r="B28" s="83">
        <f t="shared" si="0"/>
        <v>0.91105661478013944</v>
      </c>
      <c r="C28" s="84">
        <v>0.86233300225750431</v>
      </c>
      <c r="D28" s="84">
        <v>0.88210494539065731</v>
      </c>
      <c r="E28" s="84">
        <v>0.88721583641551571</v>
      </c>
      <c r="F28" s="84">
        <v>0.89556293820001653</v>
      </c>
      <c r="G28" s="84">
        <v>0.90797091239143024</v>
      </c>
      <c r="H28" s="84">
        <v>0.90974357790832361</v>
      </c>
      <c r="I28" s="84">
        <v>0.89748619816255581</v>
      </c>
      <c r="J28" s="84">
        <v>0.9123843938255255</v>
      </c>
      <c r="K28" s="84">
        <v>0.91250341658249845</v>
      </c>
      <c r="L28" s="84">
        <v>0.90528698867721358</v>
      </c>
      <c r="M28" s="84">
        <v>0.90532609801192832</v>
      </c>
      <c r="N28" s="84">
        <v>0.91033580449838458</v>
      </c>
      <c r="O28" s="84">
        <v>0.91191334500952537</v>
      </c>
      <c r="P28" s="84">
        <v>0.90430259590130002</v>
      </c>
      <c r="Q28" s="84">
        <v>0.90509153914555396</v>
      </c>
      <c r="R28" s="84">
        <v>0.91676294233189792</v>
      </c>
      <c r="S28" s="84">
        <v>0.91779169050617182</v>
      </c>
      <c r="T28" s="84">
        <v>0.91716374114039456</v>
      </c>
      <c r="U28" s="84">
        <v>0.91160022769485893</v>
      </c>
      <c r="V28" s="84">
        <v>0.90271277512858805</v>
      </c>
      <c r="W28" s="84">
        <v>0.92183411866755161</v>
      </c>
      <c r="X28" s="84">
        <v>0.91693637989378485</v>
      </c>
      <c r="Y28" s="84">
        <v>0.91962763727378383</v>
      </c>
      <c r="Z28" s="84">
        <v>0.91559703074815246</v>
      </c>
      <c r="AA28" s="84">
        <v>0.9157172395348836</v>
      </c>
      <c r="AB28" s="84">
        <v>0.91417596466727591</v>
      </c>
      <c r="AC28" s="84">
        <v>0.90772691914893611</v>
      </c>
      <c r="AD28" s="84">
        <v>0.91956468742828645</v>
      </c>
      <c r="AE28" s="84">
        <v>0.91735211164725461</v>
      </c>
      <c r="AF28" s="84">
        <v>0.91160809317690139</v>
      </c>
      <c r="AG28" s="84">
        <v>0.91327226358795144</v>
      </c>
      <c r="AH28" s="84">
        <v>0.91089526312942148</v>
      </c>
      <c r="AI28" s="84">
        <v>0.9200099655126498</v>
      </c>
      <c r="AJ28" s="84">
        <v>0.91592920154819379</v>
      </c>
      <c r="AK28" s="84">
        <v>0.91454495824935444</v>
      </c>
      <c r="AL28" s="84">
        <v>0.92549498803732078</v>
      </c>
      <c r="AM28" s="84">
        <v>0.91899243333333336</v>
      </c>
      <c r="AN28" s="84">
        <v>0.90069265005418009</v>
      </c>
      <c r="AO28" s="84">
        <v>0.91173171964315491</v>
      </c>
      <c r="AP28" s="84">
        <v>0.91363958048048044</v>
      </c>
      <c r="AQ28" s="84">
        <v>0.9170166123049972</v>
      </c>
      <c r="AR28" s="84">
        <v>0.92055686331163411</v>
      </c>
      <c r="AS28" s="84">
        <v>0.91992540207898466</v>
      </c>
      <c r="AT28" s="84">
        <v>0.91841759828781411</v>
      </c>
      <c r="AU28" s="84">
        <v>0.90950875736252712</v>
      </c>
      <c r="AV28" s="84">
        <v>0.92221324438502672</v>
      </c>
      <c r="AW28" s="84">
        <v>0.90938936150889793</v>
      </c>
      <c r="AX28" s="84">
        <v>0.91277139946524066</v>
      </c>
      <c r="AY28" s="84">
        <v>0.91656904567488495</v>
      </c>
      <c r="AZ28" s="84">
        <v>0.91468083913043474</v>
      </c>
      <c r="BA28" s="84">
        <v>0.91404895531487818</v>
      </c>
      <c r="BB28" s="84">
        <v>0.91412940531158515</v>
      </c>
      <c r="BC28" s="84">
        <v>0.9158369242677824</v>
      </c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  <c r="BS28" s="84"/>
      <c r="BT28" s="84"/>
      <c r="BU28" s="84"/>
      <c r="BV28" s="84"/>
      <c r="BW28" s="84"/>
      <c r="BX28" s="84"/>
      <c r="BY28" s="84"/>
      <c r="BZ28" s="64"/>
    </row>
    <row r="29" spans="1:78" x14ac:dyDescent="0.35">
      <c r="A29" s="85" t="s">
        <v>36</v>
      </c>
      <c r="B29" s="86">
        <f t="shared" si="0"/>
        <v>55</v>
      </c>
      <c r="C29" s="87">
        <v>55</v>
      </c>
      <c r="D29" s="88">
        <v>55</v>
      </c>
      <c r="E29" s="88">
        <v>55</v>
      </c>
      <c r="F29" s="88">
        <v>55</v>
      </c>
      <c r="G29" s="88">
        <v>55</v>
      </c>
      <c r="H29" s="88">
        <v>55</v>
      </c>
      <c r="I29" s="88">
        <v>55</v>
      </c>
      <c r="J29" s="88">
        <v>55</v>
      </c>
      <c r="K29" s="88">
        <v>55</v>
      </c>
      <c r="L29" s="88">
        <v>55</v>
      </c>
      <c r="M29" s="88">
        <v>55</v>
      </c>
      <c r="N29" s="88">
        <v>55</v>
      </c>
      <c r="O29" s="88">
        <v>55</v>
      </c>
      <c r="P29" s="88">
        <v>55</v>
      </c>
      <c r="Q29" s="88">
        <v>55</v>
      </c>
      <c r="R29" s="88">
        <v>55</v>
      </c>
      <c r="S29" s="88">
        <v>55</v>
      </c>
      <c r="T29" s="88">
        <v>55</v>
      </c>
      <c r="U29" s="88">
        <v>55</v>
      </c>
      <c r="V29" s="88">
        <v>55</v>
      </c>
      <c r="W29" s="88">
        <v>55</v>
      </c>
      <c r="X29" s="88">
        <v>55</v>
      </c>
      <c r="Y29" s="88">
        <v>55</v>
      </c>
      <c r="Z29" s="88">
        <v>55</v>
      </c>
      <c r="AA29" s="88">
        <v>55</v>
      </c>
      <c r="AB29" s="88">
        <v>55</v>
      </c>
      <c r="AC29" s="88">
        <v>55</v>
      </c>
      <c r="AD29" s="88">
        <v>55</v>
      </c>
      <c r="AE29" s="88">
        <v>55</v>
      </c>
      <c r="AF29" s="88">
        <v>55</v>
      </c>
      <c r="AG29" s="88">
        <v>55</v>
      </c>
      <c r="AH29" s="88">
        <v>55</v>
      </c>
      <c r="AI29" s="88">
        <v>55</v>
      </c>
      <c r="AJ29" s="88">
        <v>55</v>
      </c>
      <c r="AK29" s="88">
        <v>55</v>
      </c>
      <c r="AL29" s="88">
        <v>55</v>
      </c>
      <c r="AM29" s="88">
        <v>55</v>
      </c>
      <c r="AN29" s="88">
        <v>55</v>
      </c>
      <c r="AO29" s="88">
        <v>55</v>
      </c>
      <c r="AP29" s="88">
        <v>55</v>
      </c>
      <c r="AQ29" s="88">
        <v>55</v>
      </c>
      <c r="AR29" s="88">
        <v>55</v>
      </c>
      <c r="AS29" s="88">
        <v>55</v>
      </c>
      <c r="AT29" s="88">
        <v>55</v>
      </c>
      <c r="AU29" s="88">
        <v>55</v>
      </c>
      <c r="AV29" s="88">
        <v>55</v>
      </c>
      <c r="AW29" s="88">
        <v>55</v>
      </c>
      <c r="AX29" s="88">
        <v>55</v>
      </c>
      <c r="AY29" s="88">
        <v>55</v>
      </c>
      <c r="AZ29" s="88">
        <v>55</v>
      </c>
      <c r="BA29" s="88">
        <v>55</v>
      </c>
      <c r="BB29" s="88">
        <v>55</v>
      </c>
      <c r="BC29" s="88">
        <v>55</v>
      </c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88"/>
      <c r="BT29" s="88"/>
      <c r="BU29" s="88"/>
      <c r="BV29" s="88"/>
      <c r="BW29" s="88"/>
      <c r="BX29" s="88"/>
      <c r="BY29" s="88"/>
      <c r="BZ29" s="64"/>
    </row>
    <row r="30" spans="1:78" x14ac:dyDescent="0.35">
      <c r="A30" s="89" t="s">
        <v>37</v>
      </c>
      <c r="B30" s="90">
        <f t="shared" si="0"/>
        <v>19167.866890954501</v>
      </c>
      <c r="C30" s="91">
        <v>17180.830882352944</v>
      </c>
      <c r="D30" s="92">
        <v>18859.686274509804</v>
      </c>
      <c r="E30" s="92">
        <v>20602.941176470591</v>
      </c>
      <c r="F30" s="92">
        <v>17504.117647058825</v>
      </c>
      <c r="G30" s="92">
        <v>18151.037316176473</v>
      </c>
      <c r="H30" s="92">
        <v>18474.28235294118</v>
      </c>
      <c r="I30" s="92">
        <v>19165.705882352941</v>
      </c>
      <c r="J30" s="92">
        <v>18887.526715686276</v>
      </c>
      <c r="K30" s="92">
        <v>18412.227941176472</v>
      </c>
      <c r="L30" s="92">
        <v>20258.823529411766</v>
      </c>
      <c r="M30" s="92">
        <v>18456.254901960783</v>
      </c>
      <c r="N30" s="92">
        <v>19242.808823529413</v>
      </c>
      <c r="O30" s="92">
        <v>19276.666666666668</v>
      </c>
      <c r="P30" s="92">
        <v>18794.588235294119</v>
      </c>
      <c r="Q30" s="92">
        <v>18839.311764705883</v>
      </c>
      <c r="R30" s="92">
        <v>19865.066176470587</v>
      </c>
      <c r="S30" s="92">
        <v>20196.862745098042</v>
      </c>
      <c r="T30" s="92">
        <v>18991.375</v>
      </c>
      <c r="U30" s="92">
        <v>19319.65049019608</v>
      </c>
      <c r="V30" s="92">
        <v>19572.867647058825</v>
      </c>
      <c r="W30" s="92">
        <v>19363.235294117647</v>
      </c>
      <c r="X30" s="92">
        <v>19636.666666666668</v>
      </c>
      <c r="Y30" s="92">
        <v>19627.66323529412</v>
      </c>
      <c r="Z30" s="92">
        <v>18866.036764705881</v>
      </c>
      <c r="AA30" s="92">
        <v>19703.991666666669</v>
      </c>
      <c r="AB30" s="92">
        <v>19772.852941176472</v>
      </c>
      <c r="AC30" s="92">
        <v>18964.509803921574</v>
      </c>
      <c r="AD30" s="92">
        <v>19883.764705882353</v>
      </c>
      <c r="AE30" s="92">
        <v>19391.441176470587</v>
      </c>
      <c r="AF30" s="92">
        <v>19606.323529411769</v>
      </c>
      <c r="AG30" s="92">
        <v>19766.098039215689</v>
      </c>
      <c r="AH30" s="92">
        <v>19783.905882352945</v>
      </c>
      <c r="AI30" s="92">
        <v>19437.863051470591</v>
      </c>
      <c r="AJ30" s="92">
        <v>19615.083333333336</v>
      </c>
      <c r="AK30" s="92">
        <v>19713.176470588238</v>
      </c>
      <c r="AL30" s="92">
        <v>18354.879656862744</v>
      </c>
      <c r="AM30" s="92">
        <v>19662.98823529412</v>
      </c>
      <c r="AN30" s="92">
        <v>20070.036764705885</v>
      </c>
      <c r="AO30" s="92">
        <v>19373.264705882357</v>
      </c>
      <c r="AP30" s="92">
        <v>18811.173039215686</v>
      </c>
      <c r="AQ30" s="92">
        <v>19600.3125</v>
      </c>
      <c r="AR30" s="92">
        <v>19504.651960784315</v>
      </c>
      <c r="AS30" s="92">
        <v>18295.198529411766</v>
      </c>
      <c r="AT30" s="92">
        <v>19043.936580882357</v>
      </c>
      <c r="AU30" s="92">
        <v>19751.333333333336</v>
      </c>
      <c r="AV30" s="92">
        <v>18159.098039215689</v>
      </c>
      <c r="AW30" s="92">
        <v>17320.923958333336</v>
      </c>
      <c r="AX30" s="92">
        <v>19620.015931372553</v>
      </c>
      <c r="AY30" s="92">
        <v>19759.348039215685</v>
      </c>
      <c r="AZ30" s="92">
        <v>19568.078431372553</v>
      </c>
      <c r="BA30" s="92">
        <v>17763.480392156864</v>
      </c>
      <c r="BB30" s="92">
        <v>19124.647058823532</v>
      </c>
      <c r="BC30" s="92">
        <v>18928.333333333336</v>
      </c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64"/>
    </row>
    <row r="31" spans="1:78" ht="15" thickBot="1" x14ac:dyDescent="0.4">
      <c r="A31" s="93" t="s">
        <v>38</v>
      </c>
      <c r="B31" s="94" t="str">
        <f t="shared" si="0"/>
        <v/>
      </c>
      <c r="C31" s="95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7"/>
      <c r="BB31" s="97"/>
      <c r="BC31" s="97"/>
      <c r="BD31" s="97"/>
      <c r="BE31" s="97"/>
      <c r="BF31" s="97"/>
      <c r="BG31" s="97"/>
      <c r="BH31" s="97"/>
      <c r="BI31" s="97"/>
      <c r="BJ31" s="97"/>
      <c r="BK31" s="97"/>
      <c r="BL31" s="97"/>
      <c r="BM31" s="97"/>
      <c r="BN31" s="97"/>
      <c r="BO31" s="97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8"/>
    </row>
    <row r="32" spans="1:78" x14ac:dyDescent="0.35">
      <c r="A32" s="99" t="str">
        <f>IF('[4]Set Up'!E41=0,"",'[4]Set Up'!E41&amp;", bbl")</f>
        <v>15% HCl Acid, bbl</v>
      </c>
      <c r="B32" s="100">
        <f>IF(BZ32=0,"",AVERAGE(C32:BY32))</f>
        <v>17.348158131176998</v>
      </c>
      <c r="C32" s="101">
        <v>30.976190476190474</v>
      </c>
      <c r="D32" s="102">
        <v>29.142857142857142</v>
      </c>
      <c r="E32" s="102">
        <v>30.023809523809526</v>
      </c>
      <c r="F32" s="102">
        <v>26.452380952380953</v>
      </c>
      <c r="G32" s="102">
        <v>29.976190476190474</v>
      </c>
      <c r="H32" s="102">
        <v>29.023809523809526</v>
      </c>
      <c r="I32" s="102">
        <v>27.38095238095238</v>
      </c>
      <c r="J32" s="102">
        <v>27.904761904761905</v>
      </c>
      <c r="K32" s="102">
        <v>29.714285714285715</v>
      </c>
      <c r="L32" s="102">
        <v>28.333333333333332</v>
      </c>
      <c r="M32" s="102">
        <v>17.023809523809526</v>
      </c>
      <c r="N32" s="102">
        <v>14.19047619047619</v>
      </c>
      <c r="O32" s="102">
        <v>14.642857142857142</v>
      </c>
      <c r="P32" s="102">
        <v>15.023809523809524</v>
      </c>
      <c r="Q32" s="102">
        <v>15.071428571428571</v>
      </c>
      <c r="R32" s="102">
        <v>15.142857142857142</v>
      </c>
      <c r="S32" s="102">
        <v>15.071428571428571</v>
      </c>
      <c r="T32" s="102">
        <v>15.023809523809524</v>
      </c>
      <c r="U32" s="102">
        <v>14.761904761904763</v>
      </c>
      <c r="V32" s="102">
        <v>14.5</v>
      </c>
      <c r="W32" s="102">
        <v>14.19047619047619</v>
      </c>
      <c r="X32" s="102">
        <v>13.69047619047619</v>
      </c>
      <c r="Y32" s="102">
        <v>13.19047619047619</v>
      </c>
      <c r="Z32" s="102">
        <v>12.5</v>
      </c>
      <c r="AA32" s="102">
        <v>14.5</v>
      </c>
      <c r="AB32" s="102">
        <v>13.952380952380953</v>
      </c>
      <c r="AC32" s="102">
        <v>15.261904761904763</v>
      </c>
      <c r="AD32" s="102">
        <v>16.404761904761905</v>
      </c>
      <c r="AE32" s="102">
        <v>13.69047619047619</v>
      </c>
      <c r="AF32" s="102">
        <v>14.19047619047619</v>
      </c>
      <c r="AG32" s="102">
        <v>14.5</v>
      </c>
      <c r="AH32" s="102">
        <v>14.761904761904763</v>
      </c>
      <c r="AI32" s="102">
        <v>15.023809523809524</v>
      </c>
      <c r="AJ32" s="102">
        <v>15.071428571428571</v>
      </c>
      <c r="AK32" s="102">
        <v>15.142857142857142</v>
      </c>
      <c r="AL32" s="102">
        <v>15.071428571428571</v>
      </c>
      <c r="AM32" s="102">
        <v>15.023809523809524</v>
      </c>
      <c r="AN32" s="102">
        <v>14.761904761904763</v>
      </c>
      <c r="AO32" s="102">
        <v>14.5</v>
      </c>
      <c r="AP32" s="102">
        <v>14.19047619047619</v>
      </c>
      <c r="AQ32" s="102">
        <v>13.69047619047619</v>
      </c>
      <c r="AR32" s="102">
        <v>13.19047619047619</v>
      </c>
      <c r="AS32" s="102">
        <v>15.523809523809524</v>
      </c>
      <c r="AT32" s="102">
        <v>14.5</v>
      </c>
      <c r="AU32" s="102">
        <v>14.19047619047619</v>
      </c>
      <c r="AV32" s="102">
        <v>14.5</v>
      </c>
      <c r="AW32" s="102">
        <v>14.761904761904763</v>
      </c>
      <c r="AX32" s="102">
        <v>15.023809523809524</v>
      </c>
      <c r="AY32" s="102">
        <v>15.071428571428571</v>
      </c>
      <c r="AZ32" s="102">
        <v>15.142857142857142</v>
      </c>
      <c r="BA32" s="101">
        <v>15.071428571428571</v>
      </c>
      <c r="BB32" s="101">
        <v>15.023809523809524</v>
      </c>
      <c r="BC32" s="101">
        <v>14.761904761904763</v>
      </c>
      <c r="BD32" s="101"/>
      <c r="BE32" s="101"/>
      <c r="BF32" s="101"/>
      <c r="BG32" s="101"/>
      <c r="BH32" s="101"/>
      <c r="BI32" s="101"/>
      <c r="BJ32" s="101"/>
      <c r="BK32" s="101"/>
      <c r="BL32" s="101"/>
      <c r="BM32" s="101"/>
      <c r="BN32" s="101"/>
      <c r="BO32" s="101"/>
      <c r="BP32" s="101"/>
      <c r="BQ32" s="101"/>
      <c r="BR32" s="101"/>
      <c r="BS32" s="101"/>
      <c r="BT32" s="101"/>
      <c r="BU32" s="101"/>
      <c r="BV32" s="101"/>
      <c r="BW32" s="101"/>
      <c r="BX32" s="101"/>
      <c r="BY32" s="101"/>
      <c r="BZ32" s="103">
        <f t="shared" ref="BZ32:BZ58" si="1">SUM(C32:BY32)</f>
        <v>919.45238095238085</v>
      </c>
    </row>
    <row r="33" spans="1:78" x14ac:dyDescent="0.35">
      <c r="A33" s="104" t="str">
        <f>IF('[4]Set Up'!E42=0,"",'[4]Set Up'!E42&amp;", bbl")</f>
        <v>Slickwater, bbl</v>
      </c>
      <c r="B33" s="105">
        <f>IF(BZ33=0,"",AVERAGE(C33:BY33))</f>
        <v>10888.154339622641</v>
      </c>
      <c r="C33" s="106">
        <v>10806.300000000001</v>
      </c>
      <c r="D33" s="107">
        <v>11832.300000000001</v>
      </c>
      <c r="E33" s="107">
        <v>10972.880000000001</v>
      </c>
      <c r="F33" s="107">
        <v>12034.4</v>
      </c>
      <c r="G33" s="107">
        <v>12010.5</v>
      </c>
      <c r="H33" s="107">
        <v>10901.1</v>
      </c>
      <c r="I33" s="107">
        <v>10986</v>
      </c>
      <c r="J33" s="107">
        <v>10976.299999999997</v>
      </c>
      <c r="K33" s="107">
        <v>10931.8</v>
      </c>
      <c r="L33" s="107">
        <v>10863.1</v>
      </c>
      <c r="M33" s="107">
        <v>10954.600000000002</v>
      </c>
      <c r="N33" s="107">
        <v>10899.2</v>
      </c>
      <c r="O33" s="107">
        <v>10808</v>
      </c>
      <c r="P33" s="107">
        <v>10789</v>
      </c>
      <c r="Q33" s="107">
        <v>10927.6</v>
      </c>
      <c r="R33" s="107">
        <v>10812.099999999999</v>
      </c>
      <c r="S33" s="107">
        <v>10720.4</v>
      </c>
      <c r="T33" s="107">
        <v>10773.4</v>
      </c>
      <c r="U33" s="107">
        <v>10688.4</v>
      </c>
      <c r="V33" s="107">
        <v>10875.2</v>
      </c>
      <c r="W33" s="107">
        <v>10679.499999999998</v>
      </c>
      <c r="X33" s="107">
        <v>10746.900000000001</v>
      </c>
      <c r="Y33" s="107">
        <v>10921.099999999999</v>
      </c>
      <c r="Z33" s="107">
        <v>10852.7</v>
      </c>
      <c r="AA33" s="107">
        <v>11338.6</v>
      </c>
      <c r="AB33" s="107">
        <v>10828.1</v>
      </c>
      <c r="AC33" s="107">
        <v>11287.300000000001</v>
      </c>
      <c r="AD33" s="107">
        <v>10696.1</v>
      </c>
      <c r="AE33" s="107">
        <v>10740.300000000001</v>
      </c>
      <c r="AF33" s="107">
        <v>10818.199999999999</v>
      </c>
      <c r="AG33" s="107">
        <v>10707.300000000001</v>
      </c>
      <c r="AH33" s="107">
        <v>10612.300000000001</v>
      </c>
      <c r="AI33" s="107">
        <v>10957.499999999998</v>
      </c>
      <c r="AJ33" s="107">
        <v>10683.699999999999</v>
      </c>
      <c r="AK33" s="107">
        <v>10756.8</v>
      </c>
      <c r="AL33" s="107">
        <v>10788.199999999999</v>
      </c>
      <c r="AM33" s="107">
        <v>10749.8</v>
      </c>
      <c r="AN33" s="107">
        <v>10769.7</v>
      </c>
      <c r="AO33" s="107">
        <v>10985.600000000002</v>
      </c>
      <c r="AP33" s="107">
        <v>10746.199999999999</v>
      </c>
      <c r="AQ33" s="107">
        <v>10764.699999999999</v>
      </c>
      <c r="AR33" s="107">
        <v>10630.199999999999</v>
      </c>
      <c r="AS33" s="107">
        <v>11014.599999999999</v>
      </c>
      <c r="AT33" s="107">
        <v>10968.9</v>
      </c>
      <c r="AU33" s="107">
        <v>11180.5</v>
      </c>
      <c r="AV33" s="107">
        <v>10739.3</v>
      </c>
      <c r="AW33" s="107">
        <v>10971.8</v>
      </c>
      <c r="AX33" s="107">
        <v>10646.1</v>
      </c>
      <c r="AY33" s="107">
        <v>10683.800000000001</v>
      </c>
      <c r="AZ33" s="107">
        <v>10608.900000000001</v>
      </c>
      <c r="BA33" s="106">
        <v>10663.3</v>
      </c>
      <c r="BB33" s="106">
        <v>10588</v>
      </c>
      <c r="BC33" s="106">
        <v>10383.6</v>
      </c>
      <c r="BD33" s="106"/>
      <c r="BE33" s="106"/>
      <c r="BF33" s="106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8">
        <f t="shared" si="1"/>
        <v>577072.17999999993</v>
      </c>
    </row>
    <row r="34" spans="1:78" x14ac:dyDescent="0.35">
      <c r="A34" s="99" t="str">
        <f>IF('[4]Set Up'!E43=0,"",'[4]Set Up'!E43&amp;", bbl")</f>
        <v>Pump Down, bbl</v>
      </c>
      <c r="B34" s="109">
        <f>IF(BZ34=0,"",AVERAGE(C34:BY34))</f>
        <v>147.26415094339623</v>
      </c>
      <c r="C34" s="110">
        <v>326</v>
      </c>
      <c r="D34" s="111">
        <v>301</v>
      </c>
      <c r="E34" s="111">
        <v>308</v>
      </c>
      <c r="F34" s="111">
        <v>303</v>
      </c>
      <c r="G34" s="111">
        <v>274</v>
      </c>
      <c r="H34" s="111">
        <v>243</v>
      </c>
      <c r="I34" s="111">
        <v>242</v>
      </c>
      <c r="J34" s="111">
        <v>230</v>
      </c>
      <c r="K34" s="111">
        <v>206</v>
      </c>
      <c r="L34" s="111">
        <v>209</v>
      </c>
      <c r="M34" s="111">
        <v>210</v>
      </c>
      <c r="N34" s="111">
        <v>224</v>
      </c>
      <c r="O34" s="111">
        <v>203</v>
      </c>
      <c r="P34" s="111">
        <v>255</v>
      </c>
      <c r="Q34" s="111">
        <v>202</v>
      </c>
      <c r="R34" s="111">
        <v>189</v>
      </c>
      <c r="S34" s="111">
        <v>179</v>
      </c>
      <c r="T34" s="111">
        <v>175</v>
      </c>
      <c r="U34" s="111">
        <v>166</v>
      </c>
      <c r="V34" s="111">
        <v>163</v>
      </c>
      <c r="W34" s="111">
        <v>154</v>
      </c>
      <c r="X34" s="111">
        <v>172</v>
      </c>
      <c r="Y34" s="111">
        <v>184</v>
      </c>
      <c r="Z34" s="111">
        <v>140</v>
      </c>
      <c r="AA34" s="111">
        <v>138</v>
      </c>
      <c r="AB34" s="111">
        <v>134</v>
      </c>
      <c r="AC34" s="111">
        <v>141</v>
      </c>
      <c r="AD34" s="111">
        <v>133</v>
      </c>
      <c r="AE34" s="111">
        <v>117</v>
      </c>
      <c r="AF34" s="111">
        <v>114</v>
      </c>
      <c r="AG34" s="111">
        <v>111</v>
      </c>
      <c r="AH34" s="111">
        <v>106</v>
      </c>
      <c r="AI34" s="111">
        <v>518</v>
      </c>
      <c r="AJ34" s="111">
        <v>96</v>
      </c>
      <c r="AK34" s="111">
        <v>96</v>
      </c>
      <c r="AL34" s="111">
        <v>82</v>
      </c>
      <c r="AM34" s="111">
        <v>78</v>
      </c>
      <c r="AN34" s="111">
        <v>75</v>
      </c>
      <c r="AO34" s="111">
        <v>69</v>
      </c>
      <c r="AP34" s="111">
        <v>64</v>
      </c>
      <c r="AQ34" s="111">
        <v>59</v>
      </c>
      <c r="AR34" s="111">
        <v>61</v>
      </c>
      <c r="AS34" s="111">
        <v>58</v>
      </c>
      <c r="AT34" s="111">
        <v>44</v>
      </c>
      <c r="AU34" s="111">
        <v>48</v>
      </c>
      <c r="AV34" s="111">
        <v>40</v>
      </c>
      <c r="AW34" s="111">
        <v>33</v>
      </c>
      <c r="AX34" s="111">
        <v>36</v>
      </c>
      <c r="AY34" s="111">
        <v>29</v>
      </c>
      <c r="AZ34" s="111">
        <v>27</v>
      </c>
      <c r="BA34" s="111">
        <v>22</v>
      </c>
      <c r="BB34" s="111">
        <v>18</v>
      </c>
      <c r="BC34" s="111">
        <v>0</v>
      </c>
      <c r="BD34" s="111"/>
      <c r="BE34" s="111"/>
      <c r="BF34" s="111"/>
      <c r="BG34" s="111"/>
      <c r="BH34" s="111"/>
      <c r="BI34" s="111"/>
      <c r="BJ34" s="111"/>
      <c r="BK34" s="111"/>
      <c r="BL34" s="111"/>
      <c r="BM34" s="111"/>
      <c r="BN34" s="111"/>
      <c r="BO34" s="111"/>
      <c r="BP34" s="111"/>
      <c r="BQ34" s="111"/>
      <c r="BR34" s="111"/>
      <c r="BS34" s="111"/>
      <c r="BT34" s="111"/>
      <c r="BU34" s="111"/>
      <c r="BV34" s="111"/>
      <c r="BW34" s="111"/>
      <c r="BX34" s="111"/>
      <c r="BY34" s="111"/>
      <c r="BZ34" s="109">
        <f t="shared" si="1"/>
        <v>7805</v>
      </c>
    </row>
    <row r="35" spans="1:78" x14ac:dyDescent="0.35">
      <c r="A35" s="104" t="str">
        <f>IF('[4]Set Up'!E44=0,"",'[4]Set Up'!E44&amp;", bbl")</f>
        <v/>
      </c>
      <c r="B35" s="105" t="str">
        <f>IF(BZ35=0,"",AVERAGE(C35:BY35))</f>
        <v/>
      </c>
      <c r="C35" s="106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  <c r="AU35" s="107">
        <v>0</v>
      </c>
      <c r="AV35" s="107">
        <v>0</v>
      </c>
      <c r="AW35" s="107">
        <v>0</v>
      </c>
      <c r="AX35" s="107">
        <v>0</v>
      </c>
      <c r="AY35" s="107">
        <v>0</v>
      </c>
      <c r="AZ35" s="107">
        <v>0</v>
      </c>
      <c r="BA35" s="107">
        <v>0</v>
      </c>
      <c r="BB35" s="107">
        <v>0</v>
      </c>
      <c r="BC35" s="107">
        <v>0</v>
      </c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5">
        <f t="shared" si="1"/>
        <v>0</v>
      </c>
    </row>
    <row r="36" spans="1:78" ht="15" thickBot="1" x14ac:dyDescent="0.4">
      <c r="A36" s="112" t="s">
        <v>39</v>
      </c>
      <c r="B36" s="113">
        <f>IF(BZ36=0,"",AVERAGE(C36:BY36))</f>
        <v>11052.766648697212</v>
      </c>
      <c r="C36" s="114">
        <v>11163.276190476192</v>
      </c>
      <c r="D36" s="115">
        <v>12162.442857142858</v>
      </c>
      <c r="E36" s="115">
        <v>11310.90380952381</v>
      </c>
      <c r="F36" s="115">
        <v>12363.852380952381</v>
      </c>
      <c r="G36" s="115">
        <v>12314.476190476191</v>
      </c>
      <c r="H36" s="115">
        <v>11173.12380952381</v>
      </c>
      <c r="I36" s="115">
        <v>11255.380952380952</v>
      </c>
      <c r="J36" s="115">
        <v>11234.204761904759</v>
      </c>
      <c r="K36" s="115">
        <v>11167.514285714286</v>
      </c>
      <c r="L36" s="115">
        <v>11100.433333333334</v>
      </c>
      <c r="M36" s="115">
        <v>11181.623809523811</v>
      </c>
      <c r="N36" s="115">
        <v>11137.390476190478</v>
      </c>
      <c r="O36" s="115">
        <v>11025.642857142857</v>
      </c>
      <c r="P36" s="115">
        <v>11059.023809523809</v>
      </c>
      <c r="Q36" s="115">
        <v>11144.67142857143</v>
      </c>
      <c r="R36" s="115">
        <v>11016.242857142855</v>
      </c>
      <c r="S36" s="115">
        <v>10914.471428571429</v>
      </c>
      <c r="T36" s="115">
        <v>10963.423809523809</v>
      </c>
      <c r="U36" s="115">
        <v>10869.161904761904</v>
      </c>
      <c r="V36" s="115">
        <v>11052.7</v>
      </c>
      <c r="W36" s="115">
        <v>10847.690476190475</v>
      </c>
      <c r="X36" s="115">
        <v>10932.590476190479</v>
      </c>
      <c r="Y36" s="115">
        <v>11118.290476190476</v>
      </c>
      <c r="Z36" s="115">
        <v>11005.2</v>
      </c>
      <c r="AA36" s="115">
        <v>11491.1</v>
      </c>
      <c r="AB36" s="115">
        <v>10976.052380952382</v>
      </c>
      <c r="AC36" s="115">
        <v>11443.561904761906</v>
      </c>
      <c r="AD36" s="115">
        <v>10845.504761904762</v>
      </c>
      <c r="AE36" s="115">
        <v>10870.990476190478</v>
      </c>
      <c r="AF36" s="115">
        <v>10946.390476190476</v>
      </c>
      <c r="AG36" s="115">
        <v>10832.800000000001</v>
      </c>
      <c r="AH36" s="115">
        <v>10733.061904761906</v>
      </c>
      <c r="AI36" s="115">
        <v>11490.523809523807</v>
      </c>
      <c r="AJ36" s="115">
        <v>10794.771428571428</v>
      </c>
      <c r="AK36" s="115">
        <v>10867.942857142856</v>
      </c>
      <c r="AL36" s="115">
        <v>10885.271428571428</v>
      </c>
      <c r="AM36" s="115">
        <v>10842.823809523808</v>
      </c>
      <c r="AN36" s="115">
        <v>10859.461904761905</v>
      </c>
      <c r="AO36" s="115">
        <v>11069.100000000002</v>
      </c>
      <c r="AP36" s="115">
        <v>10824.390476190476</v>
      </c>
      <c r="AQ36" s="115">
        <v>10837.390476190476</v>
      </c>
      <c r="AR36" s="115">
        <v>10704.390476190476</v>
      </c>
      <c r="AS36" s="115">
        <v>11088.123809523808</v>
      </c>
      <c r="AT36" s="115">
        <v>11027.4</v>
      </c>
      <c r="AU36" s="115">
        <v>11242.690476190477</v>
      </c>
      <c r="AV36" s="115">
        <v>10793.8</v>
      </c>
      <c r="AW36" s="115">
        <v>11019.561904761904</v>
      </c>
      <c r="AX36" s="115">
        <v>10697.12380952381</v>
      </c>
      <c r="AY36" s="115">
        <v>10727.87142857143</v>
      </c>
      <c r="AZ36" s="115">
        <v>10651.042857142858</v>
      </c>
      <c r="BA36" s="114">
        <v>10700.371428571429</v>
      </c>
      <c r="BB36" s="114">
        <v>10621.023809523809</v>
      </c>
      <c r="BC36" s="114">
        <v>10398.361904761905</v>
      </c>
      <c r="BD36" s="114"/>
      <c r="BE36" s="114"/>
      <c r="BF36" s="114"/>
      <c r="BG36" s="114"/>
      <c r="BH36" s="114"/>
      <c r="BI36" s="114"/>
      <c r="BJ36" s="114"/>
      <c r="BK36" s="114"/>
      <c r="BL36" s="114"/>
      <c r="BM36" s="114"/>
      <c r="BN36" s="114"/>
      <c r="BO36" s="114"/>
      <c r="BP36" s="114"/>
      <c r="BQ36" s="114"/>
      <c r="BR36" s="114"/>
      <c r="BS36" s="114"/>
      <c r="BT36" s="114"/>
      <c r="BU36" s="114"/>
      <c r="BV36" s="114"/>
      <c r="BW36" s="114"/>
      <c r="BX36" s="114"/>
      <c r="BY36" s="114"/>
      <c r="BZ36" s="116">
        <f t="shared" si="1"/>
        <v>585796.63238095224</v>
      </c>
    </row>
    <row r="37" spans="1:78" x14ac:dyDescent="0.35">
      <c r="A37" s="117" t="str">
        <f>IF('[4]Set Up'!E35=0,"",'[4]Set Up'!E35&amp;", lb")</f>
        <v>100 Mesh, lb</v>
      </c>
      <c r="B37" s="118">
        <f t="shared" ref="B37:B58" si="2">IF(C37="","",AVERAGE(C37:BY37))</f>
        <v>501055.84905660379</v>
      </c>
      <c r="C37" s="119">
        <v>503020</v>
      </c>
      <c r="D37" s="120">
        <v>499320</v>
      </c>
      <c r="E37" s="120">
        <v>501700</v>
      </c>
      <c r="F37" s="120">
        <v>502280</v>
      </c>
      <c r="G37" s="120">
        <v>501400</v>
      </c>
      <c r="H37" s="120">
        <v>499620</v>
      </c>
      <c r="I37" s="120">
        <v>499540</v>
      </c>
      <c r="J37" s="120">
        <v>507620</v>
      </c>
      <c r="K37" s="120">
        <v>502280</v>
      </c>
      <c r="L37" s="120">
        <v>496540</v>
      </c>
      <c r="M37" s="120">
        <v>501940</v>
      </c>
      <c r="N37" s="120">
        <v>500660</v>
      </c>
      <c r="O37" s="120">
        <v>500960</v>
      </c>
      <c r="P37" s="120">
        <v>499480</v>
      </c>
      <c r="Q37" s="120">
        <v>500140</v>
      </c>
      <c r="R37" s="120">
        <v>496800</v>
      </c>
      <c r="S37" s="120">
        <v>496140</v>
      </c>
      <c r="T37" s="120">
        <v>499740</v>
      </c>
      <c r="U37" s="120">
        <v>493180</v>
      </c>
      <c r="V37" s="120">
        <v>502220</v>
      </c>
      <c r="W37" s="120">
        <v>498800</v>
      </c>
      <c r="X37" s="120">
        <v>502980</v>
      </c>
      <c r="Y37" s="120">
        <v>504400</v>
      </c>
      <c r="Z37" s="120">
        <v>498600</v>
      </c>
      <c r="AA37" s="120">
        <v>500460</v>
      </c>
      <c r="AB37" s="120">
        <v>507360</v>
      </c>
      <c r="AC37" s="120">
        <v>507840</v>
      </c>
      <c r="AD37" s="120">
        <v>496360</v>
      </c>
      <c r="AE37" s="120">
        <v>502920</v>
      </c>
      <c r="AF37" s="120">
        <v>504400</v>
      </c>
      <c r="AG37" s="120">
        <v>498900</v>
      </c>
      <c r="AH37" s="120">
        <v>492780</v>
      </c>
      <c r="AI37" s="120">
        <v>497680</v>
      </c>
      <c r="AJ37" s="120">
        <v>499180</v>
      </c>
      <c r="AK37" s="120">
        <v>501600</v>
      </c>
      <c r="AL37" s="120">
        <v>504520</v>
      </c>
      <c r="AM37" s="120">
        <v>504660</v>
      </c>
      <c r="AN37" s="120">
        <v>499620</v>
      </c>
      <c r="AO37" s="120">
        <v>503300</v>
      </c>
      <c r="AP37" s="120">
        <v>505500</v>
      </c>
      <c r="AQ37" s="120">
        <v>507380</v>
      </c>
      <c r="AR37" s="120">
        <v>497400</v>
      </c>
      <c r="AS37" s="120">
        <v>503060</v>
      </c>
      <c r="AT37" s="120">
        <v>512120</v>
      </c>
      <c r="AU37" s="120">
        <v>506960</v>
      </c>
      <c r="AV37" s="120">
        <v>500360</v>
      </c>
      <c r="AW37" s="120">
        <v>504800</v>
      </c>
      <c r="AX37" s="120">
        <v>496000</v>
      </c>
      <c r="AY37" s="120">
        <v>499720</v>
      </c>
      <c r="AZ37" s="120">
        <v>494480</v>
      </c>
      <c r="BA37" s="119">
        <v>505080</v>
      </c>
      <c r="BB37" s="119">
        <v>495080</v>
      </c>
      <c r="BC37" s="119">
        <v>497080</v>
      </c>
      <c r="BD37" s="119"/>
      <c r="BE37" s="119"/>
      <c r="BF37" s="119"/>
      <c r="BG37" s="119"/>
      <c r="BH37" s="119"/>
      <c r="BI37" s="119"/>
      <c r="BJ37" s="119"/>
      <c r="BK37" s="119"/>
      <c r="BL37" s="119"/>
      <c r="BM37" s="119"/>
      <c r="BN37" s="119"/>
      <c r="BO37" s="119"/>
      <c r="BP37" s="119"/>
      <c r="BQ37" s="119"/>
      <c r="BR37" s="119"/>
      <c r="BS37" s="119"/>
      <c r="BT37" s="119"/>
      <c r="BU37" s="119"/>
      <c r="BV37" s="119"/>
      <c r="BW37" s="119"/>
      <c r="BX37" s="119"/>
      <c r="BY37" s="119"/>
      <c r="BZ37" s="121">
        <f t="shared" si="1"/>
        <v>26555960</v>
      </c>
    </row>
    <row r="38" spans="1:78" x14ac:dyDescent="0.35">
      <c r="A38" s="122" t="str">
        <f>IF('[4]Set Up'!E36=0,"",'[4]Set Up'!E36&amp;", lb")</f>
        <v/>
      </c>
      <c r="B38" s="105" t="str">
        <f t="shared" si="2"/>
        <v/>
      </c>
      <c r="C38" s="123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  <c r="AZ38" s="124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08">
        <f t="shared" si="1"/>
        <v>0</v>
      </c>
    </row>
    <row r="39" spans="1:78" x14ac:dyDescent="0.35">
      <c r="A39" s="125" t="str">
        <f>IF('[4]Set Up'!E37=0,"",'[4]Set Up'!E37&amp;", lb")</f>
        <v/>
      </c>
      <c r="B39" s="126" t="str">
        <f t="shared" si="2"/>
        <v/>
      </c>
      <c r="C39" s="127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7"/>
      <c r="BB39" s="127"/>
      <c r="BC39" s="127"/>
      <c r="BD39" s="127"/>
      <c r="BE39" s="127"/>
      <c r="BF39" s="127"/>
      <c r="BG39" s="127"/>
      <c r="BH39" s="127"/>
      <c r="BI39" s="127"/>
      <c r="BJ39" s="127"/>
      <c r="BK39" s="127"/>
      <c r="BL39" s="127"/>
      <c r="BM39" s="127"/>
      <c r="BN39" s="127"/>
      <c r="BO39" s="127"/>
      <c r="BP39" s="127"/>
      <c r="BQ39" s="127"/>
      <c r="BR39" s="127"/>
      <c r="BS39" s="127"/>
      <c r="BT39" s="127"/>
      <c r="BU39" s="127"/>
      <c r="BV39" s="127"/>
      <c r="BW39" s="127"/>
      <c r="BX39" s="127"/>
      <c r="BY39" s="127"/>
      <c r="BZ39" s="129">
        <f t="shared" si="1"/>
        <v>0</v>
      </c>
    </row>
    <row r="40" spans="1:78" x14ac:dyDescent="0.35">
      <c r="A40" s="122" t="str">
        <f>IF('[4]Set Up'!E38=0,"",'[4]Set Up'!E38&amp;", lb")</f>
        <v/>
      </c>
      <c r="B40" s="105" t="str">
        <f t="shared" si="2"/>
        <v/>
      </c>
      <c r="C40" s="123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24"/>
      <c r="AX40" s="124"/>
      <c r="AY40" s="124"/>
      <c r="AZ40" s="124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08">
        <f t="shared" si="1"/>
        <v>0</v>
      </c>
    </row>
    <row r="41" spans="1:78" ht="15" thickBot="1" x14ac:dyDescent="0.4">
      <c r="A41" s="130" t="s">
        <v>40</v>
      </c>
      <c r="B41" s="131">
        <f t="shared" si="2"/>
        <v>501055.84905660379</v>
      </c>
      <c r="C41" s="131">
        <v>503020</v>
      </c>
      <c r="D41" s="132">
        <v>499320</v>
      </c>
      <c r="E41" s="132">
        <v>501700</v>
      </c>
      <c r="F41" s="132">
        <v>502280</v>
      </c>
      <c r="G41" s="132">
        <v>501400</v>
      </c>
      <c r="H41" s="132">
        <v>499620</v>
      </c>
      <c r="I41" s="132">
        <v>499540</v>
      </c>
      <c r="J41" s="132">
        <v>507620</v>
      </c>
      <c r="K41" s="132">
        <v>502280</v>
      </c>
      <c r="L41" s="132">
        <v>496540</v>
      </c>
      <c r="M41" s="132">
        <v>501940</v>
      </c>
      <c r="N41" s="132">
        <v>500660</v>
      </c>
      <c r="O41" s="132">
        <v>500960</v>
      </c>
      <c r="P41" s="132">
        <v>499480</v>
      </c>
      <c r="Q41" s="132">
        <v>500140</v>
      </c>
      <c r="R41" s="132">
        <v>496800</v>
      </c>
      <c r="S41" s="132">
        <v>496140</v>
      </c>
      <c r="T41" s="132">
        <v>499740</v>
      </c>
      <c r="U41" s="132">
        <v>493180</v>
      </c>
      <c r="V41" s="132">
        <v>502220</v>
      </c>
      <c r="W41" s="132">
        <v>498800</v>
      </c>
      <c r="X41" s="132">
        <v>502980</v>
      </c>
      <c r="Y41" s="132">
        <v>504400</v>
      </c>
      <c r="Z41" s="132">
        <v>498600</v>
      </c>
      <c r="AA41" s="132">
        <v>500460</v>
      </c>
      <c r="AB41" s="132">
        <v>507360</v>
      </c>
      <c r="AC41" s="132">
        <v>507840</v>
      </c>
      <c r="AD41" s="132">
        <v>496360</v>
      </c>
      <c r="AE41" s="132">
        <v>502920</v>
      </c>
      <c r="AF41" s="132">
        <v>504400</v>
      </c>
      <c r="AG41" s="132">
        <v>498900</v>
      </c>
      <c r="AH41" s="132">
        <v>492780</v>
      </c>
      <c r="AI41" s="132">
        <v>497680</v>
      </c>
      <c r="AJ41" s="132">
        <v>499180</v>
      </c>
      <c r="AK41" s="132">
        <v>501600</v>
      </c>
      <c r="AL41" s="132">
        <v>504520</v>
      </c>
      <c r="AM41" s="132">
        <v>504660</v>
      </c>
      <c r="AN41" s="132">
        <v>499620</v>
      </c>
      <c r="AO41" s="132">
        <v>503300</v>
      </c>
      <c r="AP41" s="132">
        <v>505500</v>
      </c>
      <c r="AQ41" s="132">
        <v>507380</v>
      </c>
      <c r="AR41" s="132">
        <v>497400</v>
      </c>
      <c r="AS41" s="132">
        <v>503060</v>
      </c>
      <c r="AT41" s="132">
        <v>512120</v>
      </c>
      <c r="AU41" s="132">
        <v>506960</v>
      </c>
      <c r="AV41" s="132">
        <v>500360</v>
      </c>
      <c r="AW41" s="132">
        <v>504800</v>
      </c>
      <c r="AX41" s="132">
        <v>496000</v>
      </c>
      <c r="AY41" s="132">
        <v>499720</v>
      </c>
      <c r="AZ41" s="132">
        <v>494480</v>
      </c>
      <c r="BA41" s="132">
        <v>505080</v>
      </c>
      <c r="BB41" s="132">
        <v>495080</v>
      </c>
      <c r="BC41" s="132">
        <v>497080</v>
      </c>
      <c r="BD41" s="132"/>
      <c r="BE41" s="132"/>
      <c r="BF41" s="132"/>
      <c r="BG41" s="132"/>
      <c r="BH41" s="132"/>
      <c r="BI41" s="132"/>
      <c r="BJ41" s="132"/>
      <c r="BK41" s="132"/>
      <c r="BL41" s="132"/>
      <c r="BM41" s="132"/>
      <c r="BN41" s="132"/>
      <c r="BO41" s="132"/>
      <c r="BP41" s="132"/>
      <c r="BQ41" s="132"/>
      <c r="BR41" s="132"/>
      <c r="BS41" s="132"/>
      <c r="BT41" s="132"/>
      <c r="BU41" s="132"/>
      <c r="BV41" s="132"/>
      <c r="BW41" s="132"/>
      <c r="BX41" s="132"/>
      <c r="BY41" s="132"/>
      <c r="BZ41" s="133">
        <f t="shared" si="1"/>
        <v>26555960</v>
      </c>
    </row>
    <row r="42" spans="1:78" x14ac:dyDescent="0.35">
      <c r="A42" s="134" t="str">
        <f>A37</f>
        <v>100 Mesh, lb</v>
      </c>
      <c r="B42" s="135">
        <f t="shared" si="2"/>
        <v>501055.84905660379</v>
      </c>
      <c r="C42" s="136">
        <v>503020</v>
      </c>
      <c r="D42" s="136">
        <v>499320</v>
      </c>
      <c r="E42" s="136">
        <v>501700</v>
      </c>
      <c r="F42" s="136">
        <v>502280</v>
      </c>
      <c r="G42" s="136">
        <v>501400</v>
      </c>
      <c r="H42" s="136">
        <v>499620</v>
      </c>
      <c r="I42" s="136">
        <v>499540</v>
      </c>
      <c r="J42" s="136">
        <v>507620</v>
      </c>
      <c r="K42" s="136">
        <v>502280</v>
      </c>
      <c r="L42" s="136">
        <v>496540</v>
      </c>
      <c r="M42" s="136">
        <v>501940</v>
      </c>
      <c r="N42" s="136">
        <v>500660</v>
      </c>
      <c r="O42" s="136">
        <v>500960</v>
      </c>
      <c r="P42" s="136">
        <v>499480</v>
      </c>
      <c r="Q42" s="136">
        <v>500140</v>
      </c>
      <c r="R42" s="136">
        <v>496800</v>
      </c>
      <c r="S42" s="136">
        <v>496140</v>
      </c>
      <c r="T42" s="136">
        <v>499740</v>
      </c>
      <c r="U42" s="136">
        <v>493180</v>
      </c>
      <c r="V42" s="136">
        <v>502220</v>
      </c>
      <c r="W42" s="136">
        <v>498800</v>
      </c>
      <c r="X42" s="136">
        <v>502980</v>
      </c>
      <c r="Y42" s="136">
        <v>504400</v>
      </c>
      <c r="Z42" s="136">
        <v>498600</v>
      </c>
      <c r="AA42" s="136">
        <v>500460</v>
      </c>
      <c r="AB42" s="136">
        <v>507360</v>
      </c>
      <c r="AC42" s="136">
        <v>507840</v>
      </c>
      <c r="AD42" s="136">
        <v>496360</v>
      </c>
      <c r="AE42" s="136">
        <v>502920</v>
      </c>
      <c r="AF42" s="136">
        <v>504400</v>
      </c>
      <c r="AG42" s="136">
        <v>498900</v>
      </c>
      <c r="AH42" s="136">
        <v>492780</v>
      </c>
      <c r="AI42" s="136">
        <v>497680</v>
      </c>
      <c r="AJ42" s="136">
        <v>499180</v>
      </c>
      <c r="AK42" s="136">
        <v>501600</v>
      </c>
      <c r="AL42" s="136">
        <v>504520</v>
      </c>
      <c r="AM42" s="136">
        <v>504660</v>
      </c>
      <c r="AN42" s="136">
        <v>499620</v>
      </c>
      <c r="AO42" s="136">
        <v>503300</v>
      </c>
      <c r="AP42" s="136">
        <v>505500</v>
      </c>
      <c r="AQ42" s="136">
        <v>507380</v>
      </c>
      <c r="AR42" s="136">
        <v>497400</v>
      </c>
      <c r="AS42" s="136">
        <v>503060</v>
      </c>
      <c r="AT42" s="136">
        <v>512120</v>
      </c>
      <c r="AU42" s="136">
        <v>506960</v>
      </c>
      <c r="AV42" s="136">
        <v>500360</v>
      </c>
      <c r="AW42" s="136">
        <v>504800</v>
      </c>
      <c r="AX42" s="136">
        <v>496000</v>
      </c>
      <c r="AY42" s="136">
        <v>499720</v>
      </c>
      <c r="AZ42" s="136">
        <v>494480</v>
      </c>
      <c r="BA42" s="137">
        <v>505080</v>
      </c>
      <c r="BB42" s="137">
        <v>495080</v>
      </c>
      <c r="BC42" s="137">
        <v>497080</v>
      </c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8">
        <f t="shared" si="1"/>
        <v>26555960</v>
      </c>
    </row>
    <row r="43" spans="1:78" x14ac:dyDescent="0.35">
      <c r="A43" s="122" t="str">
        <f>A38</f>
        <v/>
      </c>
      <c r="B43" s="105" t="str">
        <f t="shared" si="2"/>
        <v/>
      </c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  <c r="AZ43" s="124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08">
        <f t="shared" si="1"/>
        <v>0</v>
      </c>
    </row>
    <row r="44" spans="1:78" x14ac:dyDescent="0.35">
      <c r="A44" s="139" t="str">
        <f>A39</f>
        <v/>
      </c>
      <c r="B44" s="140" t="str">
        <f t="shared" si="2"/>
        <v/>
      </c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  <c r="AO44" s="141"/>
      <c r="AP44" s="141"/>
      <c r="AQ44" s="141"/>
      <c r="AR44" s="141"/>
      <c r="AS44" s="141"/>
      <c r="AT44" s="141"/>
      <c r="AU44" s="141"/>
      <c r="AV44" s="141"/>
      <c r="AW44" s="141"/>
      <c r="AX44" s="141"/>
      <c r="AY44" s="141"/>
      <c r="AZ44" s="141"/>
      <c r="BA44" s="141"/>
      <c r="BB44" s="141"/>
      <c r="BC44" s="141"/>
      <c r="BD44" s="141"/>
      <c r="BE44" s="141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1"/>
      <c r="BQ44" s="141"/>
      <c r="BR44" s="141"/>
      <c r="BS44" s="141"/>
      <c r="BT44" s="141"/>
      <c r="BU44" s="141"/>
      <c r="BV44" s="141"/>
      <c r="BW44" s="141"/>
      <c r="BX44" s="141"/>
      <c r="BY44" s="141"/>
      <c r="BZ44" s="140">
        <f t="shared" si="1"/>
        <v>0</v>
      </c>
    </row>
    <row r="45" spans="1:78" x14ac:dyDescent="0.35">
      <c r="A45" s="142" t="str">
        <f>A40</f>
        <v/>
      </c>
      <c r="B45" s="143" t="str">
        <f t="shared" si="2"/>
        <v/>
      </c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24"/>
      <c r="BL45" s="124"/>
      <c r="BM45" s="124"/>
      <c r="BN45" s="124"/>
      <c r="BO45" s="124"/>
      <c r="BP45" s="124"/>
      <c r="BQ45" s="124"/>
      <c r="BR45" s="124"/>
      <c r="BS45" s="124"/>
      <c r="BT45" s="124"/>
      <c r="BU45" s="124"/>
      <c r="BV45" s="124"/>
      <c r="BW45" s="124"/>
      <c r="BX45" s="124"/>
      <c r="BY45" s="124"/>
      <c r="BZ45" s="105">
        <f t="shared" si="1"/>
        <v>0</v>
      </c>
    </row>
    <row r="46" spans="1:78" ht="15" thickBot="1" x14ac:dyDescent="0.4">
      <c r="A46" s="144" t="s">
        <v>41</v>
      </c>
      <c r="B46" s="145">
        <f t="shared" si="2"/>
        <v>501055.84905660379</v>
      </c>
      <c r="C46" s="146">
        <v>503020</v>
      </c>
      <c r="D46" s="146">
        <v>499320</v>
      </c>
      <c r="E46" s="146">
        <v>501700</v>
      </c>
      <c r="F46" s="146">
        <v>502280</v>
      </c>
      <c r="G46" s="146">
        <v>501400</v>
      </c>
      <c r="H46" s="146">
        <v>499620</v>
      </c>
      <c r="I46" s="146">
        <v>499540</v>
      </c>
      <c r="J46" s="146">
        <v>507620</v>
      </c>
      <c r="K46" s="146">
        <v>502280</v>
      </c>
      <c r="L46" s="146">
        <v>496540</v>
      </c>
      <c r="M46" s="146">
        <v>501940</v>
      </c>
      <c r="N46" s="146">
        <v>500660</v>
      </c>
      <c r="O46" s="146">
        <v>500960</v>
      </c>
      <c r="P46" s="146">
        <v>499480</v>
      </c>
      <c r="Q46" s="146">
        <v>500140</v>
      </c>
      <c r="R46" s="146">
        <v>496800</v>
      </c>
      <c r="S46" s="146">
        <v>496140</v>
      </c>
      <c r="T46" s="146">
        <v>499740</v>
      </c>
      <c r="U46" s="146">
        <v>493180</v>
      </c>
      <c r="V46" s="146">
        <v>502220</v>
      </c>
      <c r="W46" s="146">
        <v>498800</v>
      </c>
      <c r="X46" s="146">
        <v>502980</v>
      </c>
      <c r="Y46" s="146">
        <v>504400</v>
      </c>
      <c r="Z46" s="146">
        <v>498600</v>
      </c>
      <c r="AA46" s="146">
        <v>500460</v>
      </c>
      <c r="AB46" s="146">
        <v>507360</v>
      </c>
      <c r="AC46" s="146">
        <v>507840</v>
      </c>
      <c r="AD46" s="146">
        <v>496360</v>
      </c>
      <c r="AE46" s="146">
        <v>502920</v>
      </c>
      <c r="AF46" s="146">
        <v>504400</v>
      </c>
      <c r="AG46" s="146">
        <v>498900</v>
      </c>
      <c r="AH46" s="146">
        <v>492780</v>
      </c>
      <c r="AI46" s="146">
        <v>497680</v>
      </c>
      <c r="AJ46" s="146">
        <v>499180</v>
      </c>
      <c r="AK46" s="146">
        <v>501600</v>
      </c>
      <c r="AL46" s="146">
        <v>504520</v>
      </c>
      <c r="AM46" s="146">
        <v>504660</v>
      </c>
      <c r="AN46" s="146">
        <v>499620</v>
      </c>
      <c r="AO46" s="146">
        <v>503300</v>
      </c>
      <c r="AP46" s="146">
        <v>505500</v>
      </c>
      <c r="AQ46" s="146">
        <v>507380</v>
      </c>
      <c r="AR46" s="146">
        <v>497400</v>
      </c>
      <c r="AS46" s="146">
        <v>503060</v>
      </c>
      <c r="AT46" s="146">
        <v>512120</v>
      </c>
      <c r="AU46" s="146">
        <v>506960</v>
      </c>
      <c r="AV46" s="146">
        <v>500360</v>
      </c>
      <c r="AW46" s="146">
        <v>504800</v>
      </c>
      <c r="AX46" s="146">
        <v>496000</v>
      </c>
      <c r="AY46" s="146">
        <v>499720</v>
      </c>
      <c r="AZ46" s="146">
        <v>494480</v>
      </c>
      <c r="BA46" s="146">
        <v>505080</v>
      </c>
      <c r="BB46" s="146">
        <v>495080</v>
      </c>
      <c r="BC46" s="146">
        <v>497080</v>
      </c>
      <c r="BD46" s="146"/>
      <c r="BE46" s="146"/>
      <c r="BF46" s="146"/>
      <c r="BG46" s="146"/>
      <c r="BH46" s="146"/>
      <c r="BI46" s="146"/>
      <c r="BJ46" s="146"/>
      <c r="BK46" s="146"/>
      <c r="BL46" s="146"/>
      <c r="BM46" s="146"/>
      <c r="BN46" s="146"/>
      <c r="BO46" s="146"/>
      <c r="BP46" s="146"/>
      <c r="BQ46" s="146"/>
      <c r="BR46" s="146"/>
      <c r="BS46" s="146"/>
      <c r="BT46" s="146"/>
      <c r="BU46" s="146"/>
      <c r="BV46" s="146"/>
      <c r="BW46" s="146"/>
      <c r="BX46" s="146"/>
      <c r="BY46" s="146"/>
      <c r="BZ46" s="145">
        <f t="shared" si="1"/>
        <v>26555960</v>
      </c>
    </row>
    <row r="47" spans="1:78" x14ac:dyDescent="0.35">
      <c r="A47" s="147" t="str">
        <f>'[4]Set Up'!E51</f>
        <v>Plexslick 957, gal</v>
      </c>
      <c r="B47" s="148">
        <f t="shared" si="2"/>
        <v>362.71698113207549</v>
      </c>
      <c r="C47" s="149">
        <v>455</v>
      </c>
      <c r="D47" s="150">
        <v>493</v>
      </c>
      <c r="E47" s="150">
        <v>396</v>
      </c>
      <c r="F47" s="150">
        <v>501</v>
      </c>
      <c r="G47" s="150">
        <v>495</v>
      </c>
      <c r="H47" s="150">
        <v>453</v>
      </c>
      <c r="I47" s="150">
        <v>458</v>
      </c>
      <c r="J47" s="150">
        <v>457</v>
      </c>
      <c r="K47" s="150">
        <v>455</v>
      </c>
      <c r="L47" s="151">
        <v>453</v>
      </c>
      <c r="M47" s="151">
        <v>457</v>
      </c>
      <c r="N47" s="151">
        <v>454</v>
      </c>
      <c r="O47" s="151">
        <v>450</v>
      </c>
      <c r="P47" s="151">
        <v>450</v>
      </c>
      <c r="Q47" s="151">
        <v>412</v>
      </c>
      <c r="R47" s="151">
        <v>407</v>
      </c>
      <c r="S47" s="151">
        <v>446</v>
      </c>
      <c r="T47" s="151">
        <v>449</v>
      </c>
      <c r="U47" s="151">
        <v>434</v>
      </c>
      <c r="V47" s="151">
        <v>453</v>
      </c>
      <c r="W47" s="151">
        <v>373</v>
      </c>
      <c r="X47" s="151">
        <v>387</v>
      </c>
      <c r="Y47" s="151">
        <v>315</v>
      </c>
      <c r="Z47" s="151">
        <v>367</v>
      </c>
      <c r="AA47" s="151">
        <v>355</v>
      </c>
      <c r="AB47" s="151">
        <v>330</v>
      </c>
      <c r="AC47" s="151">
        <v>348</v>
      </c>
      <c r="AD47" s="151">
        <v>330</v>
      </c>
      <c r="AE47" s="151">
        <v>340</v>
      </c>
      <c r="AF47" s="151">
        <v>297</v>
      </c>
      <c r="AG47" s="151">
        <v>329</v>
      </c>
      <c r="AH47" s="151">
        <v>397</v>
      </c>
      <c r="AI47" s="151">
        <v>346</v>
      </c>
      <c r="AJ47" s="151">
        <v>329</v>
      </c>
      <c r="AK47" s="151">
        <v>330</v>
      </c>
      <c r="AL47" s="151">
        <v>294</v>
      </c>
      <c r="AM47" s="151">
        <v>282</v>
      </c>
      <c r="AN47" s="151">
        <v>321</v>
      </c>
      <c r="AO47" s="151">
        <v>385</v>
      </c>
      <c r="AP47" s="151">
        <v>288</v>
      </c>
      <c r="AQ47" s="151">
        <v>287</v>
      </c>
      <c r="AR47" s="151">
        <v>287</v>
      </c>
      <c r="AS47" s="151">
        <v>336</v>
      </c>
      <c r="AT47" s="151">
        <v>268</v>
      </c>
      <c r="AU47" s="151">
        <v>266</v>
      </c>
      <c r="AV47" s="151">
        <v>261</v>
      </c>
      <c r="AW47" s="151">
        <v>299</v>
      </c>
      <c r="AX47" s="151">
        <v>237</v>
      </c>
      <c r="AY47" s="151">
        <v>243</v>
      </c>
      <c r="AZ47" s="151">
        <v>242</v>
      </c>
      <c r="BA47" s="152">
        <v>223</v>
      </c>
      <c r="BB47" s="152">
        <v>247</v>
      </c>
      <c r="BC47" s="152">
        <v>257</v>
      </c>
      <c r="BD47" s="152"/>
      <c r="BE47" s="152"/>
      <c r="BF47" s="152"/>
      <c r="BG47" s="152"/>
      <c r="BH47" s="152"/>
      <c r="BI47" s="152"/>
      <c r="BJ47" s="152"/>
      <c r="BK47" s="152"/>
      <c r="BL47" s="152"/>
      <c r="BM47" s="152"/>
      <c r="BN47" s="152"/>
      <c r="BO47" s="152"/>
      <c r="BP47" s="152"/>
      <c r="BQ47" s="152"/>
      <c r="BR47" s="152"/>
      <c r="BS47" s="152"/>
      <c r="BT47" s="152"/>
      <c r="BU47" s="152"/>
      <c r="BV47" s="152"/>
      <c r="BW47" s="152"/>
      <c r="BX47" s="152"/>
      <c r="BY47" s="152"/>
      <c r="BZ47" s="153">
        <f t="shared" si="1"/>
        <v>19224</v>
      </c>
    </row>
    <row r="48" spans="1:78" x14ac:dyDescent="0.35">
      <c r="A48" s="154" t="str">
        <f>'[4]Set Up'!E52</f>
        <v>Chemplex 4-N-1, gal</v>
      </c>
      <c r="B48" s="155">
        <f t="shared" si="2"/>
        <v>4.5849056603773581</v>
      </c>
      <c r="C48" s="156">
        <v>8</v>
      </c>
      <c r="D48" s="157">
        <v>7</v>
      </c>
      <c r="E48" s="157">
        <v>8</v>
      </c>
      <c r="F48" s="157">
        <v>7</v>
      </c>
      <c r="G48" s="157">
        <v>8</v>
      </c>
      <c r="H48" s="157">
        <v>7</v>
      </c>
      <c r="I48" s="157">
        <v>7</v>
      </c>
      <c r="J48" s="157">
        <v>7</v>
      </c>
      <c r="K48" s="157">
        <v>8</v>
      </c>
      <c r="L48" s="107">
        <v>7</v>
      </c>
      <c r="M48" s="107">
        <v>4</v>
      </c>
      <c r="N48" s="107">
        <v>4</v>
      </c>
      <c r="O48" s="107">
        <v>4</v>
      </c>
      <c r="P48" s="107">
        <v>4</v>
      </c>
      <c r="Q48" s="107">
        <v>4</v>
      </c>
      <c r="R48" s="107">
        <v>4</v>
      </c>
      <c r="S48" s="107">
        <v>4</v>
      </c>
      <c r="T48" s="107">
        <v>4</v>
      </c>
      <c r="U48" s="107">
        <v>4</v>
      </c>
      <c r="V48" s="107">
        <v>4</v>
      </c>
      <c r="W48" s="107">
        <v>4</v>
      </c>
      <c r="X48" s="107">
        <v>4</v>
      </c>
      <c r="Y48" s="107">
        <v>3</v>
      </c>
      <c r="Z48" s="107">
        <v>3</v>
      </c>
      <c r="AA48" s="107">
        <v>4</v>
      </c>
      <c r="AB48" s="107">
        <v>4</v>
      </c>
      <c r="AC48" s="107">
        <v>4</v>
      </c>
      <c r="AD48" s="107">
        <v>4</v>
      </c>
      <c r="AE48" s="107">
        <v>4</v>
      </c>
      <c r="AF48" s="107">
        <v>4</v>
      </c>
      <c r="AG48" s="107">
        <v>4</v>
      </c>
      <c r="AH48" s="107">
        <v>4</v>
      </c>
      <c r="AI48" s="107">
        <v>4</v>
      </c>
      <c r="AJ48" s="107">
        <v>4</v>
      </c>
      <c r="AK48" s="107">
        <v>4</v>
      </c>
      <c r="AL48" s="107">
        <v>4</v>
      </c>
      <c r="AM48" s="107">
        <v>4</v>
      </c>
      <c r="AN48" s="107">
        <v>4</v>
      </c>
      <c r="AO48" s="107">
        <v>4</v>
      </c>
      <c r="AP48" s="107">
        <v>4</v>
      </c>
      <c r="AQ48" s="107">
        <v>4</v>
      </c>
      <c r="AR48" s="107">
        <v>3</v>
      </c>
      <c r="AS48" s="107">
        <v>4</v>
      </c>
      <c r="AT48" s="107">
        <v>4</v>
      </c>
      <c r="AU48" s="107">
        <v>4</v>
      </c>
      <c r="AV48" s="107">
        <v>4</v>
      </c>
      <c r="AW48" s="107">
        <v>4</v>
      </c>
      <c r="AX48" s="107">
        <v>4</v>
      </c>
      <c r="AY48" s="107">
        <v>4</v>
      </c>
      <c r="AZ48" s="107">
        <v>4</v>
      </c>
      <c r="BA48" s="106">
        <v>4</v>
      </c>
      <c r="BB48" s="106">
        <v>4</v>
      </c>
      <c r="BC48" s="106">
        <v>4</v>
      </c>
      <c r="BD48" s="106"/>
      <c r="BE48" s="106"/>
      <c r="BF48" s="106"/>
      <c r="BG48" s="106"/>
      <c r="BH48" s="106"/>
      <c r="BI48" s="106"/>
      <c r="BJ48" s="106"/>
      <c r="BK48" s="106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58">
        <f t="shared" si="1"/>
        <v>243</v>
      </c>
    </row>
    <row r="49" spans="1:78" x14ac:dyDescent="0.35">
      <c r="A49" s="147" t="str">
        <f>'[4]Set Up'!E53</f>
        <v>Payzone 845, gal</v>
      </c>
      <c r="B49" s="148">
        <f t="shared" si="2"/>
        <v>91.377358490566039</v>
      </c>
      <c r="C49" s="159">
        <v>91</v>
      </c>
      <c r="D49" s="160">
        <v>99</v>
      </c>
      <c r="E49" s="160">
        <v>92</v>
      </c>
      <c r="F49" s="160">
        <v>99</v>
      </c>
      <c r="G49" s="160">
        <v>101</v>
      </c>
      <c r="H49" s="160">
        <v>91</v>
      </c>
      <c r="I49" s="160">
        <v>92</v>
      </c>
      <c r="J49" s="160">
        <v>94</v>
      </c>
      <c r="K49" s="160">
        <v>92</v>
      </c>
      <c r="L49" s="161">
        <v>92</v>
      </c>
      <c r="M49" s="161">
        <v>93</v>
      </c>
      <c r="N49" s="161">
        <v>91</v>
      </c>
      <c r="O49" s="161">
        <v>90</v>
      </c>
      <c r="P49" s="161">
        <v>90</v>
      </c>
      <c r="Q49" s="161">
        <v>92</v>
      </c>
      <c r="R49" s="161">
        <v>91</v>
      </c>
      <c r="S49" s="161">
        <v>90</v>
      </c>
      <c r="T49" s="161">
        <v>90</v>
      </c>
      <c r="U49" s="161">
        <v>90</v>
      </c>
      <c r="V49" s="161">
        <v>91</v>
      </c>
      <c r="W49" s="161">
        <v>91</v>
      </c>
      <c r="X49" s="161">
        <v>90</v>
      </c>
      <c r="Y49" s="161">
        <v>92</v>
      </c>
      <c r="Z49" s="161">
        <v>92</v>
      </c>
      <c r="AA49" s="161">
        <v>95</v>
      </c>
      <c r="AB49" s="161">
        <v>91</v>
      </c>
      <c r="AC49" s="161">
        <v>95</v>
      </c>
      <c r="AD49" s="161">
        <v>90</v>
      </c>
      <c r="AE49" s="161">
        <v>90</v>
      </c>
      <c r="AF49" s="161">
        <v>90</v>
      </c>
      <c r="AG49" s="161">
        <v>90</v>
      </c>
      <c r="AH49" s="161">
        <v>89</v>
      </c>
      <c r="AI49" s="161">
        <v>92</v>
      </c>
      <c r="AJ49" s="161">
        <v>90</v>
      </c>
      <c r="AK49" s="161">
        <v>90</v>
      </c>
      <c r="AL49" s="161">
        <v>90</v>
      </c>
      <c r="AM49" s="161">
        <v>90</v>
      </c>
      <c r="AN49" s="161">
        <v>90</v>
      </c>
      <c r="AO49" s="161">
        <v>92</v>
      </c>
      <c r="AP49" s="161">
        <v>90</v>
      </c>
      <c r="AQ49" s="161">
        <v>90</v>
      </c>
      <c r="AR49" s="161">
        <v>89</v>
      </c>
      <c r="AS49" s="161">
        <v>92</v>
      </c>
      <c r="AT49" s="161">
        <v>92</v>
      </c>
      <c r="AU49" s="161">
        <v>94</v>
      </c>
      <c r="AV49" s="161">
        <v>89</v>
      </c>
      <c r="AW49" s="161">
        <v>92</v>
      </c>
      <c r="AX49" s="161">
        <v>90</v>
      </c>
      <c r="AY49" s="161">
        <v>90</v>
      </c>
      <c r="AZ49" s="161">
        <v>89</v>
      </c>
      <c r="BA49" s="162">
        <v>90</v>
      </c>
      <c r="BB49" s="162">
        <v>89</v>
      </c>
      <c r="BC49" s="162">
        <v>87</v>
      </c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3">
        <f t="shared" si="1"/>
        <v>4843</v>
      </c>
    </row>
    <row r="50" spans="1:78" x14ac:dyDescent="0.35">
      <c r="A50" s="154" t="str">
        <f>'[4]Set Up'!E54</f>
        <v>Payzone 850, gal</v>
      </c>
      <c r="B50" s="155">
        <f t="shared" si="2"/>
        <v>34.358490566037737</v>
      </c>
      <c r="C50" s="156">
        <v>34</v>
      </c>
      <c r="D50" s="157">
        <v>37</v>
      </c>
      <c r="E50" s="157">
        <v>35</v>
      </c>
      <c r="F50" s="157">
        <v>37</v>
      </c>
      <c r="G50" s="157">
        <v>38</v>
      </c>
      <c r="H50" s="157">
        <v>34</v>
      </c>
      <c r="I50" s="157">
        <v>35</v>
      </c>
      <c r="J50" s="157">
        <v>35</v>
      </c>
      <c r="K50" s="157">
        <v>34</v>
      </c>
      <c r="L50" s="157">
        <v>34</v>
      </c>
      <c r="M50" s="157">
        <v>34</v>
      </c>
      <c r="N50" s="157">
        <v>34</v>
      </c>
      <c r="O50" s="157">
        <v>34</v>
      </c>
      <c r="P50" s="157">
        <v>34</v>
      </c>
      <c r="Q50" s="157">
        <v>34</v>
      </c>
      <c r="R50" s="157">
        <v>34</v>
      </c>
      <c r="S50" s="157">
        <v>34</v>
      </c>
      <c r="T50" s="107">
        <v>34</v>
      </c>
      <c r="U50" s="107">
        <v>34</v>
      </c>
      <c r="V50" s="107">
        <v>34</v>
      </c>
      <c r="W50" s="107">
        <v>34</v>
      </c>
      <c r="X50" s="107">
        <v>34</v>
      </c>
      <c r="Y50" s="107">
        <v>35</v>
      </c>
      <c r="Z50" s="107">
        <v>34</v>
      </c>
      <c r="AA50" s="107">
        <v>35</v>
      </c>
      <c r="AB50" s="107">
        <v>34</v>
      </c>
      <c r="AC50" s="107">
        <v>35</v>
      </c>
      <c r="AD50" s="107">
        <v>34</v>
      </c>
      <c r="AE50" s="107">
        <v>34</v>
      </c>
      <c r="AF50" s="107">
        <v>34</v>
      </c>
      <c r="AG50" s="107">
        <v>34</v>
      </c>
      <c r="AH50" s="107">
        <v>34</v>
      </c>
      <c r="AI50" s="107">
        <v>35</v>
      </c>
      <c r="AJ50" s="107">
        <v>34</v>
      </c>
      <c r="AK50" s="107">
        <v>34</v>
      </c>
      <c r="AL50" s="107">
        <v>34</v>
      </c>
      <c r="AM50" s="107">
        <v>34</v>
      </c>
      <c r="AN50" s="107">
        <v>34</v>
      </c>
      <c r="AO50" s="107">
        <v>35</v>
      </c>
      <c r="AP50" s="107">
        <v>34</v>
      </c>
      <c r="AQ50" s="107">
        <v>34</v>
      </c>
      <c r="AR50" s="107">
        <v>34</v>
      </c>
      <c r="AS50" s="107">
        <v>35</v>
      </c>
      <c r="AT50" s="107">
        <v>35</v>
      </c>
      <c r="AU50" s="107">
        <v>35</v>
      </c>
      <c r="AV50" s="107">
        <v>34</v>
      </c>
      <c r="AW50" s="107">
        <v>35</v>
      </c>
      <c r="AX50" s="107">
        <v>34</v>
      </c>
      <c r="AY50" s="107">
        <v>34</v>
      </c>
      <c r="AZ50" s="107">
        <v>33</v>
      </c>
      <c r="BA50" s="106">
        <v>34</v>
      </c>
      <c r="BB50" s="106">
        <v>33</v>
      </c>
      <c r="BC50" s="106">
        <v>33</v>
      </c>
      <c r="BD50" s="106"/>
      <c r="BE50" s="106"/>
      <c r="BF50" s="106"/>
      <c r="BG50" s="106"/>
      <c r="BH50" s="106"/>
      <c r="BI50" s="106"/>
      <c r="BJ50" s="106"/>
      <c r="BK50" s="106"/>
      <c r="BL50" s="106"/>
      <c r="BM50" s="106"/>
      <c r="BN50" s="106"/>
      <c r="BO50" s="106"/>
      <c r="BP50" s="106"/>
      <c r="BQ50" s="106"/>
      <c r="BR50" s="106"/>
      <c r="BS50" s="106"/>
      <c r="BT50" s="106"/>
      <c r="BU50" s="106"/>
      <c r="BV50" s="106"/>
      <c r="BW50" s="106"/>
      <c r="BX50" s="106"/>
      <c r="BY50" s="106"/>
      <c r="BZ50" s="158">
        <f t="shared" si="1"/>
        <v>1821</v>
      </c>
    </row>
    <row r="51" spans="1:78" x14ac:dyDescent="0.35">
      <c r="A51" s="147" t="str">
        <f>'[4]Set Up'!E55</f>
        <v>Payzone 217, gal</v>
      </c>
      <c r="B51" s="148">
        <f t="shared" si="2"/>
        <v>91.377358490566039</v>
      </c>
      <c r="C51" s="159">
        <v>91</v>
      </c>
      <c r="D51" s="160">
        <v>99</v>
      </c>
      <c r="E51" s="160">
        <v>92</v>
      </c>
      <c r="F51" s="160">
        <v>99</v>
      </c>
      <c r="G51" s="160">
        <v>101</v>
      </c>
      <c r="H51" s="160">
        <v>91</v>
      </c>
      <c r="I51" s="160">
        <v>92</v>
      </c>
      <c r="J51" s="160">
        <v>94</v>
      </c>
      <c r="K51" s="160">
        <v>92</v>
      </c>
      <c r="L51" s="161">
        <v>92</v>
      </c>
      <c r="M51" s="161">
        <v>93</v>
      </c>
      <c r="N51" s="161">
        <v>91</v>
      </c>
      <c r="O51" s="161">
        <v>90</v>
      </c>
      <c r="P51" s="161">
        <v>90</v>
      </c>
      <c r="Q51" s="161">
        <v>92</v>
      </c>
      <c r="R51" s="161">
        <v>91</v>
      </c>
      <c r="S51" s="161">
        <v>90</v>
      </c>
      <c r="T51" s="161">
        <v>90</v>
      </c>
      <c r="U51" s="161">
        <v>90</v>
      </c>
      <c r="V51" s="161">
        <v>91</v>
      </c>
      <c r="W51" s="161">
        <v>91</v>
      </c>
      <c r="X51" s="161">
        <v>90</v>
      </c>
      <c r="Y51" s="161">
        <v>92</v>
      </c>
      <c r="Z51" s="161">
        <v>92</v>
      </c>
      <c r="AA51" s="161">
        <v>95</v>
      </c>
      <c r="AB51" s="161">
        <v>91</v>
      </c>
      <c r="AC51" s="161">
        <v>95</v>
      </c>
      <c r="AD51" s="161">
        <v>90</v>
      </c>
      <c r="AE51" s="161">
        <v>90</v>
      </c>
      <c r="AF51" s="161">
        <v>90</v>
      </c>
      <c r="AG51" s="161">
        <v>90</v>
      </c>
      <c r="AH51" s="161">
        <v>89</v>
      </c>
      <c r="AI51" s="161">
        <v>92</v>
      </c>
      <c r="AJ51" s="161">
        <v>90</v>
      </c>
      <c r="AK51" s="161">
        <v>90</v>
      </c>
      <c r="AL51" s="161">
        <v>90</v>
      </c>
      <c r="AM51" s="161">
        <v>90</v>
      </c>
      <c r="AN51" s="161">
        <v>90</v>
      </c>
      <c r="AO51" s="161">
        <v>92</v>
      </c>
      <c r="AP51" s="161">
        <v>90</v>
      </c>
      <c r="AQ51" s="161">
        <v>90</v>
      </c>
      <c r="AR51" s="161">
        <v>89</v>
      </c>
      <c r="AS51" s="161">
        <v>92</v>
      </c>
      <c r="AT51" s="161">
        <v>92</v>
      </c>
      <c r="AU51" s="161">
        <v>94</v>
      </c>
      <c r="AV51" s="161">
        <v>89</v>
      </c>
      <c r="AW51" s="161">
        <v>92</v>
      </c>
      <c r="AX51" s="161">
        <v>90</v>
      </c>
      <c r="AY51" s="161">
        <v>90</v>
      </c>
      <c r="AZ51" s="161">
        <v>89</v>
      </c>
      <c r="BA51" s="162">
        <v>90</v>
      </c>
      <c r="BB51" s="162">
        <v>89</v>
      </c>
      <c r="BC51" s="162">
        <v>87</v>
      </c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3">
        <f t="shared" si="1"/>
        <v>4843</v>
      </c>
    </row>
    <row r="52" spans="1:78" x14ac:dyDescent="0.35">
      <c r="A52" s="154" t="str">
        <f>'[4]Set Up'!E56</f>
        <v>Stim741 Gel, gal</v>
      </c>
      <c r="B52" s="155">
        <f t="shared" si="2"/>
        <v>10.192307692307692</v>
      </c>
      <c r="C52" s="156">
        <v>20</v>
      </c>
      <c r="D52" s="157">
        <v>10</v>
      </c>
      <c r="E52" s="157">
        <v>10</v>
      </c>
      <c r="F52" s="157">
        <v>10</v>
      </c>
      <c r="G52" s="157">
        <v>10</v>
      </c>
      <c r="H52" s="157">
        <v>10</v>
      </c>
      <c r="I52" s="157">
        <v>10</v>
      </c>
      <c r="J52" s="157">
        <v>10</v>
      </c>
      <c r="K52" s="157">
        <v>10</v>
      </c>
      <c r="L52" s="107">
        <v>10</v>
      </c>
      <c r="M52" s="107">
        <v>10</v>
      </c>
      <c r="N52" s="107">
        <v>10</v>
      </c>
      <c r="O52" s="107">
        <v>10</v>
      </c>
      <c r="P52" s="107">
        <v>10</v>
      </c>
      <c r="Q52" s="107">
        <v>10</v>
      </c>
      <c r="R52" s="107">
        <v>10</v>
      </c>
      <c r="S52" s="107">
        <v>10</v>
      </c>
      <c r="T52" s="107">
        <v>10</v>
      </c>
      <c r="U52" s="107">
        <v>10</v>
      </c>
      <c r="V52" s="107">
        <v>10</v>
      </c>
      <c r="W52" s="107">
        <v>10</v>
      </c>
      <c r="X52" s="107">
        <v>10</v>
      </c>
      <c r="Y52" s="107">
        <v>10</v>
      </c>
      <c r="Z52" s="107">
        <v>10</v>
      </c>
      <c r="AA52" s="107">
        <v>10</v>
      </c>
      <c r="AB52" s="107">
        <v>10</v>
      </c>
      <c r="AC52" s="107">
        <v>10</v>
      </c>
      <c r="AD52" s="107">
        <v>10</v>
      </c>
      <c r="AE52" s="107">
        <v>10</v>
      </c>
      <c r="AF52" s="107">
        <v>10</v>
      </c>
      <c r="AG52" s="107">
        <v>10</v>
      </c>
      <c r="AH52" s="107">
        <v>10</v>
      </c>
      <c r="AI52" s="107">
        <v>10</v>
      </c>
      <c r="AJ52" s="107">
        <v>10</v>
      </c>
      <c r="AK52" s="107">
        <v>10</v>
      </c>
      <c r="AL52" s="107">
        <v>10</v>
      </c>
      <c r="AM52" s="107">
        <v>10</v>
      </c>
      <c r="AN52" s="107">
        <v>10</v>
      </c>
      <c r="AO52" s="107">
        <v>10</v>
      </c>
      <c r="AP52" s="107">
        <v>10</v>
      </c>
      <c r="AQ52" s="107">
        <v>10</v>
      </c>
      <c r="AR52" s="107">
        <v>10</v>
      </c>
      <c r="AS52" s="107">
        <v>10</v>
      </c>
      <c r="AT52" s="107">
        <v>10</v>
      </c>
      <c r="AU52" s="107">
        <v>10</v>
      </c>
      <c r="AV52" s="107">
        <v>10</v>
      </c>
      <c r="AW52" s="107">
        <v>10</v>
      </c>
      <c r="AX52" s="107">
        <v>10</v>
      </c>
      <c r="AY52" s="107">
        <v>10</v>
      </c>
      <c r="AZ52" s="107">
        <v>10</v>
      </c>
      <c r="BA52" s="106">
        <v>10</v>
      </c>
      <c r="BB52" s="106">
        <v>10</v>
      </c>
      <c r="BC52" s="106"/>
      <c r="BD52" s="106"/>
      <c r="BE52" s="106"/>
      <c r="BF52" s="106"/>
      <c r="BG52" s="106"/>
      <c r="BH52" s="106"/>
      <c r="BI52" s="106"/>
      <c r="BJ52" s="106"/>
      <c r="BK52" s="106"/>
      <c r="BL52" s="106"/>
      <c r="BM52" s="106"/>
      <c r="BN52" s="106"/>
      <c r="BO52" s="106"/>
      <c r="BP52" s="106"/>
      <c r="BQ52" s="106"/>
      <c r="BR52" s="106"/>
      <c r="BS52" s="106"/>
      <c r="BT52" s="106"/>
      <c r="BU52" s="106"/>
      <c r="BV52" s="106"/>
      <c r="BW52" s="106"/>
      <c r="BX52" s="106"/>
      <c r="BY52" s="106"/>
      <c r="BZ52" s="158">
        <f t="shared" si="1"/>
        <v>530</v>
      </c>
    </row>
    <row r="53" spans="1:78" x14ac:dyDescent="0.35">
      <c r="A53" s="147">
        <f>'[4]Set Up'!E57</f>
        <v>0</v>
      </c>
      <c r="B53" s="148" t="str">
        <f t="shared" si="2"/>
        <v/>
      </c>
      <c r="C53" s="159"/>
      <c r="D53" s="160"/>
      <c r="E53" s="160"/>
      <c r="F53" s="160"/>
      <c r="G53" s="160"/>
      <c r="H53" s="160"/>
      <c r="I53" s="160"/>
      <c r="J53" s="160"/>
      <c r="K53" s="160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  <c r="AF53" s="161"/>
      <c r="AG53" s="161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1"/>
      <c r="AS53" s="161"/>
      <c r="AT53" s="161"/>
      <c r="AU53" s="161"/>
      <c r="AV53" s="161"/>
      <c r="AW53" s="161"/>
      <c r="AX53" s="161"/>
      <c r="AY53" s="161"/>
      <c r="AZ53" s="161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3">
        <f t="shared" si="1"/>
        <v>0</v>
      </c>
    </row>
    <row r="54" spans="1:78" x14ac:dyDescent="0.35">
      <c r="A54" s="154">
        <f>'[4]Set Up'!E58</f>
        <v>0</v>
      </c>
      <c r="B54" s="155" t="str">
        <f t="shared" si="2"/>
        <v/>
      </c>
      <c r="C54" s="156"/>
      <c r="D54" s="157"/>
      <c r="E54" s="157"/>
      <c r="F54" s="157"/>
      <c r="G54" s="157"/>
      <c r="H54" s="157"/>
      <c r="I54" s="157"/>
      <c r="J54" s="157"/>
      <c r="K54" s="15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6"/>
      <c r="BB54" s="106"/>
      <c r="BC54" s="106"/>
      <c r="BD54" s="106"/>
      <c r="BE54" s="106"/>
      <c r="BF54" s="106"/>
      <c r="BG54" s="106"/>
      <c r="BH54" s="106"/>
      <c r="BI54" s="106"/>
      <c r="BJ54" s="106"/>
      <c r="BK54" s="106"/>
      <c r="BL54" s="106"/>
      <c r="BM54" s="106"/>
      <c r="BN54" s="106"/>
      <c r="BO54" s="106"/>
      <c r="BP54" s="106"/>
      <c r="BQ54" s="106"/>
      <c r="BR54" s="106"/>
      <c r="BS54" s="106"/>
      <c r="BT54" s="106"/>
      <c r="BU54" s="106"/>
      <c r="BV54" s="106"/>
      <c r="BW54" s="106"/>
      <c r="BX54" s="106"/>
      <c r="BY54" s="106"/>
      <c r="BZ54" s="158">
        <f t="shared" si="1"/>
        <v>0</v>
      </c>
    </row>
    <row r="55" spans="1:78" x14ac:dyDescent="0.35">
      <c r="A55" s="147">
        <f>'[4]Set Up'!E59</f>
        <v>0</v>
      </c>
      <c r="B55" s="148" t="str">
        <f t="shared" si="2"/>
        <v/>
      </c>
      <c r="C55" s="159"/>
      <c r="D55" s="160"/>
      <c r="E55" s="160"/>
      <c r="F55" s="160"/>
      <c r="G55" s="160"/>
      <c r="H55" s="160"/>
      <c r="I55" s="160"/>
      <c r="J55" s="160"/>
      <c r="K55" s="160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1"/>
      <c r="AU55" s="161"/>
      <c r="AV55" s="161"/>
      <c r="AW55" s="161"/>
      <c r="AX55" s="161"/>
      <c r="AY55" s="161"/>
      <c r="AZ55" s="161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3">
        <f t="shared" si="1"/>
        <v>0</v>
      </c>
    </row>
    <row r="56" spans="1:78" x14ac:dyDescent="0.35">
      <c r="A56" s="154">
        <f>'[4]Set Up'!E60</f>
        <v>0</v>
      </c>
      <c r="B56" s="155" t="str">
        <f t="shared" si="2"/>
        <v/>
      </c>
      <c r="C56" s="156"/>
      <c r="D56" s="157"/>
      <c r="E56" s="157"/>
      <c r="F56" s="157"/>
      <c r="G56" s="157"/>
      <c r="H56" s="157"/>
      <c r="I56" s="157"/>
      <c r="J56" s="157"/>
      <c r="K56" s="15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6"/>
      <c r="BB56" s="106"/>
      <c r="BC56" s="106"/>
      <c r="BD56" s="106"/>
      <c r="BE56" s="106"/>
      <c r="BF56" s="106"/>
      <c r="BG56" s="106"/>
      <c r="BH56" s="106"/>
      <c r="BI56" s="106"/>
      <c r="BJ56" s="106"/>
      <c r="BK56" s="106"/>
      <c r="BL56" s="106"/>
      <c r="BM56" s="106"/>
      <c r="BN56" s="106"/>
      <c r="BO56" s="106"/>
      <c r="BP56" s="106"/>
      <c r="BQ56" s="106"/>
      <c r="BR56" s="106"/>
      <c r="BS56" s="106"/>
      <c r="BT56" s="106"/>
      <c r="BU56" s="106"/>
      <c r="BV56" s="106"/>
      <c r="BW56" s="106"/>
      <c r="BX56" s="106"/>
      <c r="BY56" s="106"/>
      <c r="BZ56" s="158">
        <f t="shared" si="1"/>
        <v>0</v>
      </c>
    </row>
    <row r="57" spans="1:78" x14ac:dyDescent="0.35">
      <c r="A57" s="164">
        <f>'[4]Set Up'!E61</f>
        <v>0</v>
      </c>
      <c r="B57" s="165" t="str">
        <f t="shared" si="2"/>
        <v/>
      </c>
      <c r="C57" s="159"/>
      <c r="D57" s="160"/>
      <c r="E57" s="160"/>
      <c r="F57" s="160"/>
      <c r="G57" s="160"/>
      <c r="H57" s="160"/>
      <c r="I57" s="160"/>
      <c r="J57" s="160"/>
      <c r="K57" s="160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3">
        <f t="shared" si="1"/>
        <v>0</v>
      </c>
    </row>
    <row r="58" spans="1:78" x14ac:dyDescent="0.35">
      <c r="A58" s="166" t="str">
        <f>'[4]Set Up'!E62</f>
        <v>15% HCl Acid, gal</v>
      </c>
      <c r="B58" s="167">
        <f t="shared" si="2"/>
        <v>728.62264150943395</v>
      </c>
      <c r="C58" s="156">
        <v>1301</v>
      </c>
      <c r="D58" s="157">
        <v>1224</v>
      </c>
      <c r="E58" s="157">
        <v>1261</v>
      </c>
      <c r="F58" s="157">
        <v>1111</v>
      </c>
      <c r="G58" s="157">
        <v>1259</v>
      </c>
      <c r="H58" s="157">
        <v>1219</v>
      </c>
      <c r="I58" s="157">
        <v>1150</v>
      </c>
      <c r="J58" s="157">
        <v>1172</v>
      </c>
      <c r="K58" s="157">
        <v>1248</v>
      </c>
      <c r="L58" s="107">
        <v>1190</v>
      </c>
      <c r="M58" s="107">
        <v>715</v>
      </c>
      <c r="N58" s="107">
        <v>596</v>
      </c>
      <c r="O58" s="107">
        <v>615</v>
      </c>
      <c r="P58" s="107">
        <v>631</v>
      </c>
      <c r="Q58" s="107">
        <v>633</v>
      </c>
      <c r="R58" s="107">
        <v>636</v>
      </c>
      <c r="S58" s="107">
        <v>633</v>
      </c>
      <c r="T58" s="107">
        <v>631</v>
      </c>
      <c r="U58" s="107">
        <v>620</v>
      </c>
      <c r="V58" s="107">
        <v>609</v>
      </c>
      <c r="W58" s="107">
        <v>596</v>
      </c>
      <c r="X58" s="107">
        <v>575</v>
      </c>
      <c r="Y58" s="107">
        <v>554</v>
      </c>
      <c r="Z58" s="107">
        <v>525</v>
      </c>
      <c r="AA58" s="107">
        <v>609</v>
      </c>
      <c r="AB58" s="107">
        <v>586</v>
      </c>
      <c r="AC58" s="107">
        <v>641</v>
      </c>
      <c r="AD58" s="107">
        <v>689</v>
      </c>
      <c r="AE58" s="107">
        <v>575</v>
      </c>
      <c r="AF58" s="107">
        <v>596</v>
      </c>
      <c r="AG58" s="107">
        <v>609</v>
      </c>
      <c r="AH58" s="107">
        <v>620</v>
      </c>
      <c r="AI58" s="107">
        <v>631</v>
      </c>
      <c r="AJ58" s="107">
        <v>633</v>
      </c>
      <c r="AK58" s="107">
        <v>636</v>
      </c>
      <c r="AL58" s="107">
        <v>633</v>
      </c>
      <c r="AM58" s="107">
        <v>631</v>
      </c>
      <c r="AN58" s="107">
        <v>620</v>
      </c>
      <c r="AO58" s="107">
        <v>609</v>
      </c>
      <c r="AP58" s="107">
        <v>596</v>
      </c>
      <c r="AQ58" s="107">
        <v>575</v>
      </c>
      <c r="AR58" s="107">
        <v>554</v>
      </c>
      <c r="AS58" s="107">
        <v>652</v>
      </c>
      <c r="AT58" s="107">
        <v>609</v>
      </c>
      <c r="AU58" s="107">
        <v>596</v>
      </c>
      <c r="AV58" s="107">
        <v>609</v>
      </c>
      <c r="AW58" s="107">
        <v>620</v>
      </c>
      <c r="AX58" s="107">
        <v>631</v>
      </c>
      <c r="AY58" s="107">
        <v>633</v>
      </c>
      <c r="AZ58" s="107">
        <v>636</v>
      </c>
      <c r="BA58" s="107">
        <v>633</v>
      </c>
      <c r="BB58" s="107">
        <v>631</v>
      </c>
      <c r="BC58" s="107">
        <v>620</v>
      </c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90">
        <f t="shared" si="1"/>
        <v>38617</v>
      </c>
    </row>
  </sheetData>
  <mergeCells count="17">
    <mergeCell ref="A1:D1"/>
    <mergeCell ref="E1:K1"/>
    <mergeCell ref="L1:V6"/>
    <mergeCell ref="B2:D2"/>
    <mergeCell ref="F2:G2"/>
    <mergeCell ref="B3:D3"/>
    <mergeCell ref="F3:G3"/>
    <mergeCell ref="B4:D4"/>
    <mergeCell ref="F4:G4"/>
    <mergeCell ref="B5:D5"/>
    <mergeCell ref="C16:I16"/>
    <mergeCell ref="F5:G5"/>
    <mergeCell ref="B6:E6"/>
    <mergeCell ref="F6:H6"/>
    <mergeCell ref="I6:K6"/>
    <mergeCell ref="B8:B12"/>
    <mergeCell ref="B13:B1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Z58"/>
  <sheetViews>
    <sheetView topLeftCell="A16" workbookViewId="0">
      <selection sqref="A1:XFD1048576"/>
    </sheetView>
  </sheetViews>
  <sheetFormatPr defaultRowHeight="14.5" x14ac:dyDescent="0.35"/>
  <cols>
    <col min="1" max="1" width="21.1796875" bestFit="1" customWidth="1"/>
    <col min="2" max="2" width="17.81640625" bestFit="1" customWidth="1"/>
    <col min="3" max="4" width="7.453125" bestFit="1" customWidth="1"/>
    <col min="5" max="5" width="9.54296875" bestFit="1" customWidth="1"/>
    <col min="6" max="7" width="7.453125" bestFit="1" customWidth="1"/>
    <col min="8" max="8" width="8.1796875" bestFit="1" customWidth="1"/>
    <col min="9" max="9" width="7.453125" bestFit="1" customWidth="1"/>
    <col min="10" max="10" width="8" bestFit="1" customWidth="1"/>
    <col min="11" max="55" width="7.453125" bestFit="1" customWidth="1"/>
    <col min="56" max="77" width="3.1796875" bestFit="1" customWidth="1"/>
    <col min="78" max="78" width="9.81640625" bestFit="1" customWidth="1"/>
  </cols>
  <sheetData>
    <row r="1" spans="1:78" ht="24" thickTop="1" x14ac:dyDescent="0.35">
      <c r="A1" s="198"/>
      <c r="B1" s="199"/>
      <c r="C1" s="199"/>
      <c r="D1" s="199"/>
      <c r="E1" s="200" t="s">
        <v>0</v>
      </c>
      <c r="F1" s="199"/>
      <c r="G1" s="199"/>
      <c r="H1" s="199"/>
      <c r="I1" s="199"/>
      <c r="J1" s="199"/>
      <c r="K1" s="201"/>
      <c r="L1" s="202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2"/>
    </row>
    <row r="2" spans="1:78" x14ac:dyDescent="0.35">
      <c r="A2" s="3" t="s">
        <v>1</v>
      </c>
      <c r="B2" s="188" t="str">
        <f>'[5]Set Up'!E5</f>
        <v>Anadarko Petroleum Corporation</v>
      </c>
      <c r="C2" s="207"/>
      <c r="D2" s="208"/>
      <c r="E2" s="4" t="s">
        <v>2</v>
      </c>
      <c r="F2" s="209" t="str">
        <f>'[5]Set Up'!E9</f>
        <v>Upper Beta Target</v>
      </c>
      <c r="G2" s="210"/>
      <c r="H2" s="5">
        <f>'[5]Set Up'!K15</f>
        <v>11972</v>
      </c>
      <c r="I2" s="6" t="str">
        <f>'[5]Set Up'!E15</f>
        <v>5-1/2"</v>
      </c>
      <c r="J2" s="7">
        <f>'[5]Set Up'!F15</f>
        <v>23</v>
      </c>
      <c r="K2" s="6" t="str">
        <f>'[5]Set Up'!H15</f>
        <v>P-110</v>
      </c>
      <c r="L2" s="204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8"/>
    </row>
    <row r="3" spans="1:78" x14ac:dyDescent="0.35">
      <c r="A3" s="3" t="s">
        <v>3</v>
      </c>
      <c r="B3" s="188" t="str">
        <f>'[5]Set Up'!E7</f>
        <v>Silvertip 76-7 Unit A 5H</v>
      </c>
      <c r="C3" s="207"/>
      <c r="D3" s="208"/>
      <c r="E3" s="4" t="s">
        <v>4</v>
      </c>
      <c r="F3" s="209" t="str">
        <f>'[5]Set Up'!J7</f>
        <v>2136273.CMP</v>
      </c>
      <c r="G3" s="210"/>
      <c r="H3" s="5">
        <f>'[5]Set Up'!K16</f>
        <v>11324</v>
      </c>
      <c r="I3" s="6" t="str">
        <f>'[5]Set Up'!E16</f>
        <v>4-1/2"</v>
      </c>
      <c r="J3" s="7">
        <f>'[5]Set Up'!F16</f>
        <v>13.5</v>
      </c>
      <c r="K3" s="6" t="str">
        <f>'[5]Set Up'!H16</f>
        <v>P-110</v>
      </c>
      <c r="L3" s="204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8"/>
    </row>
    <row r="4" spans="1:78" x14ac:dyDescent="0.35">
      <c r="A4" s="3" t="s">
        <v>5</v>
      </c>
      <c r="B4" s="188" t="str">
        <f>'[5]Set Up'!E6</f>
        <v>Allie Lay</v>
      </c>
      <c r="C4" s="207"/>
      <c r="D4" s="208"/>
      <c r="E4" s="4" t="s">
        <v>6</v>
      </c>
      <c r="F4" s="211">
        <f>'[5]Set Up'!R2</f>
        <v>12500</v>
      </c>
      <c r="G4" s="212"/>
      <c r="H4" s="5" t="str">
        <f>'[5]Set Up'!K17</f>
        <v/>
      </c>
      <c r="I4" s="6" t="str">
        <f>'[5]Set Up'!E17</f>
        <v/>
      </c>
      <c r="J4" s="7" t="str">
        <f>'[5]Set Up'!F17</f>
        <v/>
      </c>
      <c r="K4" s="6" t="str">
        <f>'[5]Set Up'!H17</f>
        <v/>
      </c>
      <c r="L4" s="204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9"/>
    </row>
    <row r="5" spans="1:78" x14ac:dyDescent="0.35">
      <c r="A5" s="3" t="s">
        <v>7</v>
      </c>
      <c r="B5" s="188" t="str">
        <f>'[5]Set Up'!E8</f>
        <v>Loving County, TX</v>
      </c>
      <c r="C5" s="207"/>
      <c r="D5" s="208"/>
      <c r="E5" s="10" t="s">
        <v>8</v>
      </c>
      <c r="F5" s="186" t="str">
        <f>'[5]Set Up'!R11</f>
        <v>53-Stage SW Plug &amp; Perf</v>
      </c>
      <c r="G5" s="187"/>
      <c r="H5" s="5" t="str">
        <f>'[5]Set Up'!K18</f>
        <v/>
      </c>
      <c r="I5" s="6" t="str">
        <f>'[5]Set Up'!E18</f>
        <v/>
      </c>
      <c r="J5" s="7" t="str">
        <f>'[5]Set Up'!F18</f>
        <v/>
      </c>
      <c r="K5" s="6" t="str">
        <f>'[5]Set Up'!H18</f>
        <v/>
      </c>
      <c r="L5" s="204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8"/>
    </row>
    <row r="6" spans="1:78" x14ac:dyDescent="0.35">
      <c r="A6" s="3" t="s">
        <v>9</v>
      </c>
      <c r="B6" s="188" t="str">
        <f>'[5]Set Up'!E10</f>
        <v>PumpCo 2</v>
      </c>
      <c r="C6" s="189"/>
      <c r="D6" s="189"/>
      <c r="E6" s="190"/>
      <c r="F6" s="191" t="str">
        <f>'[5]Set Up'!E11</f>
        <v>Odessa</v>
      </c>
      <c r="G6" s="192"/>
      <c r="H6" s="193"/>
      <c r="I6" s="191" t="str">
        <f>'[5]Set Up'!E12</f>
        <v>Julian Weaver/Jarvis Weaver</v>
      </c>
      <c r="J6" s="192"/>
      <c r="K6" s="193"/>
      <c r="L6" s="205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3"/>
    </row>
    <row r="7" spans="1:78" ht="15" thickBot="1" x14ac:dyDescent="0.4">
      <c r="A7" s="14" t="s">
        <v>10</v>
      </c>
      <c r="B7" s="15" t="s">
        <v>11</v>
      </c>
      <c r="C7" s="15">
        <v>1</v>
      </c>
      <c r="D7" s="15">
        <v>2</v>
      </c>
      <c r="E7" s="15">
        <v>3</v>
      </c>
      <c r="F7" s="16">
        <v>4</v>
      </c>
      <c r="G7" s="15">
        <v>5</v>
      </c>
      <c r="H7" s="15">
        <v>6</v>
      </c>
      <c r="I7" s="15">
        <v>7</v>
      </c>
      <c r="J7" s="15">
        <v>8</v>
      </c>
      <c r="K7" s="15">
        <v>9</v>
      </c>
      <c r="L7" s="15">
        <v>10</v>
      </c>
      <c r="M7" s="15">
        <v>11</v>
      </c>
      <c r="N7" s="15">
        <v>12</v>
      </c>
      <c r="O7" s="15">
        <v>13</v>
      </c>
      <c r="P7" s="15">
        <v>14</v>
      </c>
      <c r="Q7" s="15">
        <v>15</v>
      </c>
      <c r="R7" s="15">
        <v>16</v>
      </c>
      <c r="S7" s="15">
        <v>17</v>
      </c>
      <c r="T7" s="15">
        <v>18</v>
      </c>
      <c r="U7" s="15">
        <v>19</v>
      </c>
      <c r="V7" s="15">
        <v>20</v>
      </c>
      <c r="W7" s="15">
        <v>21</v>
      </c>
      <c r="X7" s="15">
        <v>22</v>
      </c>
      <c r="Y7" s="15">
        <v>23</v>
      </c>
      <c r="Z7" s="15">
        <v>24</v>
      </c>
      <c r="AA7" s="15">
        <v>25</v>
      </c>
      <c r="AB7" s="15">
        <v>26</v>
      </c>
      <c r="AC7" s="15">
        <v>27</v>
      </c>
      <c r="AD7" s="15">
        <v>28</v>
      </c>
      <c r="AE7" s="15">
        <v>29</v>
      </c>
      <c r="AF7" s="15">
        <v>30</v>
      </c>
      <c r="AG7" s="15">
        <v>31</v>
      </c>
      <c r="AH7" s="15">
        <v>32</v>
      </c>
      <c r="AI7" s="15">
        <v>33</v>
      </c>
      <c r="AJ7" s="15">
        <v>34</v>
      </c>
      <c r="AK7" s="15">
        <v>35</v>
      </c>
      <c r="AL7" s="15">
        <v>36</v>
      </c>
      <c r="AM7" s="15">
        <v>37</v>
      </c>
      <c r="AN7" s="15">
        <v>38</v>
      </c>
      <c r="AO7" s="15">
        <v>39</v>
      </c>
      <c r="AP7" s="15">
        <v>40</v>
      </c>
      <c r="AQ7" s="15">
        <v>41</v>
      </c>
      <c r="AR7" s="15">
        <v>42</v>
      </c>
      <c r="AS7" s="15">
        <v>43</v>
      </c>
      <c r="AT7" s="15">
        <v>44</v>
      </c>
      <c r="AU7" s="15">
        <v>45</v>
      </c>
      <c r="AV7" s="15">
        <v>46</v>
      </c>
      <c r="AW7" s="15">
        <v>47</v>
      </c>
      <c r="AX7" s="15">
        <v>48</v>
      </c>
      <c r="AY7" s="15">
        <v>49</v>
      </c>
      <c r="AZ7" s="15">
        <v>50</v>
      </c>
      <c r="BA7" s="15">
        <v>51</v>
      </c>
      <c r="BB7" s="15">
        <v>52</v>
      </c>
      <c r="BC7" s="15">
        <v>53</v>
      </c>
      <c r="BD7" s="15">
        <v>54</v>
      </c>
      <c r="BE7" s="15">
        <v>55</v>
      </c>
      <c r="BF7" s="15">
        <v>56</v>
      </c>
      <c r="BG7" s="15">
        <v>57</v>
      </c>
      <c r="BH7" s="15">
        <v>58</v>
      </c>
      <c r="BI7" s="15">
        <v>59</v>
      </c>
      <c r="BJ7" s="15">
        <v>60</v>
      </c>
      <c r="BK7" s="15">
        <v>61</v>
      </c>
      <c r="BL7" s="15">
        <v>62</v>
      </c>
      <c r="BM7" s="15">
        <v>63</v>
      </c>
      <c r="BN7" s="15">
        <v>64</v>
      </c>
      <c r="BO7" s="15">
        <v>65</v>
      </c>
      <c r="BP7" s="15">
        <v>66</v>
      </c>
      <c r="BQ7" s="15">
        <v>67</v>
      </c>
      <c r="BR7" s="15">
        <v>68</v>
      </c>
      <c r="BS7" s="15">
        <v>69</v>
      </c>
      <c r="BT7" s="15">
        <v>70</v>
      </c>
      <c r="BU7" s="15">
        <v>71</v>
      </c>
      <c r="BV7" s="15">
        <v>72</v>
      </c>
      <c r="BW7" s="15">
        <v>73</v>
      </c>
      <c r="BX7" s="15">
        <v>74</v>
      </c>
      <c r="BY7" s="15">
        <v>75</v>
      </c>
      <c r="BZ7" s="17" t="s">
        <v>12</v>
      </c>
    </row>
    <row r="8" spans="1:78" x14ac:dyDescent="0.35">
      <c r="A8" s="18" t="s">
        <v>13</v>
      </c>
      <c r="B8" s="194" t="s">
        <v>14</v>
      </c>
      <c r="C8" s="19">
        <f>'[5]Set Up'!$U$2</f>
        <v>22924</v>
      </c>
      <c r="D8" s="19">
        <f>'[5]Set Up'!$U$3</f>
        <v>22722</v>
      </c>
      <c r="E8" s="19">
        <f>'[5]Set Up'!$U$4</f>
        <v>22520</v>
      </c>
      <c r="F8" s="19">
        <f>'[5]Set Up'!$U$5</f>
        <v>22319</v>
      </c>
      <c r="G8" s="19">
        <f>'[5]Set Up'!$U$6</f>
        <v>22117</v>
      </c>
      <c r="H8" s="19">
        <f>'[5]Set Up'!$U$7</f>
        <v>21916</v>
      </c>
      <c r="I8" s="19">
        <f>'[5]Set Up'!$U$8</f>
        <v>21714</v>
      </c>
      <c r="J8" s="19">
        <f>'[5]Set Up'!$U$9</f>
        <v>21513</v>
      </c>
      <c r="K8" s="19">
        <f>'[5]Set Up'!$U$10</f>
        <v>21311</v>
      </c>
      <c r="L8" s="19">
        <f>'[5]Set Up'!$U$11</f>
        <v>21110</v>
      </c>
      <c r="M8" s="19">
        <f>'[5]Set Up'!$U$12</f>
        <v>20908</v>
      </c>
      <c r="N8" s="19">
        <f>'[5]Set Up'!$U$13</f>
        <v>20707</v>
      </c>
      <c r="O8" s="19">
        <f>'[5]Set Up'!$U$14</f>
        <v>20505</v>
      </c>
      <c r="P8" s="19">
        <f>'[5]Set Up'!$U$15</f>
        <v>20304</v>
      </c>
      <c r="Q8" s="19">
        <f>'[5]Set Up'!$U$16</f>
        <v>20102</v>
      </c>
      <c r="R8" s="19">
        <f>'[5]Set Up'!$U$17</f>
        <v>19901</v>
      </c>
      <c r="S8" s="19">
        <f>'[5]Set Up'!$U$18</f>
        <v>19699</v>
      </c>
      <c r="T8" s="19">
        <f>'[5]Set Up'!$U$19</f>
        <v>19498</v>
      </c>
      <c r="U8" s="19">
        <f>'[5]Set Up'!$U$20</f>
        <v>19296</v>
      </c>
      <c r="V8" s="19">
        <f>'[5]Set Up'!$U$21</f>
        <v>19095</v>
      </c>
      <c r="W8" s="19">
        <f>'[5]Set Up'!$U$22</f>
        <v>18893</v>
      </c>
      <c r="X8" s="19">
        <f>'[5]Set Up'!$U$23</f>
        <v>18692</v>
      </c>
      <c r="Y8" s="19">
        <f>'[5]Set Up'!$U$24</f>
        <v>18490</v>
      </c>
      <c r="Z8" s="19">
        <f>'[5]Set Up'!$U$25</f>
        <v>18289</v>
      </c>
      <c r="AA8" s="19">
        <f>'[5]Set Up'!$U$26</f>
        <v>18087</v>
      </c>
      <c r="AB8" s="19">
        <f>'[5]Set Up'!$U$27</f>
        <v>17886</v>
      </c>
      <c r="AC8" s="19">
        <f>'[5]Set Up'!$U$28</f>
        <v>17684</v>
      </c>
      <c r="AD8" s="19">
        <f>'[5]Set Up'!$U$29</f>
        <v>17483</v>
      </c>
      <c r="AE8" s="19">
        <f>'[5]Set Up'!$U$30</f>
        <v>17281</v>
      </c>
      <c r="AF8" s="19">
        <f>'[5]Set Up'!$U$31</f>
        <v>17080</v>
      </c>
      <c r="AG8" s="19">
        <f>'[5]Set Up'!$U$32</f>
        <v>16878</v>
      </c>
      <c r="AH8" s="19">
        <f>'[5]Set Up'!$U$33</f>
        <v>16677</v>
      </c>
      <c r="AI8" s="19">
        <f>'[5]Set Up'!$U$34</f>
        <v>16475</v>
      </c>
      <c r="AJ8" s="19">
        <f>'[5]Set Up'!$U$35</f>
        <v>16274</v>
      </c>
      <c r="AK8" s="19">
        <f>'[5]Set Up'!$U$36</f>
        <v>16072</v>
      </c>
      <c r="AL8" s="19">
        <f>'[5]Set Up'!$U$37</f>
        <v>15870</v>
      </c>
      <c r="AM8" s="19">
        <f>'[5]Set Up'!$U$38</f>
        <v>15669</v>
      </c>
      <c r="AN8" s="19">
        <f>'[5]Set Up'!$U$39</f>
        <v>15467</v>
      </c>
      <c r="AO8" s="19">
        <f>'[5]Set Up'!$U$40</f>
        <v>15266</v>
      </c>
      <c r="AP8" s="19">
        <f>'[5]Set Up'!$U$41</f>
        <v>15064</v>
      </c>
      <c r="AQ8" s="19">
        <f>'[5]Set Up'!$U$42</f>
        <v>14863</v>
      </c>
      <c r="AR8" s="19">
        <f>'[5]Set Up'!$U$43</f>
        <v>14661</v>
      </c>
      <c r="AS8" s="19">
        <f>'[5]Set Up'!$U$44</f>
        <v>14460</v>
      </c>
      <c r="AT8" s="19">
        <f>'[5]Set Up'!$U$45</f>
        <v>14258</v>
      </c>
      <c r="AU8" s="19">
        <f>'[5]Set Up'!$U$46</f>
        <v>14057</v>
      </c>
      <c r="AV8" s="19">
        <f>'[5]Set Up'!$U$47</f>
        <v>13855</v>
      </c>
      <c r="AW8" s="19">
        <f>'[5]Set Up'!$U$48</f>
        <v>13654</v>
      </c>
      <c r="AX8" s="19">
        <f>'[5]Set Up'!$U$49</f>
        <v>13452</v>
      </c>
      <c r="AY8" s="19">
        <f>'[5]Set Up'!$U$50</f>
        <v>13251</v>
      </c>
      <c r="AZ8" s="19">
        <f>'[5]Set Up'!$U$51</f>
        <v>13049</v>
      </c>
      <c r="BA8" s="19">
        <f>'[5]Set Up'!$U$52</f>
        <v>12848</v>
      </c>
      <c r="BB8" s="19">
        <f>'[5]Set Up'!$U$53</f>
        <v>12646</v>
      </c>
      <c r="BC8" s="19">
        <f>'[5]Set Up'!$U$54</f>
        <v>12445</v>
      </c>
      <c r="BD8" s="19">
        <f>'[5]Set Up'!$U$55</f>
        <v>0</v>
      </c>
      <c r="BE8" s="19">
        <f>'[5]Set Up'!$U$56</f>
        <v>0</v>
      </c>
      <c r="BF8" s="19">
        <f>'[5]Set Up'!$U$57</f>
        <v>0</v>
      </c>
      <c r="BG8" s="19">
        <f>'[5]Set Up'!$U$58</f>
        <v>0</v>
      </c>
      <c r="BH8" s="19">
        <f>'[5]Set Up'!$U$59</f>
        <v>0</v>
      </c>
      <c r="BI8" s="19">
        <f>'[5]Set Up'!$U$60</f>
        <v>0</v>
      </c>
      <c r="BJ8" s="19">
        <f>'[5]Set Up'!$U$61</f>
        <v>0</v>
      </c>
      <c r="BK8" s="19">
        <f>'[5]Set Up'!$U$62</f>
        <v>0</v>
      </c>
      <c r="BL8" s="19">
        <f>'[5]Set Up'!$U$63</f>
        <v>0</v>
      </c>
      <c r="BM8" s="19">
        <f>'[5]Set Up'!$U$64</f>
        <v>0</v>
      </c>
      <c r="BN8" s="19">
        <f>'[5]Set Up'!$U$65</f>
        <v>0</v>
      </c>
      <c r="BO8" s="19">
        <f>'[5]Set Up'!$U$66</f>
        <v>0</v>
      </c>
      <c r="BP8" s="19">
        <f>'[5]Set Up'!$U$67</f>
        <v>0</v>
      </c>
      <c r="BQ8" s="19">
        <f>'[5]Set Up'!$U$68</f>
        <v>0</v>
      </c>
      <c r="BR8" s="19">
        <f>'[5]Set Up'!$U$69</f>
        <v>0</v>
      </c>
      <c r="BS8" s="19">
        <f>'[5]Set Up'!$U$70</f>
        <v>0</v>
      </c>
      <c r="BT8" s="19">
        <f>'[5]Set Up'!$U$71</f>
        <v>0</v>
      </c>
      <c r="BU8" s="19">
        <f>'[5]Set Up'!$U$72</f>
        <v>0</v>
      </c>
      <c r="BV8" s="19">
        <f>'[5]Set Up'!$U$73</f>
        <v>0</v>
      </c>
      <c r="BW8" s="19">
        <f>'[5]Set Up'!$U$74</f>
        <v>0</v>
      </c>
      <c r="BX8" s="19">
        <f>'[5]Set Up'!$U$75</f>
        <v>0</v>
      </c>
      <c r="BY8" s="19">
        <f>'[5]Set Up'!$U$76</f>
        <v>0</v>
      </c>
      <c r="BZ8" s="8"/>
    </row>
    <row r="9" spans="1:78" x14ac:dyDescent="0.35">
      <c r="A9" s="20" t="s">
        <v>15</v>
      </c>
      <c r="B9" s="195"/>
      <c r="C9" s="21">
        <f>'[5]Set Up'!$V2</f>
        <v>23086</v>
      </c>
      <c r="D9" s="21">
        <f>'[5]Set Up'!$V3</f>
        <v>22885</v>
      </c>
      <c r="E9" s="21">
        <f>'[5]Set Up'!$V4</f>
        <v>22683</v>
      </c>
      <c r="F9" s="21">
        <f>'[5]Set Up'!$V5</f>
        <v>22481</v>
      </c>
      <c r="G9" s="21">
        <f>'[5]Set Up'!$V6</f>
        <v>22280</v>
      </c>
      <c r="H9" s="21">
        <f>'[5]Set Up'!$V7</f>
        <v>22078</v>
      </c>
      <c r="I9" s="21">
        <f>'[5]Set Up'!$V8</f>
        <v>21877</v>
      </c>
      <c r="J9" s="21">
        <f>'[5]Set Up'!$V9</f>
        <v>21675</v>
      </c>
      <c r="K9" s="21">
        <f>'[5]Set Up'!$V10</f>
        <v>21474</v>
      </c>
      <c r="L9" s="21">
        <f>'[5]Set Up'!$V11</f>
        <v>21272</v>
      </c>
      <c r="M9" s="21">
        <f>'[5]Set Up'!$V12</f>
        <v>21071</v>
      </c>
      <c r="N9" s="21">
        <f>'[5]Set Up'!$V13</f>
        <v>20869</v>
      </c>
      <c r="O9" s="21">
        <f>'[5]Set Up'!$V14</f>
        <v>20668</v>
      </c>
      <c r="P9" s="21">
        <f>'[5]Set Up'!$V15</f>
        <v>20466</v>
      </c>
      <c r="Q9" s="21">
        <f>'[5]Set Up'!$V16</f>
        <v>20265</v>
      </c>
      <c r="R9" s="21">
        <f>'[5]Set Up'!$V17</f>
        <v>20063</v>
      </c>
      <c r="S9" s="21">
        <f>'[5]Set Up'!$V18</f>
        <v>19862</v>
      </c>
      <c r="T9" s="21">
        <f>'[5]Set Up'!$V19</f>
        <v>19660</v>
      </c>
      <c r="U9" s="21">
        <f>'[5]Set Up'!$V20</f>
        <v>19459</v>
      </c>
      <c r="V9" s="21">
        <f>'[5]Set Up'!$V21</f>
        <v>19257</v>
      </c>
      <c r="W9" s="21">
        <f>'[5]Set Up'!$V22</f>
        <v>19056</v>
      </c>
      <c r="X9" s="21">
        <f>'[5]Set Up'!$V23</f>
        <v>18854</v>
      </c>
      <c r="Y9" s="21">
        <f>'[5]Set Up'!$V24</f>
        <v>18653</v>
      </c>
      <c r="Z9" s="21">
        <f>'[5]Set Up'!$V25</f>
        <v>18451</v>
      </c>
      <c r="AA9" s="21">
        <f>'[5]Set Up'!$V26</f>
        <v>18250</v>
      </c>
      <c r="AB9" s="21">
        <f>'[5]Set Up'!$V27</f>
        <v>18048</v>
      </c>
      <c r="AC9" s="21">
        <f>'[5]Set Up'!$V28</f>
        <v>17847</v>
      </c>
      <c r="AD9" s="21">
        <f>'[5]Set Up'!$V29</f>
        <v>17645</v>
      </c>
      <c r="AE9" s="21">
        <f>'[5]Set Up'!$V30</f>
        <v>17444</v>
      </c>
      <c r="AF9" s="21">
        <f>'[5]Set Up'!$V31</f>
        <v>17242</v>
      </c>
      <c r="AG9" s="21">
        <f>'[5]Set Up'!$V32</f>
        <v>17041</v>
      </c>
      <c r="AH9" s="21">
        <f>'[5]Set Up'!$V33</f>
        <v>16839</v>
      </c>
      <c r="AI9" s="21">
        <f>'[5]Set Up'!$V34</f>
        <v>16638</v>
      </c>
      <c r="AJ9" s="21">
        <f>'[5]Set Up'!$V35</f>
        <v>16436</v>
      </c>
      <c r="AK9" s="21">
        <f>'[5]Set Up'!$V36</f>
        <v>16235</v>
      </c>
      <c r="AL9" s="21">
        <f>'[5]Set Up'!$V37</f>
        <v>16033</v>
      </c>
      <c r="AM9" s="21">
        <f>'[5]Set Up'!$V38</f>
        <v>15831</v>
      </c>
      <c r="AN9" s="21">
        <f>'[5]Set Up'!$V39</f>
        <v>15630</v>
      </c>
      <c r="AO9" s="21">
        <f>'[5]Set Up'!$V40</f>
        <v>15428</v>
      </c>
      <c r="AP9" s="21">
        <f>'[5]Set Up'!$V41</f>
        <v>15227</v>
      </c>
      <c r="AQ9" s="21">
        <f>'[5]Set Up'!$V42</f>
        <v>15025</v>
      </c>
      <c r="AR9" s="21">
        <f>'[5]Set Up'!$V43</f>
        <v>14824</v>
      </c>
      <c r="AS9" s="21">
        <f>'[5]Set Up'!$V44</f>
        <v>14622</v>
      </c>
      <c r="AT9" s="21">
        <f>'[5]Set Up'!$V45</f>
        <v>14421</v>
      </c>
      <c r="AU9" s="21">
        <f>'[5]Set Up'!$V46</f>
        <v>14219</v>
      </c>
      <c r="AV9" s="21">
        <f>'[5]Set Up'!$V47</f>
        <v>14018</v>
      </c>
      <c r="AW9" s="21">
        <f>'[5]Set Up'!$V48</f>
        <v>13816</v>
      </c>
      <c r="AX9" s="21">
        <f>'[5]Set Up'!$V49</f>
        <v>13615</v>
      </c>
      <c r="AY9" s="21">
        <f>'[5]Set Up'!$V50</f>
        <v>13413</v>
      </c>
      <c r="AZ9" s="21">
        <f>'[5]Set Up'!$V51</f>
        <v>13212</v>
      </c>
      <c r="BA9" s="21">
        <f>'[5]Set Up'!$V52</f>
        <v>13010</v>
      </c>
      <c r="BB9" s="21">
        <f>'[5]Set Up'!$V53</f>
        <v>12809</v>
      </c>
      <c r="BC9" s="21">
        <f>'[5]Set Up'!$V54</f>
        <v>12607</v>
      </c>
      <c r="BD9" s="21">
        <f>'[5]Set Up'!$V55</f>
        <v>0</v>
      </c>
      <c r="BE9" s="21">
        <f>'[5]Set Up'!$V56</f>
        <v>0</v>
      </c>
      <c r="BF9" s="21">
        <f>'[5]Set Up'!$V57</f>
        <v>0</v>
      </c>
      <c r="BG9" s="21">
        <f>'[5]Set Up'!$V58</f>
        <v>0</v>
      </c>
      <c r="BH9" s="21">
        <f>'[5]Set Up'!$V59</f>
        <v>0</v>
      </c>
      <c r="BI9" s="21">
        <f>'[5]Set Up'!$V60</f>
        <v>0</v>
      </c>
      <c r="BJ9" s="21">
        <f>'[5]Set Up'!$V61</f>
        <v>0</v>
      </c>
      <c r="BK9" s="21">
        <f>'[5]Set Up'!$V62</f>
        <v>0</v>
      </c>
      <c r="BL9" s="21">
        <f>'[5]Set Up'!$V63</f>
        <v>0</v>
      </c>
      <c r="BM9" s="21">
        <f>'[5]Set Up'!$V64</f>
        <v>0</v>
      </c>
      <c r="BN9" s="21">
        <f>'[5]Set Up'!$V65</f>
        <v>0</v>
      </c>
      <c r="BO9" s="21">
        <f>'[5]Set Up'!$V66</f>
        <v>0</v>
      </c>
      <c r="BP9" s="21">
        <f>'[5]Set Up'!$V67</f>
        <v>0</v>
      </c>
      <c r="BQ9" s="21">
        <f>'[5]Set Up'!$V68</f>
        <v>0</v>
      </c>
      <c r="BR9" s="21">
        <f>'[5]Set Up'!$V69</f>
        <v>0</v>
      </c>
      <c r="BS9" s="21">
        <f>'[5]Set Up'!$V70</f>
        <v>0</v>
      </c>
      <c r="BT9" s="21">
        <f>'[5]Set Up'!$V71</f>
        <v>0</v>
      </c>
      <c r="BU9" s="21">
        <f>'[5]Set Up'!$V72</f>
        <v>0</v>
      </c>
      <c r="BV9" s="21">
        <f>'[5]Set Up'!$V73</f>
        <v>0</v>
      </c>
      <c r="BW9" s="21">
        <f>'[5]Set Up'!$V74</f>
        <v>0</v>
      </c>
      <c r="BX9" s="21">
        <f>'[5]Set Up'!$V75</f>
        <v>0</v>
      </c>
      <c r="BY9" s="21">
        <f>'[5]Set Up'!$V76</f>
        <v>0</v>
      </c>
      <c r="BZ9" s="8"/>
    </row>
    <row r="10" spans="1:78" ht="15" thickBot="1" x14ac:dyDescent="0.4">
      <c r="A10" s="22" t="s">
        <v>16</v>
      </c>
      <c r="B10" s="195"/>
      <c r="C10" s="23">
        <f>'[5]Set Up'!$W2</f>
        <v>24</v>
      </c>
      <c r="D10" s="23">
        <f>'[5]Set Up'!$W3</f>
        <v>24</v>
      </c>
      <c r="E10" s="23">
        <f>'[5]Set Up'!$W4</f>
        <v>24</v>
      </c>
      <c r="F10" s="23">
        <f>'[5]Set Up'!$W5</f>
        <v>24</v>
      </c>
      <c r="G10" s="23">
        <f>'[5]Set Up'!$W6</f>
        <v>24</v>
      </c>
      <c r="H10" s="23">
        <f>'[5]Set Up'!$W7</f>
        <v>24</v>
      </c>
      <c r="I10" s="23">
        <f>'[5]Set Up'!$W8</f>
        <v>24</v>
      </c>
      <c r="J10" s="23">
        <f>'[5]Set Up'!$W9</f>
        <v>24</v>
      </c>
      <c r="K10" s="23">
        <f>'[5]Set Up'!$W10</f>
        <v>24</v>
      </c>
      <c r="L10" s="23">
        <f>'[5]Set Up'!$W11</f>
        <v>24</v>
      </c>
      <c r="M10" s="23">
        <f>'[5]Set Up'!$W12</f>
        <v>24</v>
      </c>
      <c r="N10" s="23">
        <f>'[5]Set Up'!$W13</f>
        <v>24</v>
      </c>
      <c r="O10" s="23">
        <f>'[5]Set Up'!$W14</f>
        <v>24</v>
      </c>
      <c r="P10" s="23">
        <f>'[5]Set Up'!$W15</f>
        <v>24</v>
      </c>
      <c r="Q10" s="23">
        <f>'[5]Set Up'!$W16</f>
        <v>24</v>
      </c>
      <c r="R10" s="23">
        <f>'[5]Set Up'!$W17</f>
        <v>24</v>
      </c>
      <c r="S10" s="23">
        <f>'[5]Set Up'!$W18</f>
        <v>24</v>
      </c>
      <c r="T10" s="23">
        <f>'[5]Set Up'!$W19</f>
        <v>24</v>
      </c>
      <c r="U10" s="23">
        <f>'[5]Set Up'!$W20</f>
        <v>24</v>
      </c>
      <c r="V10" s="23">
        <f>'[5]Set Up'!$W21</f>
        <v>24</v>
      </c>
      <c r="W10" s="23">
        <f>'[5]Set Up'!$W22</f>
        <v>24</v>
      </c>
      <c r="X10" s="23">
        <f>'[5]Set Up'!$W23</f>
        <v>24</v>
      </c>
      <c r="Y10" s="23">
        <f>'[5]Set Up'!$W24</f>
        <v>24</v>
      </c>
      <c r="Z10" s="23">
        <f>'[5]Set Up'!$W25</f>
        <v>24</v>
      </c>
      <c r="AA10" s="23">
        <f>'[5]Set Up'!$W26</f>
        <v>24</v>
      </c>
      <c r="AB10" s="23">
        <f>'[5]Set Up'!$W27</f>
        <v>24</v>
      </c>
      <c r="AC10" s="23">
        <f>'[5]Set Up'!$W28</f>
        <v>24</v>
      </c>
      <c r="AD10" s="23">
        <f>'[5]Set Up'!$W29</f>
        <v>24</v>
      </c>
      <c r="AE10" s="23">
        <f>'[5]Set Up'!$W30</f>
        <v>24</v>
      </c>
      <c r="AF10" s="23">
        <f>'[5]Set Up'!$W31</f>
        <v>24</v>
      </c>
      <c r="AG10" s="23">
        <f>'[5]Set Up'!$W32</f>
        <v>24</v>
      </c>
      <c r="AH10" s="23">
        <f>'[5]Set Up'!$W33</f>
        <v>24</v>
      </c>
      <c r="AI10" s="23">
        <f>'[5]Set Up'!$W34</f>
        <v>24</v>
      </c>
      <c r="AJ10" s="23">
        <f>'[5]Set Up'!$W35</f>
        <v>24</v>
      </c>
      <c r="AK10" s="23">
        <f>'[5]Set Up'!$W36</f>
        <v>24</v>
      </c>
      <c r="AL10" s="23">
        <f>'[5]Set Up'!$W37</f>
        <v>24</v>
      </c>
      <c r="AM10" s="23">
        <f>'[5]Set Up'!$W38</f>
        <v>24</v>
      </c>
      <c r="AN10" s="23">
        <f>'[5]Set Up'!$W39</f>
        <v>24</v>
      </c>
      <c r="AO10" s="23">
        <f>'[5]Set Up'!$W40</f>
        <v>24</v>
      </c>
      <c r="AP10" s="23">
        <f>'[5]Set Up'!$W41</f>
        <v>24</v>
      </c>
      <c r="AQ10" s="23">
        <f>'[5]Set Up'!$W42</f>
        <v>24</v>
      </c>
      <c r="AR10" s="23">
        <f>'[5]Set Up'!$W43</f>
        <v>24</v>
      </c>
      <c r="AS10" s="23">
        <f>'[5]Set Up'!$W44</f>
        <v>24</v>
      </c>
      <c r="AT10" s="23">
        <f>'[5]Set Up'!$W45</f>
        <v>24</v>
      </c>
      <c r="AU10" s="23">
        <f>'[5]Set Up'!$W46</f>
        <v>24</v>
      </c>
      <c r="AV10" s="23">
        <f>'[5]Set Up'!$W47</f>
        <v>24</v>
      </c>
      <c r="AW10" s="23">
        <f>'[5]Set Up'!$W48</f>
        <v>24</v>
      </c>
      <c r="AX10" s="23">
        <f>'[5]Set Up'!$W49</f>
        <v>24</v>
      </c>
      <c r="AY10" s="23">
        <f>'[5]Set Up'!$W50</f>
        <v>24</v>
      </c>
      <c r="AZ10" s="23">
        <f>'[5]Set Up'!$W51</f>
        <v>24</v>
      </c>
      <c r="BA10" s="23">
        <f>'[5]Set Up'!$W52</f>
        <v>24</v>
      </c>
      <c r="BB10" s="23">
        <f>'[5]Set Up'!$W53</f>
        <v>24</v>
      </c>
      <c r="BC10" s="23">
        <f>'[5]Set Up'!$W54</f>
        <v>24</v>
      </c>
      <c r="BD10" s="23">
        <f>'[5]Set Up'!$W55</f>
        <v>0</v>
      </c>
      <c r="BE10" s="23">
        <f>'[5]Set Up'!$W56</f>
        <v>0</v>
      </c>
      <c r="BF10" s="23">
        <f>'[5]Set Up'!$W57</f>
        <v>0</v>
      </c>
      <c r="BG10" s="23">
        <f>'[5]Set Up'!$W58</f>
        <v>0</v>
      </c>
      <c r="BH10" s="23">
        <f>'[5]Set Up'!$W59</f>
        <v>0</v>
      </c>
      <c r="BI10" s="23">
        <f>'[5]Set Up'!$W60</f>
        <v>0</v>
      </c>
      <c r="BJ10" s="23">
        <f>'[5]Set Up'!$W61</f>
        <v>0</v>
      </c>
      <c r="BK10" s="23">
        <f>'[5]Set Up'!$W62</f>
        <v>0</v>
      </c>
      <c r="BL10" s="23">
        <f>'[5]Set Up'!$W63</f>
        <v>0</v>
      </c>
      <c r="BM10" s="23">
        <f>'[5]Set Up'!$W64</f>
        <v>0</v>
      </c>
      <c r="BN10" s="23">
        <f>'[5]Set Up'!$W65</f>
        <v>0</v>
      </c>
      <c r="BO10" s="23">
        <f>'[5]Set Up'!$W66</f>
        <v>0</v>
      </c>
      <c r="BP10" s="23">
        <f>'[5]Set Up'!$W67</f>
        <v>0</v>
      </c>
      <c r="BQ10" s="23">
        <f>'[5]Set Up'!$W68</f>
        <v>0</v>
      </c>
      <c r="BR10" s="23">
        <f>'[5]Set Up'!$W69</f>
        <v>0</v>
      </c>
      <c r="BS10" s="23">
        <f>'[5]Set Up'!$W70</f>
        <v>0</v>
      </c>
      <c r="BT10" s="23">
        <f>'[5]Set Up'!$W71</f>
        <v>0</v>
      </c>
      <c r="BU10" s="23">
        <f>'[5]Set Up'!$W72</f>
        <v>0</v>
      </c>
      <c r="BV10" s="23">
        <f>'[5]Set Up'!$W73</f>
        <v>0</v>
      </c>
      <c r="BW10" s="23">
        <f>'[5]Set Up'!$W74</f>
        <v>0</v>
      </c>
      <c r="BX10" s="23">
        <f>'[5]Set Up'!$W75</f>
        <v>0</v>
      </c>
      <c r="BY10" s="23">
        <f>'[5]Set Up'!$W76</f>
        <v>0</v>
      </c>
      <c r="BZ10" s="8"/>
    </row>
    <row r="11" spans="1:78" x14ac:dyDescent="0.35">
      <c r="A11" s="18" t="s">
        <v>17</v>
      </c>
      <c r="B11" s="195"/>
      <c r="C11" s="19">
        <f>'[5]Set Up'!$X2</f>
        <v>23105</v>
      </c>
      <c r="D11" s="19">
        <f>'[5]Set Up'!$X3</f>
        <v>22904</v>
      </c>
      <c r="E11" s="19">
        <f>'[5]Set Up'!$X4</f>
        <v>22702</v>
      </c>
      <c r="F11" s="19">
        <f>'[5]Set Up'!$X5</f>
        <v>22500</v>
      </c>
      <c r="G11" s="19">
        <f>'[5]Set Up'!$X6</f>
        <v>22299</v>
      </c>
      <c r="H11" s="19">
        <f>'[5]Set Up'!$X7</f>
        <v>22097</v>
      </c>
      <c r="I11" s="19">
        <f>'[5]Set Up'!$X8</f>
        <v>21896</v>
      </c>
      <c r="J11" s="19">
        <f>'[5]Set Up'!$X9</f>
        <v>21694</v>
      </c>
      <c r="K11" s="19">
        <f>'[5]Set Up'!$X10</f>
        <v>21493</v>
      </c>
      <c r="L11" s="19">
        <f>'[5]Set Up'!$X11</f>
        <v>21291</v>
      </c>
      <c r="M11" s="19">
        <f>'[5]Set Up'!$X12</f>
        <v>21090</v>
      </c>
      <c r="N11" s="19">
        <f>'[5]Set Up'!$X13</f>
        <v>20888</v>
      </c>
      <c r="O11" s="19">
        <f>'[5]Set Up'!$X14</f>
        <v>20687</v>
      </c>
      <c r="P11" s="19">
        <f>'[5]Set Up'!$X15</f>
        <v>20485</v>
      </c>
      <c r="Q11" s="19">
        <f>'[5]Set Up'!$X16</f>
        <v>20284</v>
      </c>
      <c r="R11" s="19">
        <f>'[5]Set Up'!$X17</f>
        <v>20082</v>
      </c>
      <c r="S11" s="19">
        <f>'[5]Set Up'!$X18</f>
        <v>19881</v>
      </c>
      <c r="T11" s="19">
        <f>'[5]Set Up'!$X19</f>
        <v>19679</v>
      </c>
      <c r="U11" s="19">
        <f>'[5]Set Up'!$X20</f>
        <v>19478</v>
      </c>
      <c r="V11" s="19">
        <f>'[5]Set Up'!$X21</f>
        <v>19276</v>
      </c>
      <c r="W11" s="19">
        <f>'[5]Set Up'!$X22</f>
        <v>19075</v>
      </c>
      <c r="X11" s="19">
        <f>'[5]Set Up'!$X23</f>
        <v>18873</v>
      </c>
      <c r="Y11" s="19">
        <f>'[5]Set Up'!$X24</f>
        <v>18672</v>
      </c>
      <c r="Z11" s="19">
        <f>'[5]Set Up'!$X25</f>
        <v>18470</v>
      </c>
      <c r="AA11" s="19">
        <f>'[5]Set Up'!$X26</f>
        <v>18269</v>
      </c>
      <c r="AB11" s="19">
        <f>'[5]Set Up'!$X27</f>
        <v>18067</v>
      </c>
      <c r="AC11" s="19">
        <f>'[5]Set Up'!$X28</f>
        <v>17866</v>
      </c>
      <c r="AD11" s="19">
        <f>'[5]Set Up'!$X29</f>
        <v>17664</v>
      </c>
      <c r="AE11" s="19">
        <f>'[5]Set Up'!$X30</f>
        <v>17463</v>
      </c>
      <c r="AF11" s="19">
        <f>'[5]Set Up'!$X31</f>
        <v>17261</v>
      </c>
      <c r="AG11" s="19">
        <f>'[5]Set Up'!$X32</f>
        <v>17060</v>
      </c>
      <c r="AH11" s="19">
        <f>'[5]Set Up'!$X33</f>
        <v>16858</v>
      </c>
      <c r="AI11" s="19">
        <f>'[5]Set Up'!$X34</f>
        <v>16657</v>
      </c>
      <c r="AJ11" s="19">
        <f>'[5]Set Up'!$X35</f>
        <v>16455</v>
      </c>
      <c r="AK11" s="19">
        <f>'[5]Set Up'!$X36</f>
        <v>16254</v>
      </c>
      <c r="AL11" s="19">
        <f>'[5]Set Up'!$X37</f>
        <v>16052</v>
      </c>
      <c r="AM11" s="19">
        <f>'[5]Set Up'!$X38</f>
        <v>15850</v>
      </c>
      <c r="AN11" s="19">
        <f>'[5]Set Up'!$X39</f>
        <v>15649</v>
      </c>
      <c r="AO11" s="19">
        <f>'[5]Set Up'!$X40</f>
        <v>15447</v>
      </c>
      <c r="AP11" s="19">
        <f>'[5]Set Up'!$X41</f>
        <v>15246</v>
      </c>
      <c r="AQ11" s="19">
        <f>'[5]Set Up'!$X42</f>
        <v>15044</v>
      </c>
      <c r="AR11" s="19">
        <f>'[5]Set Up'!$X43</f>
        <v>14843</v>
      </c>
      <c r="AS11" s="19">
        <f>'[5]Set Up'!$X44</f>
        <v>14641</v>
      </c>
      <c r="AT11" s="19">
        <f>'[5]Set Up'!$X45</f>
        <v>14440</v>
      </c>
      <c r="AU11" s="19">
        <f>'[5]Set Up'!$X46</f>
        <v>14238</v>
      </c>
      <c r="AV11" s="19">
        <f>'[5]Set Up'!$X47</f>
        <v>14037</v>
      </c>
      <c r="AW11" s="19">
        <f>'[5]Set Up'!$X48</f>
        <v>13835</v>
      </c>
      <c r="AX11" s="19">
        <f>'[5]Set Up'!$X49</f>
        <v>13634</v>
      </c>
      <c r="AY11" s="19">
        <f>'[5]Set Up'!$X50</f>
        <v>13432</v>
      </c>
      <c r="AZ11" s="19">
        <f>'[5]Set Up'!$X51</f>
        <v>13231</v>
      </c>
      <c r="BA11" s="19">
        <f>'[5]Set Up'!$X52</f>
        <v>13029</v>
      </c>
      <c r="BB11" s="19">
        <f>'[5]Set Up'!$X53</f>
        <v>12828</v>
      </c>
      <c r="BC11" s="19">
        <f>'[5]Set Up'!$X54</f>
        <v>12626</v>
      </c>
      <c r="BD11" s="19">
        <f>'[5]Set Up'!$X55</f>
        <v>0</v>
      </c>
      <c r="BE11" s="19">
        <f>'[5]Set Up'!$X56</f>
        <v>0</v>
      </c>
      <c r="BF11" s="19">
        <f>'[5]Set Up'!$X57</f>
        <v>0</v>
      </c>
      <c r="BG11" s="19">
        <f>'[5]Set Up'!$X58</f>
        <v>0</v>
      </c>
      <c r="BH11" s="19">
        <f>'[5]Set Up'!$X59</f>
        <v>0</v>
      </c>
      <c r="BI11" s="19">
        <f>'[5]Set Up'!$X60</f>
        <v>0</v>
      </c>
      <c r="BJ11" s="19">
        <f>'[5]Set Up'!$X61</f>
        <v>0</v>
      </c>
      <c r="BK11" s="19">
        <f>'[5]Set Up'!$X62</f>
        <v>0</v>
      </c>
      <c r="BL11" s="19">
        <f>'[5]Set Up'!$X63</f>
        <v>0</v>
      </c>
      <c r="BM11" s="19">
        <f>'[5]Set Up'!$X64</f>
        <v>0</v>
      </c>
      <c r="BN11" s="19">
        <f>'[5]Set Up'!$X65</f>
        <v>0</v>
      </c>
      <c r="BO11" s="19">
        <f>'[5]Set Up'!$X66</f>
        <v>0</v>
      </c>
      <c r="BP11" s="19">
        <f>'[5]Set Up'!$X67</f>
        <v>0</v>
      </c>
      <c r="BQ11" s="19">
        <f>'[5]Set Up'!$X68</f>
        <v>0</v>
      </c>
      <c r="BR11" s="19">
        <f>'[5]Set Up'!$X69</f>
        <v>0</v>
      </c>
      <c r="BS11" s="19">
        <f>'[5]Set Up'!$X70</f>
        <v>0</v>
      </c>
      <c r="BT11" s="19">
        <f>'[5]Set Up'!$X71</f>
        <v>0</v>
      </c>
      <c r="BU11" s="19">
        <f>'[5]Set Up'!$X72</f>
        <v>0</v>
      </c>
      <c r="BV11" s="19">
        <f>'[5]Set Up'!$X73</f>
        <v>0</v>
      </c>
      <c r="BW11" s="19">
        <f>'[5]Set Up'!$X74</f>
        <v>0</v>
      </c>
      <c r="BX11" s="19">
        <f>'[5]Set Up'!$X75</f>
        <v>0</v>
      </c>
      <c r="BY11" s="19">
        <f>'[5]Set Up'!$X76</f>
        <v>0</v>
      </c>
      <c r="BZ11" s="8"/>
    </row>
    <row r="12" spans="1:78" ht="15" thickBot="1" x14ac:dyDescent="0.4">
      <c r="A12" s="20" t="s">
        <v>18</v>
      </c>
      <c r="B12" s="195"/>
      <c r="C12" s="24">
        <f>'[5]Set Up'!$AA2</f>
        <v>12305</v>
      </c>
      <c r="D12" s="24">
        <f>'[5]Set Up'!$AA3</f>
        <v>12288</v>
      </c>
      <c r="E12" s="24">
        <f>'[5]Set Up'!$AA4</f>
        <v>12278</v>
      </c>
      <c r="F12" s="24">
        <f>'[5]Set Up'!$AA5</f>
        <v>12277</v>
      </c>
      <c r="G12" s="24">
        <f>'[5]Set Up'!$AA6</f>
        <v>12277</v>
      </c>
      <c r="H12" s="24">
        <f>'[5]Set Up'!$AA7</f>
        <v>12277</v>
      </c>
      <c r="I12" s="24">
        <f>'[5]Set Up'!$AA8</f>
        <v>12277</v>
      </c>
      <c r="J12" s="24">
        <f>'[5]Set Up'!$AA9</f>
        <v>12277</v>
      </c>
      <c r="K12" s="24">
        <f>'[5]Set Up'!$AA10</f>
        <v>12278</v>
      </c>
      <c r="L12" s="24">
        <f>'[5]Set Up'!$AA11</f>
        <v>12277</v>
      </c>
      <c r="M12" s="24">
        <f>'[5]Set Up'!$AA12</f>
        <v>12277</v>
      </c>
      <c r="N12" s="24">
        <f>'[5]Set Up'!$AA13</f>
        <v>12278</v>
      </c>
      <c r="O12" s="24">
        <f>'[5]Set Up'!$AA14</f>
        <v>12277</v>
      </c>
      <c r="P12" s="24">
        <f>'[5]Set Up'!$AA15</f>
        <v>12276</v>
      </c>
      <c r="Q12" s="24">
        <f>'[5]Set Up'!$AA16</f>
        <v>12273</v>
      </c>
      <c r="R12" s="24">
        <f>'[5]Set Up'!$AA17</f>
        <v>12273</v>
      </c>
      <c r="S12" s="24">
        <f>'[5]Set Up'!$AA18</f>
        <v>12274</v>
      </c>
      <c r="T12" s="24">
        <f>'[5]Set Up'!$AA19</f>
        <v>12268</v>
      </c>
      <c r="U12" s="24">
        <f>'[5]Set Up'!$AA20</f>
        <v>12255</v>
      </c>
      <c r="V12" s="24">
        <f>'[5]Set Up'!$AA21</f>
        <v>12246</v>
      </c>
      <c r="W12" s="24">
        <f>'[5]Set Up'!$AA22</f>
        <v>12244</v>
      </c>
      <c r="X12" s="24">
        <f>'[5]Set Up'!$AA23</f>
        <v>12240</v>
      </c>
      <c r="Y12" s="24">
        <f>'[5]Set Up'!$AA24</f>
        <v>12239</v>
      </c>
      <c r="Z12" s="24">
        <f>'[5]Set Up'!$AA25</f>
        <v>12237</v>
      </c>
      <c r="AA12" s="24">
        <f>'[5]Set Up'!$AA26</f>
        <v>12233</v>
      </c>
      <c r="AB12" s="24">
        <f>'[5]Set Up'!$AA27</f>
        <v>12230</v>
      </c>
      <c r="AC12" s="24">
        <f>'[5]Set Up'!$AA28</f>
        <v>12228</v>
      </c>
      <c r="AD12" s="24">
        <f>'[5]Set Up'!$AA29</f>
        <v>12226</v>
      </c>
      <c r="AE12" s="24">
        <f>'[5]Set Up'!$AA30</f>
        <v>12223</v>
      </c>
      <c r="AF12" s="24">
        <f>'[5]Set Up'!$AA31</f>
        <v>12220</v>
      </c>
      <c r="AG12" s="24">
        <f>'[5]Set Up'!$AA32</f>
        <v>12215</v>
      </c>
      <c r="AH12" s="24">
        <f>'[5]Set Up'!$AA33</f>
        <v>12211</v>
      </c>
      <c r="AI12" s="24">
        <f>'[5]Set Up'!$AA34</f>
        <v>12206</v>
      </c>
      <c r="AJ12" s="24">
        <f>'[5]Set Up'!$AA35</f>
        <v>12199</v>
      </c>
      <c r="AK12" s="24">
        <f>'[5]Set Up'!$AA36</f>
        <v>12194</v>
      </c>
      <c r="AL12" s="24">
        <f>'[5]Set Up'!$AA37</f>
        <v>12192</v>
      </c>
      <c r="AM12" s="24">
        <f>'[5]Set Up'!$AA38</f>
        <v>12187</v>
      </c>
      <c r="AN12" s="24">
        <f>'[5]Set Up'!$AA39</f>
        <v>12178</v>
      </c>
      <c r="AO12" s="24">
        <f>'[5]Set Up'!$AA40</f>
        <v>12165</v>
      </c>
      <c r="AP12" s="24">
        <f>'[5]Set Up'!$AA41</f>
        <v>12157</v>
      </c>
      <c r="AQ12" s="24">
        <f>'[5]Set Up'!$AA42</f>
        <v>12156</v>
      </c>
      <c r="AR12" s="24">
        <f>'[5]Set Up'!$AA43</f>
        <v>12151</v>
      </c>
      <c r="AS12" s="24">
        <f>'[5]Set Up'!$AA44</f>
        <v>12146</v>
      </c>
      <c r="AT12" s="24">
        <f>'[5]Set Up'!$AA45</f>
        <v>12139</v>
      </c>
      <c r="AU12" s="24">
        <f>'[5]Set Up'!$AA46</f>
        <v>12139</v>
      </c>
      <c r="AV12" s="24">
        <f>'[5]Set Up'!$AA47</f>
        <v>12149</v>
      </c>
      <c r="AW12" s="24">
        <f>'[5]Set Up'!$AA48</f>
        <v>12151</v>
      </c>
      <c r="AX12" s="24">
        <f>'[5]Set Up'!$AA49</f>
        <v>12148</v>
      </c>
      <c r="AY12" s="24">
        <f>'[5]Set Up'!$AA50</f>
        <v>12143</v>
      </c>
      <c r="AZ12" s="24">
        <f>'[5]Set Up'!$AA51</f>
        <v>12140</v>
      </c>
      <c r="BA12" s="24">
        <f>'[5]Set Up'!$AA52</f>
        <v>12136</v>
      </c>
      <c r="BB12" s="24">
        <f>'[5]Set Up'!$AA53</f>
        <v>12128</v>
      </c>
      <c r="BC12" s="24">
        <f>'[5]Set Up'!$AA54</f>
        <v>12128</v>
      </c>
      <c r="BD12" s="24">
        <f>'[5]Set Up'!$AA55</f>
        <v>0</v>
      </c>
      <c r="BE12" s="24">
        <f>'[5]Set Up'!$AA56</f>
        <v>0</v>
      </c>
      <c r="BF12" s="24">
        <f>'[5]Set Up'!$AA57</f>
        <v>0</v>
      </c>
      <c r="BG12" s="24">
        <f>'[5]Set Up'!$AA58</f>
        <v>0</v>
      </c>
      <c r="BH12" s="24">
        <f>'[5]Set Up'!$AA59</f>
        <v>0</v>
      </c>
      <c r="BI12" s="24">
        <f>'[5]Set Up'!$AA60</f>
        <v>0</v>
      </c>
      <c r="BJ12" s="24">
        <f>'[5]Set Up'!$AA61</f>
        <v>0</v>
      </c>
      <c r="BK12" s="24">
        <f>'[5]Set Up'!$AA62</f>
        <v>0</v>
      </c>
      <c r="BL12" s="24">
        <f>'[5]Set Up'!$AA63</f>
        <v>0</v>
      </c>
      <c r="BM12" s="24">
        <f>'[5]Set Up'!$AA64</f>
        <v>0</v>
      </c>
      <c r="BN12" s="24">
        <f>'[5]Set Up'!$AA65</f>
        <v>0</v>
      </c>
      <c r="BO12" s="24">
        <f>'[5]Set Up'!$AA66</f>
        <v>0</v>
      </c>
      <c r="BP12" s="24">
        <f>'[5]Set Up'!$AA67</f>
        <v>0</v>
      </c>
      <c r="BQ12" s="24">
        <f>'[5]Set Up'!$AA68</f>
        <v>0</v>
      </c>
      <c r="BR12" s="24">
        <f>'[5]Set Up'!$AA69</f>
        <v>0</v>
      </c>
      <c r="BS12" s="24">
        <f>'[5]Set Up'!$AA70</f>
        <v>0</v>
      </c>
      <c r="BT12" s="24">
        <f>'[5]Set Up'!$AA71</f>
        <v>0</v>
      </c>
      <c r="BU12" s="24">
        <f>'[5]Set Up'!$AA72</f>
        <v>0</v>
      </c>
      <c r="BV12" s="24">
        <f>'[5]Set Up'!$AA73</f>
        <v>0</v>
      </c>
      <c r="BW12" s="24">
        <f>'[5]Set Up'!$AA74</f>
        <v>0</v>
      </c>
      <c r="BX12" s="24">
        <f>'[5]Set Up'!$AA75</f>
        <v>0</v>
      </c>
      <c r="BY12" s="24">
        <f>'[5]Set Up'!$AA76</f>
        <v>0</v>
      </c>
      <c r="BZ12" s="8"/>
    </row>
    <row r="13" spans="1:78" x14ac:dyDescent="0.35">
      <c r="A13" s="25" t="s">
        <v>19</v>
      </c>
      <c r="B13" s="196" t="s">
        <v>20</v>
      </c>
      <c r="C13" s="26">
        <f>IF(C8="","",IF(C8&lt;'[5]Set Up'!$J$15,C8*'[5]Set Up'!$N$15,IF(C8&lt;'[5]Set Up'!$J$16,(C8-'[5]Set Up'!$J$15)*'[5]Set Up'!$N$16+'[5]Set Up'!$O$15,IF(C8&lt;'[5]Set Up'!$J$17,(C8-'[5]Set Up'!$J$16)*'[5]Set Up'!$N$17+'[5]Set Up'!$O$15+'[5]Set Up'!$O$16,(C8-'[5]Set Up'!$J$17)*'[5]Set Up'!$N$18 + SUM('[5]Set Up'!$O$15:'[5]Set Up'!$O$17)))))</f>
        <v>417.23494055976664</v>
      </c>
      <c r="D13" s="26">
        <f>IF(D8="","",IF(D8&lt;'[5]Set Up'!$J$15,D8*'[5]Set Up'!$N$15,IF(D8&lt;'[5]Set Up'!$J$16,(D8-'[5]Set Up'!$J$15)*'[5]Set Up'!$N$16+'[5]Set Up'!$O$15,IF(D8&lt;'[5]Set Up'!$J$17,(D8-'[5]Set Up'!$J$16)*'[5]Set Up'!$N$17+'[5]Set Up'!$O$15+'[5]Set Up'!$O$16,(D8-'[5]Set Up'!$J$17)*'[5]Set Up'!$N$18 + SUM('[5]Set Up'!$O$15:'[5]Set Up'!$O$17)))))</f>
        <v>414.21878805960318</v>
      </c>
      <c r="E13" s="26">
        <f>IF(E8="","",IF(E8&lt;'[5]Set Up'!$J$15,E8*'[5]Set Up'!$N$15,IF(E8&lt;'[5]Set Up'!$J$16,(E8-'[5]Set Up'!$J$15)*'[5]Set Up'!$N$16+'[5]Set Up'!$O$15,IF(E8&lt;'[5]Set Up'!$J$17,(E8-'[5]Set Up'!$J$16)*'[5]Set Up'!$N$17+'[5]Set Up'!$O$15+'[5]Set Up'!$O$16,(E8-'[5]Set Up'!$J$17)*'[5]Set Up'!$N$18 + SUM('[5]Set Up'!$O$15:'[5]Set Up'!$O$17)))))</f>
        <v>411.20263555943961</v>
      </c>
      <c r="F13" s="26">
        <f>IF(F8="","",IF(F8&lt;'[5]Set Up'!$J$15,F8*'[5]Set Up'!$N$15,IF(F8&lt;'[5]Set Up'!$J$16,(F8-'[5]Set Up'!$J$15)*'[5]Set Up'!$N$16+'[5]Set Up'!$O$15,IF(F8&lt;'[5]Set Up'!$J$17,(F8-'[5]Set Up'!$J$16)*'[5]Set Up'!$N$17+'[5]Set Up'!$O$15+'[5]Set Up'!$O$16,(F8-'[5]Set Up'!$J$17)*'[5]Set Up'!$N$18 + SUM('[5]Set Up'!$O$15:'[5]Set Up'!$O$17)))))</f>
        <v>408.20141450729676</v>
      </c>
      <c r="G13" s="26">
        <f>IF(G8="","",IF(G8&lt;'[5]Set Up'!$J$15,G8*'[5]Set Up'!$N$15,IF(G8&lt;'[5]Set Up'!$J$16,(G8-'[5]Set Up'!$J$15)*'[5]Set Up'!$N$16+'[5]Set Up'!$O$15,IF(G8&lt;'[5]Set Up'!$J$17,(G8-'[5]Set Up'!$J$16)*'[5]Set Up'!$N$17+'[5]Set Up'!$O$15+'[5]Set Up'!$O$16,(G8-'[5]Set Up'!$J$17)*'[5]Set Up'!$N$18 + SUM('[5]Set Up'!$O$15:'[5]Set Up'!$O$17)))))</f>
        <v>405.18526200713325</v>
      </c>
      <c r="H13" s="26">
        <f>IF(H8="","",IF(H8&lt;'[5]Set Up'!$J$15,H8*'[5]Set Up'!$N$15,IF(H8&lt;'[5]Set Up'!$J$16,(H8-'[5]Set Up'!$J$15)*'[5]Set Up'!$N$16+'[5]Set Up'!$O$15,IF(H8&lt;'[5]Set Up'!$J$17,(H8-'[5]Set Up'!$J$16)*'[5]Set Up'!$N$17+'[5]Set Up'!$O$15+'[5]Set Up'!$O$16,(H8-'[5]Set Up'!$J$17)*'[5]Set Up'!$N$18 + SUM('[5]Set Up'!$O$15:'[5]Set Up'!$O$17)))))</f>
        <v>402.18404095499034</v>
      </c>
      <c r="I13" s="26">
        <f>IF(I8="","",IF(I8&lt;'[5]Set Up'!$J$15,I8*'[5]Set Up'!$N$15,IF(I8&lt;'[5]Set Up'!$J$16,(I8-'[5]Set Up'!$J$15)*'[5]Set Up'!$N$16+'[5]Set Up'!$O$15,IF(I8&lt;'[5]Set Up'!$J$17,(I8-'[5]Set Up'!$J$16)*'[5]Set Up'!$N$17+'[5]Set Up'!$O$15+'[5]Set Up'!$O$16,(I8-'[5]Set Up'!$J$17)*'[5]Set Up'!$N$18 + SUM('[5]Set Up'!$O$15:'[5]Set Up'!$O$17)))))</f>
        <v>399.16788845482688</v>
      </c>
      <c r="J13" s="26">
        <f>IF(J8="","",IF(J8&lt;'[5]Set Up'!$J$15,J8*'[5]Set Up'!$N$15,IF(J8&lt;'[5]Set Up'!$J$16,(J8-'[5]Set Up'!$J$15)*'[5]Set Up'!$N$16+'[5]Set Up'!$O$15,IF(J8&lt;'[5]Set Up'!$J$17,(J8-'[5]Set Up'!$J$16)*'[5]Set Up'!$N$17+'[5]Set Up'!$O$15+'[5]Set Up'!$O$16,(J8-'[5]Set Up'!$J$17)*'[5]Set Up'!$N$18 + SUM('[5]Set Up'!$O$15:'[5]Set Up'!$O$17)))))</f>
        <v>396.16666740268397</v>
      </c>
      <c r="K13" s="26">
        <f>IF(K8="","",IF(K8&lt;'[5]Set Up'!$J$15,K8*'[5]Set Up'!$N$15,IF(K8&lt;'[5]Set Up'!$J$16,(K8-'[5]Set Up'!$J$15)*'[5]Set Up'!$N$16+'[5]Set Up'!$O$15,IF(K8&lt;'[5]Set Up'!$J$17,(K8-'[5]Set Up'!$J$16)*'[5]Set Up'!$N$17+'[5]Set Up'!$O$15+'[5]Set Up'!$O$16,(K8-'[5]Set Up'!$J$17)*'[5]Set Up'!$N$18 + SUM('[5]Set Up'!$O$15:'[5]Set Up'!$O$17)))))</f>
        <v>393.15051490252046</v>
      </c>
      <c r="L13" s="26">
        <f>IF(L8="","",IF(L8&lt;'[5]Set Up'!$J$15,L8*'[5]Set Up'!$N$15,IF(L8&lt;'[5]Set Up'!$J$16,(L8-'[5]Set Up'!$J$15)*'[5]Set Up'!$N$16+'[5]Set Up'!$O$15,IF(L8&lt;'[5]Set Up'!$J$17,(L8-'[5]Set Up'!$J$16)*'[5]Set Up'!$N$17+'[5]Set Up'!$O$15+'[5]Set Up'!$O$16,(L8-'[5]Set Up'!$J$17)*'[5]Set Up'!$N$18 + SUM('[5]Set Up'!$O$15:'[5]Set Up'!$O$17)))))</f>
        <v>390.1492938503776</v>
      </c>
      <c r="M13" s="26">
        <f>IF(M8="","",IF(M8&lt;'[5]Set Up'!$J$15,M8*'[5]Set Up'!$N$15,IF(M8&lt;'[5]Set Up'!$J$16,(M8-'[5]Set Up'!$J$15)*'[5]Set Up'!$N$16+'[5]Set Up'!$O$15,IF(M8&lt;'[5]Set Up'!$J$17,(M8-'[5]Set Up'!$J$16)*'[5]Set Up'!$N$17+'[5]Set Up'!$O$15+'[5]Set Up'!$O$16,(M8-'[5]Set Up'!$J$17)*'[5]Set Up'!$N$18 + SUM('[5]Set Up'!$O$15:'[5]Set Up'!$O$17)))))</f>
        <v>387.13314135021409</v>
      </c>
      <c r="N13" s="26">
        <f>IF(N8="","",IF(N8&lt;'[5]Set Up'!$J$15,N8*'[5]Set Up'!$N$15,IF(N8&lt;'[5]Set Up'!$J$16,(N8-'[5]Set Up'!$J$15)*'[5]Set Up'!$N$16+'[5]Set Up'!$O$15,IF(N8&lt;'[5]Set Up'!$J$17,(N8-'[5]Set Up'!$J$16)*'[5]Set Up'!$N$17+'[5]Set Up'!$O$15+'[5]Set Up'!$O$16,(N8-'[5]Set Up'!$J$17)*'[5]Set Up'!$N$18 + SUM('[5]Set Up'!$O$15:'[5]Set Up'!$O$17)))))</f>
        <v>384.13192029807118</v>
      </c>
      <c r="O13" s="26">
        <f>IF(O8="","",IF(O8&lt;'[5]Set Up'!$J$15,O8*'[5]Set Up'!$N$15,IF(O8&lt;'[5]Set Up'!$J$16,(O8-'[5]Set Up'!$J$15)*'[5]Set Up'!$N$16+'[5]Set Up'!$O$15,IF(O8&lt;'[5]Set Up'!$J$17,(O8-'[5]Set Up'!$J$16)*'[5]Set Up'!$N$17+'[5]Set Up'!$O$15+'[5]Set Up'!$O$16,(O8-'[5]Set Up'!$J$17)*'[5]Set Up'!$N$18 + SUM('[5]Set Up'!$O$15:'[5]Set Up'!$O$17)))))</f>
        <v>381.11576779790767</v>
      </c>
      <c r="P13" s="26">
        <f>IF(P8="","",IF(P8&lt;'[5]Set Up'!$J$15,P8*'[5]Set Up'!$N$15,IF(P8&lt;'[5]Set Up'!$J$16,(P8-'[5]Set Up'!$J$15)*'[5]Set Up'!$N$16+'[5]Set Up'!$O$15,IF(P8&lt;'[5]Set Up'!$J$17,(P8-'[5]Set Up'!$J$16)*'[5]Set Up'!$N$17+'[5]Set Up'!$O$15+'[5]Set Up'!$O$16,(P8-'[5]Set Up'!$J$17)*'[5]Set Up'!$N$18 + SUM('[5]Set Up'!$O$15:'[5]Set Up'!$O$17)))))</f>
        <v>378.11454674576481</v>
      </c>
      <c r="Q13" s="26">
        <f>IF(Q8="","",IF(Q8&lt;'[5]Set Up'!$J$15,Q8*'[5]Set Up'!$N$15,IF(Q8&lt;'[5]Set Up'!$J$16,(Q8-'[5]Set Up'!$J$15)*'[5]Set Up'!$N$16+'[5]Set Up'!$O$15,IF(Q8&lt;'[5]Set Up'!$J$17,(Q8-'[5]Set Up'!$J$16)*'[5]Set Up'!$N$17+'[5]Set Up'!$O$15+'[5]Set Up'!$O$16,(Q8-'[5]Set Up'!$J$17)*'[5]Set Up'!$N$18 + SUM('[5]Set Up'!$O$15:'[5]Set Up'!$O$17)))))</f>
        <v>375.0983942456013</v>
      </c>
      <c r="R13" s="26">
        <f>IF(R8="","",IF(R8&lt;'[5]Set Up'!$J$15,R8*'[5]Set Up'!$N$15,IF(R8&lt;'[5]Set Up'!$J$16,(R8-'[5]Set Up'!$J$15)*'[5]Set Up'!$N$16+'[5]Set Up'!$O$15,IF(R8&lt;'[5]Set Up'!$J$17,(R8-'[5]Set Up'!$J$16)*'[5]Set Up'!$N$17+'[5]Set Up'!$O$15+'[5]Set Up'!$O$16,(R8-'[5]Set Up'!$J$17)*'[5]Set Up'!$N$18 + SUM('[5]Set Up'!$O$15:'[5]Set Up'!$O$17)))))</f>
        <v>372.09717319345839</v>
      </c>
      <c r="S13" s="26">
        <f>IF(S8="","",IF(S8&lt;'[5]Set Up'!$J$15,S8*'[5]Set Up'!$N$15,IF(S8&lt;'[5]Set Up'!$J$16,(S8-'[5]Set Up'!$J$15)*'[5]Set Up'!$N$16+'[5]Set Up'!$O$15,IF(S8&lt;'[5]Set Up'!$J$17,(S8-'[5]Set Up'!$J$16)*'[5]Set Up'!$N$17+'[5]Set Up'!$O$15+'[5]Set Up'!$O$16,(S8-'[5]Set Up'!$J$17)*'[5]Set Up'!$N$18 + SUM('[5]Set Up'!$O$15:'[5]Set Up'!$O$17)))))</f>
        <v>369.08102069329493</v>
      </c>
      <c r="T13" s="26">
        <f>IF(T8="","",IF(T8&lt;'[5]Set Up'!$J$15,T8*'[5]Set Up'!$N$15,IF(T8&lt;'[5]Set Up'!$J$16,(T8-'[5]Set Up'!$J$15)*'[5]Set Up'!$N$16+'[5]Set Up'!$O$15,IF(T8&lt;'[5]Set Up'!$J$17,(T8-'[5]Set Up'!$J$16)*'[5]Set Up'!$N$17+'[5]Set Up'!$O$15+'[5]Set Up'!$O$16,(T8-'[5]Set Up'!$J$17)*'[5]Set Up'!$N$18 + SUM('[5]Set Up'!$O$15:'[5]Set Up'!$O$17)))))</f>
        <v>366.07979964115202</v>
      </c>
      <c r="U13" s="26">
        <f>IF(U8="","",IF(U8&lt;'[5]Set Up'!$J$15,U8*'[5]Set Up'!$N$15,IF(U8&lt;'[5]Set Up'!$J$16,(U8-'[5]Set Up'!$J$15)*'[5]Set Up'!$N$16+'[5]Set Up'!$O$15,IF(U8&lt;'[5]Set Up'!$J$17,(U8-'[5]Set Up'!$J$16)*'[5]Set Up'!$N$17+'[5]Set Up'!$O$15+'[5]Set Up'!$O$16,(U8-'[5]Set Up'!$J$17)*'[5]Set Up'!$N$18 + SUM('[5]Set Up'!$O$15:'[5]Set Up'!$O$17)))))</f>
        <v>363.06364714098851</v>
      </c>
      <c r="V13" s="26">
        <f>IF(V8="","",IF(V8&lt;'[5]Set Up'!$J$15,V8*'[5]Set Up'!$N$15,IF(V8&lt;'[5]Set Up'!$J$16,(V8-'[5]Set Up'!$J$15)*'[5]Set Up'!$N$16+'[5]Set Up'!$O$15,IF(V8&lt;'[5]Set Up'!$J$17,(V8-'[5]Set Up'!$J$16)*'[5]Set Up'!$N$17+'[5]Set Up'!$O$15+'[5]Set Up'!$O$16,(V8-'[5]Set Up'!$J$17)*'[5]Set Up'!$N$18 + SUM('[5]Set Up'!$O$15:'[5]Set Up'!$O$17)))))</f>
        <v>360.0624260888456</v>
      </c>
      <c r="W13" s="26">
        <f>IF(W8="","",IF(W8&lt;'[5]Set Up'!$J$15,W8*'[5]Set Up'!$N$15,IF(W8&lt;'[5]Set Up'!$J$16,(W8-'[5]Set Up'!$J$15)*'[5]Set Up'!$N$16+'[5]Set Up'!$O$15,IF(W8&lt;'[5]Set Up'!$J$17,(W8-'[5]Set Up'!$J$16)*'[5]Set Up'!$N$17+'[5]Set Up'!$O$15+'[5]Set Up'!$O$16,(W8-'[5]Set Up'!$J$17)*'[5]Set Up'!$N$18 + SUM('[5]Set Up'!$O$15:'[5]Set Up'!$O$17)))))</f>
        <v>357.04627358868208</v>
      </c>
      <c r="X13" s="26">
        <f>IF(X8="","",IF(X8&lt;'[5]Set Up'!$J$15,X8*'[5]Set Up'!$N$15,IF(X8&lt;'[5]Set Up'!$J$16,(X8-'[5]Set Up'!$J$15)*'[5]Set Up'!$N$16+'[5]Set Up'!$O$15,IF(X8&lt;'[5]Set Up'!$J$17,(X8-'[5]Set Up'!$J$16)*'[5]Set Up'!$N$17+'[5]Set Up'!$O$15+'[5]Set Up'!$O$16,(X8-'[5]Set Up'!$J$17)*'[5]Set Up'!$N$18 + SUM('[5]Set Up'!$O$15:'[5]Set Up'!$O$17)))))</f>
        <v>354.04505253653923</v>
      </c>
      <c r="Y13" s="26">
        <f>IF(Y8="","",IF(Y8&lt;'[5]Set Up'!$J$15,Y8*'[5]Set Up'!$N$15,IF(Y8&lt;'[5]Set Up'!$J$16,(Y8-'[5]Set Up'!$J$15)*'[5]Set Up'!$N$16+'[5]Set Up'!$O$15,IF(Y8&lt;'[5]Set Up'!$J$17,(Y8-'[5]Set Up'!$J$16)*'[5]Set Up'!$N$17+'[5]Set Up'!$O$15+'[5]Set Up'!$O$16,(Y8-'[5]Set Up'!$J$17)*'[5]Set Up'!$N$18 + SUM('[5]Set Up'!$O$15:'[5]Set Up'!$O$17)))))</f>
        <v>351.02890003637572</v>
      </c>
      <c r="Z13" s="26">
        <f>IF(Z8="","",IF(Z8&lt;'[5]Set Up'!$J$15,Z8*'[5]Set Up'!$N$15,IF(Z8&lt;'[5]Set Up'!$J$16,(Z8-'[5]Set Up'!$J$15)*'[5]Set Up'!$N$16+'[5]Set Up'!$O$15,IF(Z8&lt;'[5]Set Up'!$J$17,(Z8-'[5]Set Up'!$J$16)*'[5]Set Up'!$N$17+'[5]Set Up'!$O$15+'[5]Set Up'!$O$16,(Z8-'[5]Set Up'!$J$17)*'[5]Set Up'!$N$18 + SUM('[5]Set Up'!$O$15:'[5]Set Up'!$O$17)))))</f>
        <v>348.02767898423281</v>
      </c>
      <c r="AA13" s="26">
        <f>IF(AA8="","",IF(AA8&lt;'[5]Set Up'!$J$15,AA8*'[5]Set Up'!$N$15,IF(AA8&lt;'[5]Set Up'!$J$16,(AA8-'[5]Set Up'!$J$15)*'[5]Set Up'!$N$16+'[5]Set Up'!$O$15,IF(AA8&lt;'[5]Set Up'!$J$17,(AA8-'[5]Set Up'!$J$16)*'[5]Set Up'!$N$17+'[5]Set Up'!$O$15+'[5]Set Up'!$O$16,(AA8-'[5]Set Up'!$J$17)*'[5]Set Up'!$N$18 + SUM('[5]Set Up'!$O$15:'[5]Set Up'!$O$17)))))</f>
        <v>345.01152648406935</v>
      </c>
      <c r="AB13" s="26">
        <f>IF(AB8="","",IF(AB8&lt;'[5]Set Up'!$J$15,AB8*'[5]Set Up'!$N$15,IF(AB8&lt;'[5]Set Up'!$J$16,(AB8-'[5]Set Up'!$J$15)*'[5]Set Up'!$N$16+'[5]Set Up'!$O$15,IF(AB8&lt;'[5]Set Up'!$J$17,(AB8-'[5]Set Up'!$J$16)*'[5]Set Up'!$N$17+'[5]Set Up'!$O$15+'[5]Set Up'!$O$16,(AB8-'[5]Set Up'!$J$17)*'[5]Set Up'!$N$18 + SUM('[5]Set Up'!$O$15:'[5]Set Up'!$O$17)))))</f>
        <v>342.01030543192644</v>
      </c>
      <c r="AC13" s="26">
        <f>IF(AC8="","",IF(AC8&lt;'[5]Set Up'!$J$15,AC8*'[5]Set Up'!$N$15,IF(AC8&lt;'[5]Set Up'!$J$16,(AC8-'[5]Set Up'!$J$15)*'[5]Set Up'!$N$16+'[5]Set Up'!$O$15,IF(AC8&lt;'[5]Set Up'!$J$17,(AC8-'[5]Set Up'!$J$16)*'[5]Set Up'!$N$17+'[5]Set Up'!$O$15+'[5]Set Up'!$O$16,(AC8-'[5]Set Up'!$J$17)*'[5]Set Up'!$N$18 + SUM('[5]Set Up'!$O$15:'[5]Set Up'!$O$17)))))</f>
        <v>338.99415293176293</v>
      </c>
      <c r="AD13" s="26">
        <f>IF(AD8="","",IF(AD8&lt;'[5]Set Up'!$J$15,AD8*'[5]Set Up'!$N$15,IF(AD8&lt;'[5]Set Up'!$J$16,(AD8-'[5]Set Up'!$J$15)*'[5]Set Up'!$N$16+'[5]Set Up'!$O$15,IF(AD8&lt;'[5]Set Up'!$J$17,(AD8-'[5]Set Up'!$J$16)*'[5]Set Up'!$N$17+'[5]Set Up'!$O$15+'[5]Set Up'!$O$16,(AD8-'[5]Set Up'!$J$17)*'[5]Set Up'!$N$18 + SUM('[5]Set Up'!$O$15:'[5]Set Up'!$O$17)))))</f>
        <v>335.99293187962007</v>
      </c>
      <c r="AE13" s="26">
        <f>IF(AE8="","",IF(AE8&lt;'[5]Set Up'!$J$15,AE8*'[5]Set Up'!$N$15,IF(AE8&lt;'[5]Set Up'!$J$16,(AE8-'[5]Set Up'!$J$15)*'[5]Set Up'!$N$16+'[5]Set Up'!$O$15,IF(AE8&lt;'[5]Set Up'!$J$17,(AE8-'[5]Set Up'!$J$16)*'[5]Set Up'!$N$17+'[5]Set Up'!$O$15+'[5]Set Up'!$O$16,(AE8-'[5]Set Up'!$J$17)*'[5]Set Up'!$N$18 + SUM('[5]Set Up'!$O$15:'[5]Set Up'!$O$17)))))</f>
        <v>332.97677937945656</v>
      </c>
      <c r="AF13" s="26">
        <f>IF(AF8="","",IF(AF8&lt;'[5]Set Up'!$J$15,AF8*'[5]Set Up'!$N$15,IF(AF8&lt;'[5]Set Up'!$J$16,(AF8-'[5]Set Up'!$J$15)*'[5]Set Up'!$N$16+'[5]Set Up'!$O$15,IF(AF8&lt;'[5]Set Up'!$J$17,(AF8-'[5]Set Up'!$J$16)*'[5]Set Up'!$N$17+'[5]Set Up'!$O$15+'[5]Set Up'!$O$16,(AF8-'[5]Set Up'!$J$17)*'[5]Set Up'!$N$18 + SUM('[5]Set Up'!$O$15:'[5]Set Up'!$O$17)))))</f>
        <v>329.97555832731365</v>
      </c>
      <c r="AG13" s="26">
        <f>IF(AG8="","",IF(AG8&lt;'[5]Set Up'!$J$15,AG8*'[5]Set Up'!$N$15,IF(AG8&lt;'[5]Set Up'!$J$16,(AG8-'[5]Set Up'!$J$15)*'[5]Set Up'!$N$16+'[5]Set Up'!$O$15,IF(AG8&lt;'[5]Set Up'!$J$17,(AG8-'[5]Set Up'!$J$16)*'[5]Set Up'!$N$17+'[5]Set Up'!$O$15+'[5]Set Up'!$O$16,(AG8-'[5]Set Up'!$J$17)*'[5]Set Up'!$N$18 + SUM('[5]Set Up'!$O$15:'[5]Set Up'!$O$17)))))</f>
        <v>326.95940582715014</v>
      </c>
      <c r="AH13" s="26">
        <f>IF(AH8="","",IF(AH8&lt;'[5]Set Up'!$J$15,AH8*'[5]Set Up'!$N$15,IF(AH8&lt;'[5]Set Up'!$J$16,(AH8-'[5]Set Up'!$J$15)*'[5]Set Up'!$N$16+'[5]Set Up'!$O$15,IF(AH8&lt;'[5]Set Up'!$J$17,(AH8-'[5]Set Up'!$J$16)*'[5]Set Up'!$N$17+'[5]Set Up'!$O$15+'[5]Set Up'!$O$16,(AH8-'[5]Set Up'!$J$17)*'[5]Set Up'!$N$18 + SUM('[5]Set Up'!$O$15:'[5]Set Up'!$O$17)))))</f>
        <v>323.95818477500728</v>
      </c>
      <c r="AI13" s="26">
        <f>IF(AI8="","",IF(AI8&lt;'[5]Set Up'!$J$15,AI8*'[5]Set Up'!$N$15,IF(AI8&lt;'[5]Set Up'!$J$16,(AI8-'[5]Set Up'!$J$15)*'[5]Set Up'!$N$16+'[5]Set Up'!$O$15,IF(AI8&lt;'[5]Set Up'!$J$17,(AI8-'[5]Set Up'!$J$16)*'[5]Set Up'!$N$17+'[5]Set Up'!$O$15+'[5]Set Up'!$O$16,(AI8-'[5]Set Up'!$J$17)*'[5]Set Up'!$N$18 + SUM('[5]Set Up'!$O$15:'[5]Set Up'!$O$17)))))</f>
        <v>320.94203227484377</v>
      </c>
      <c r="AJ13" s="26">
        <f>IF(AJ8="","",IF(AJ8&lt;'[5]Set Up'!$J$15,AJ8*'[5]Set Up'!$N$15,IF(AJ8&lt;'[5]Set Up'!$J$16,(AJ8-'[5]Set Up'!$J$15)*'[5]Set Up'!$N$16+'[5]Set Up'!$O$15,IF(AJ8&lt;'[5]Set Up'!$J$17,(AJ8-'[5]Set Up'!$J$16)*'[5]Set Up'!$N$17+'[5]Set Up'!$O$15+'[5]Set Up'!$O$16,(AJ8-'[5]Set Up'!$J$17)*'[5]Set Up'!$N$18 + SUM('[5]Set Up'!$O$15:'[5]Set Up'!$O$17)))))</f>
        <v>317.94081122270086</v>
      </c>
      <c r="AK13" s="26">
        <f>IF(AK8="","",IF(AK8&lt;'[5]Set Up'!$J$15,AK8*'[5]Set Up'!$N$15,IF(AK8&lt;'[5]Set Up'!$J$16,(AK8-'[5]Set Up'!$J$15)*'[5]Set Up'!$N$16+'[5]Set Up'!$O$15,IF(AK8&lt;'[5]Set Up'!$J$17,(AK8-'[5]Set Up'!$J$16)*'[5]Set Up'!$N$17+'[5]Set Up'!$O$15+'[5]Set Up'!$O$16,(AK8-'[5]Set Up'!$J$17)*'[5]Set Up'!$N$18 + SUM('[5]Set Up'!$O$15:'[5]Set Up'!$O$17)))))</f>
        <v>314.9246587225374</v>
      </c>
      <c r="AL13" s="26">
        <f>IF(AL8="","",IF(AL8&lt;'[5]Set Up'!$J$15,AL8*'[5]Set Up'!$N$15,IF(AL8&lt;'[5]Set Up'!$J$16,(AL8-'[5]Set Up'!$J$15)*'[5]Set Up'!$N$16+'[5]Set Up'!$O$15,IF(AL8&lt;'[5]Set Up'!$J$17,(AL8-'[5]Set Up'!$J$16)*'[5]Set Up'!$N$17+'[5]Set Up'!$O$15+'[5]Set Up'!$O$16,(AL8-'[5]Set Up'!$J$17)*'[5]Set Up'!$N$18 + SUM('[5]Set Up'!$O$15:'[5]Set Up'!$O$17)))))</f>
        <v>311.90850622237389</v>
      </c>
      <c r="AM13" s="26">
        <f>IF(AM8="","",IF(AM8&lt;'[5]Set Up'!$J$15,AM8*'[5]Set Up'!$N$15,IF(AM8&lt;'[5]Set Up'!$J$16,(AM8-'[5]Set Up'!$J$15)*'[5]Set Up'!$N$16+'[5]Set Up'!$O$15,IF(AM8&lt;'[5]Set Up'!$J$17,(AM8-'[5]Set Up'!$J$16)*'[5]Set Up'!$N$17+'[5]Set Up'!$O$15+'[5]Set Up'!$O$16,(AM8-'[5]Set Up'!$J$17)*'[5]Set Up'!$N$18 + SUM('[5]Set Up'!$O$15:'[5]Set Up'!$O$17)))))</f>
        <v>308.90728517023098</v>
      </c>
      <c r="AN13" s="26">
        <f>IF(AN8="","",IF(AN8&lt;'[5]Set Up'!$J$15,AN8*'[5]Set Up'!$N$15,IF(AN8&lt;'[5]Set Up'!$J$16,(AN8-'[5]Set Up'!$J$15)*'[5]Set Up'!$N$16+'[5]Set Up'!$O$15,IF(AN8&lt;'[5]Set Up'!$J$17,(AN8-'[5]Set Up'!$J$16)*'[5]Set Up'!$N$17+'[5]Set Up'!$O$15+'[5]Set Up'!$O$16,(AN8-'[5]Set Up'!$J$17)*'[5]Set Up'!$N$18 + SUM('[5]Set Up'!$O$15:'[5]Set Up'!$O$17)))))</f>
        <v>305.89113267006746</v>
      </c>
      <c r="AO13" s="26">
        <f>IF(AO8="","",IF(AO8&lt;'[5]Set Up'!$J$15,AO8*'[5]Set Up'!$N$15,IF(AO8&lt;'[5]Set Up'!$J$16,(AO8-'[5]Set Up'!$J$15)*'[5]Set Up'!$N$16+'[5]Set Up'!$O$15,IF(AO8&lt;'[5]Set Up'!$J$17,(AO8-'[5]Set Up'!$J$16)*'[5]Set Up'!$N$17+'[5]Set Up'!$O$15+'[5]Set Up'!$O$16,(AO8-'[5]Set Up'!$J$17)*'[5]Set Up'!$N$18 + SUM('[5]Set Up'!$O$15:'[5]Set Up'!$O$17)))))</f>
        <v>302.88991161792461</v>
      </c>
      <c r="AP13" s="26">
        <f>IF(AP8="","",IF(AP8&lt;'[5]Set Up'!$J$15,AP8*'[5]Set Up'!$N$15,IF(AP8&lt;'[5]Set Up'!$J$16,(AP8-'[5]Set Up'!$J$15)*'[5]Set Up'!$N$16+'[5]Set Up'!$O$15,IF(AP8&lt;'[5]Set Up'!$J$17,(AP8-'[5]Set Up'!$J$16)*'[5]Set Up'!$N$17+'[5]Set Up'!$O$15+'[5]Set Up'!$O$16,(AP8-'[5]Set Up'!$J$17)*'[5]Set Up'!$N$18 + SUM('[5]Set Up'!$O$15:'[5]Set Up'!$O$17)))))</f>
        <v>299.8737591177611</v>
      </c>
      <c r="AQ13" s="26">
        <f>IF(AQ8="","",IF(AQ8&lt;'[5]Set Up'!$J$15,AQ8*'[5]Set Up'!$N$15,IF(AQ8&lt;'[5]Set Up'!$J$16,(AQ8-'[5]Set Up'!$J$15)*'[5]Set Up'!$N$16+'[5]Set Up'!$O$15,IF(AQ8&lt;'[5]Set Up'!$J$17,(AQ8-'[5]Set Up'!$J$16)*'[5]Set Up'!$N$17+'[5]Set Up'!$O$15+'[5]Set Up'!$O$16,(AQ8-'[5]Set Up'!$J$17)*'[5]Set Up'!$N$18 + SUM('[5]Set Up'!$O$15:'[5]Set Up'!$O$17)))))</f>
        <v>296.87253806561819</v>
      </c>
      <c r="AR13" s="26">
        <f>IF(AR8="","",IF(AR8&lt;'[5]Set Up'!$J$15,AR8*'[5]Set Up'!$N$15,IF(AR8&lt;'[5]Set Up'!$J$16,(AR8-'[5]Set Up'!$J$15)*'[5]Set Up'!$N$16+'[5]Set Up'!$O$15,IF(AR8&lt;'[5]Set Up'!$J$17,(AR8-'[5]Set Up'!$J$16)*'[5]Set Up'!$N$17+'[5]Set Up'!$O$15+'[5]Set Up'!$O$16,(AR8-'[5]Set Up'!$J$17)*'[5]Set Up'!$N$18 + SUM('[5]Set Up'!$O$15:'[5]Set Up'!$O$17)))))</f>
        <v>293.85638556545467</v>
      </c>
      <c r="AS13" s="26">
        <f>IF(AS8="","",IF(AS8&lt;'[5]Set Up'!$J$15,AS8*'[5]Set Up'!$N$15,IF(AS8&lt;'[5]Set Up'!$J$16,(AS8-'[5]Set Up'!$J$15)*'[5]Set Up'!$N$16+'[5]Set Up'!$O$15,IF(AS8&lt;'[5]Set Up'!$J$17,(AS8-'[5]Set Up'!$J$16)*'[5]Set Up'!$N$17+'[5]Set Up'!$O$15+'[5]Set Up'!$O$16,(AS8-'[5]Set Up'!$J$17)*'[5]Set Up'!$N$18 + SUM('[5]Set Up'!$O$15:'[5]Set Up'!$O$17)))))</f>
        <v>290.85516451331182</v>
      </c>
      <c r="AT13" s="26">
        <f>IF(AT8="","",IF(AT8&lt;'[5]Set Up'!$J$15,AT8*'[5]Set Up'!$N$15,IF(AT8&lt;'[5]Set Up'!$J$16,(AT8-'[5]Set Up'!$J$15)*'[5]Set Up'!$N$16+'[5]Set Up'!$O$15,IF(AT8&lt;'[5]Set Up'!$J$17,(AT8-'[5]Set Up'!$J$16)*'[5]Set Up'!$N$17+'[5]Set Up'!$O$15+'[5]Set Up'!$O$16,(AT8-'[5]Set Up'!$J$17)*'[5]Set Up'!$N$18 + SUM('[5]Set Up'!$O$15:'[5]Set Up'!$O$17)))))</f>
        <v>287.83901201314831</v>
      </c>
      <c r="AU13" s="26">
        <f>IF(AU8="","",IF(AU8&lt;'[5]Set Up'!$J$15,AU8*'[5]Set Up'!$N$15,IF(AU8&lt;'[5]Set Up'!$J$16,(AU8-'[5]Set Up'!$J$15)*'[5]Set Up'!$N$16+'[5]Set Up'!$O$15,IF(AU8&lt;'[5]Set Up'!$J$17,(AU8-'[5]Set Up'!$J$16)*'[5]Set Up'!$N$17+'[5]Set Up'!$O$15+'[5]Set Up'!$O$16,(AU8-'[5]Set Up'!$J$17)*'[5]Set Up'!$N$18 + SUM('[5]Set Up'!$O$15:'[5]Set Up'!$O$17)))))</f>
        <v>284.8377909610054</v>
      </c>
      <c r="AV13" s="26">
        <f>IF(AV8="","",IF(AV8&lt;'[5]Set Up'!$J$15,AV8*'[5]Set Up'!$N$15,IF(AV8&lt;'[5]Set Up'!$J$16,(AV8-'[5]Set Up'!$J$15)*'[5]Set Up'!$N$16+'[5]Set Up'!$O$15,IF(AV8&lt;'[5]Set Up'!$J$17,(AV8-'[5]Set Up'!$J$16)*'[5]Set Up'!$N$17+'[5]Set Up'!$O$15+'[5]Set Up'!$O$16,(AV8-'[5]Set Up'!$J$17)*'[5]Set Up'!$N$18 + SUM('[5]Set Up'!$O$15:'[5]Set Up'!$O$17)))))</f>
        <v>281.82163846084188</v>
      </c>
      <c r="AW13" s="26">
        <f>IF(AW8="","",IF(AW8&lt;'[5]Set Up'!$J$15,AW8*'[5]Set Up'!$N$15,IF(AW8&lt;'[5]Set Up'!$J$16,(AW8-'[5]Set Up'!$J$15)*'[5]Set Up'!$N$16+'[5]Set Up'!$O$15,IF(AW8&lt;'[5]Set Up'!$J$17,(AW8-'[5]Set Up'!$J$16)*'[5]Set Up'!$N$17+'[5]Set Up'!$O$15+'[5]Set Up'!$O$16,(AW8-'[5]Set Up'!$J$17)*'[5]Set Up'!$N$18 + SUM('[5]Set Up'!$O$15:'[5]Set Up'!$O$17)))))</f>
        <v>278.82041740869903</v>
      </c>
      <c r="AX13" s="26">
        <f>IF(AX8="","",IF(AX8&lt;'[5]Set Up'!$J$15,AX8*'[5]Set Up'!$N$15,IF(AX8&lt;'[5]Set Up'!$J$16,(AX8-'[5]Set Up'!$J$15)*'[5]Set Up'!$N$16+'[5]Set Up'!$O$15,IF(AX8&lt;'[5]Set Up'!$J$17,(AX8-'[5]Set Up'!$J$16)*'[5]Set Up'!$N$17+'[5]Set Up'!$O$15+'[5]Set Up'!$O$16,(AX8-'[5]Set Up'!$J$17)*'[5]Set Up'!$N$18 + SUM('[5]Set Up'!$O$15:'[5]Set Up'!$O$17)))))</f>
        <v>275.80426490853552</v>
      </c>
      <c r="AY13" s="26">
        <f>IF(AY8="","",IF(AY8&lt;'[5]Set Up'!$J$15,AY8*'[5]Set Up'!$N$15,IF(AY8&lt;'[5]Set Up'!$J$16,(AY8-'[5]Set Up'!$J$15)*'[5]Set Up'!$N$16+'[5]Set Up'!$O$15,IF(AY8&lt;'[5]Set Up'!$J$17,(AY8-'[5]Set Up'!$J$16)*'[5]Set Up'!$N$17+'[5]Set Up'!$O$15+'[5]Set Up'!$O$16,(AY8-'[5]Set Up'!$J$17)*'[5]Set Up'!$N$18 + SUM('[5]Set Up'!$O$15:'[5]Set Up'!$O$17)))))</f>
        <v>272.80304385639261</v>
      </c>
      <c r="AZ13" s="26">
        <f>IF(AZ8="","",IF(AZ8&lt;'[5]Set Up'!$J$15,AZ8*'[5]Set Up'!$N$15,IF(AZ8&lt;'[5]Set Up'!$J$16,(AZ8-'[5]Set Up'!$J$15)*'[5]Set Up'!$N$16+'[5]Set Up'!$O$15,IF(AZ8&lt;'[5]Set Up'!$J$17,(AZ8-'[5]Set Up'!$J$16)*'[5]Set Up'!$N$17+'[5]Set Up'!$O$15+'[5]Set Up'!$O$16,(AZ8-'[5]Set Up'!$J$17)*'[5]Set Up'!$N$18 + SUM('[5]Set Up'!$O$15:'[5]Set Up'!$O$17)))))</f>
        <v>269.78689135622915</v>
      </c>
      <c r="BA13" s="26">
        <f>IF(BA8="","",IF(BA8&lt;'[5]Set Up'!$J$15,BA8*'[5]Set Up'!$N$15,IF(BA8&lt;'[5]Set Up'!$J$16,(BA8-'[5]Set Up'!$J$15)*'[5]Set Up'!$N$16+'[5]Set Up'!$O$15,IF(BA8&lt;'[5]Set Up'!$J$17,(BA8-'[5]Set Up'!$J$16)*'[5]Set Up'!$N$17+'[5]Set Up'!$O$15+'[5]Set Up'!$O$16,(BA8-'[5]Set Up'!$J$17)*'[5]Set Up'!$N$18 + SUM('[5]Set Up'!$O$15:'[5]Set Up'!$O$17)))))</f>
        <v>266.78567030408624</v>
      </c>
      <c r="BB13" s="26">
        <f>IF(BB8="","",IF(BB8&lt;'[5]Set Up'!$J$15,BB8*'[5]Set Up'!$N$15,IF(BB8&lt;'[5]Set Up'!$J$16,(BB8-'[5]Set Up'!$J$15)*'[5]Set Up'!$N$16+'[5]Set Up'!$O$15,IF(BB8&lt;'[5]Set Up'!$J$17,(BB8-'[5]Set Up'!$J$16)*'[5]Set Up'!$N$17+'[5]Set Up'!$O$15+'[5]Set Up'!$O$16,(BB8-'[5]Set Up'!$J$17)*'[5]Set Up'!$N$18 + SUM('[5]Set Up'!$O$15:'[5]Set Up'!$O$17)))))</f>
        <v>263.76951780392272</v>
      </c>
      <c r="BC13" s="26">
        <f>IF(BC8="","",IF(BC8&lt;'[5]Set Up'!$J$15,BC8*'[5]Set Up'!$N$15,IF(BC8&lt;'[5]Set Up'!$J$16,(BC8-'[5]Set Up'!$J$15)*'[5]Set Up'!$N$16+'[5]Set Up'!$O$15,IF(BC8&lt;'[5]Set Up'!$J$17,(BC8-'[5]Set Up'!$J$16)*'[5]Set Up'!$N$17+'[5]Set Up'!$O$15+'[5]Set Up'!$O$16,(BC8-'[5]Set Up'!$J$17)*'[5]Set Up'!$N$18 + SUM('[5]Set Up'!$O$15:'[5]Set Up'!$O$17)))))</f>
        <v>260.76829675177987</v>
      </c>
      <c r="BD13" s="26">
        <f>IF(BD8="","",IF(BD8&lt;'[5]Set Up'!$J$15,BD8*'[5]Set Up'!$N$15,IF(BD8&lt;'[5]Set Up'!$J$16,(BD8-'[5]Set Up'!$J$15)*'[5]Set Up'!$N$16+'[5]Set Up'!$O$15,IF(BD8&lt;'[5]Set Up'!$J$17,(BD8-'[5]Set Up'!$J$16)*'[5]Set Up'!$N$17+'[5]Set Up'!$O$15+'[5]Set Up'!$O$16,(BD8-'[5]Set Up'!$J$17)*'[5]Set Up'!$N$18 + SUM('[5]Set Up'!$O$15:'[5]Set Up'!$O$17)))))</f>
        <v>0</v>
      </c>
      <c r="BE13" s="26">
        <f>IF(BE8="","",IF(BE8&lt;'[5]Set Up'!$J$15,BE8*'[5]Set Up'!$N$15,IF(BE8&lt;'[5]Set Up'!$J$16,(BE8-'[5]Set Up'!$J$15)*'[5]Set Up'!$N$16+'[5]Set Up'!$O$15,IF(BE8&lt;'[5]Set Up'!$J$17,(BE8-'[5]Set Up'!$J$16)*'[5]Set Up'!$N$17+'[5]Set Up'!$O$15+'[5]Set Up'!$O$16,(BE8-'[5]Set Up'!$J$17)*'[5]Set Up'!$N$18 + SUM('[5]Set Up'!$O$15:'[5]Set Up'!$O$17)))))</f>
        <v>0</v>
      </c>
      <c r="BF13" s="26">
        <f>IF(BF8="","",IF(BF8&lt;'[5]Set Up'!$J$15,BF8*'[5]Set Up'!$N$15,IF(BF8&lt;'[5]Set Up'!$J$16,(BF8-'[5]Set Up'!$J$15)*'[5]Set Up'!$N$16+'[5]Set Up'!$O$15,IF(BF8&lt;'[5]Set Up'!$J$17,(BF8-'[5]Set Up'!$J$16)*'[5]Set Up'!$N$17+'[5]Set Up'!$O$15+'[5]Set Up'!$O$16,(BF8-'[5]Set Up'!$J$17)*'[5]Set Up'!$N$18 + SUM('[5]Set Up'!$O$15:'[5]Set Up'!$O$17)))))</f>
        <v>0</v>
      </c>
      <c r="BG13" s="26">
        <f>IF(BG8="","",IF(BG8&lt;'[5]Set Up'!$J$15,BG8*'[5]Set Up'!$N$15,IF(BG8&lt;'[5]Set Up'!$J$16,(BG8-'[5]Set Up'!$J$15)*'[5]Set Up'!$N$16+'[5]Set Up'!$O$15,IF(BG8&lt;'[5]Set Up'!$J$17,(BG8-'[5]Set Up'!$J$16)*'[5]Set Up'!$N$17+'[5]Set Up'!$O$15+'[5]Set Up'!$O$16,(BG8-'[5]Set Up'!$J$17)*'[5]Set Up'!$N$18 + SUM('[5]Set Up'!$O$15:'[5]Set Up'!$O$17)))))</f>
        <v>0</v>
      </c>
      <c r="BH13" s="26">
        <f>IF(BH8="","",IF(BH8&lt;'[5]Set Up'!$J$15,BH8*'[5]Set Up'!$N$15,IF(BH8&lt;'[5]Set Up'!$J$16,(BH8-'[5]Set Up'!$J$15)*'[5]Set Up'!$N$16+'[5]Set Up'!$O$15,IF(BH8&lt;'[5]Set Up'!$J$17,(BH8-'[5]Set Up'!$J$16)*'[5]Set Up'!$N$17+'[5]Set Up'!$O$15+'[5]Set Up'!$O$16,(BH8-'[5]Set Up'!$J$17)*'[5]Set Up'!$N$18 + SUM('[5]Set Up'!$O$15:'[5]Set Up'!$O$17)))))</f>
        <v>0</v>
      </c>
      <c r="BI13" s="26">
        <f>IF(BI8="","",IF(BI8&lt;'[5]Set Up'!$J$15,BI8*'[5]Set Up'!$N$15,IF(BI8&lt;'[5]Set Up'!$J$16,(BI8-'[5]Set Up'!$J$15)*'[5]Set Up'!$N$16+'[5]Set Up'!$O$15,IF(BI8&lt;'[5]Set Up'!$J$17,(BI8-'[5]Set Up'!$J$16)*'[5]Set Up'!$N$17+'[5]Set Up'!$O$15+'[5]Set Up'!$O$16,(BI8-'[5]Set Up'!$J$17)*'[5]Set Up'!$N$18 + SUM('[5]Set Up'!$O$15:'[5]Set Up'!$O$17)))))</f>
        <v>0</v>
      </c>
      <c r="BJ13" s="26">
        <f>IF(BJ8="","",IF(BJ8&lt;'[5]Set Up'!$J$15,BJ8*'[5]Set Up'!$N$15,IF(BJ8&lt;'[5]Set Up'!$J$16,(BJ8-'[5]Set Up'!$J$15)*'[5]Set Up'!$N$16+'[5]Set Up'!$O$15,IF(BJ8&lt;'[5]Set Up'!$J$17,(BJ8-'[5]Set Up'!$J$16)*'[5]Set Up'!$N$17+'[5]Set Up'!$O$15+'[5]Set Up'!$O$16,(BJ8-'[5]Set Up'!$J$17)*'[5]Set Up'!$N$18 + SUM('[5]Set Up'!$O$15:'[5]Set Up'!$O$17)))))</f>
        <v>0</v>
      </c>
      <c r="BK13" s="26">
        <f>IF(BK8="","",IF(BK8&lt;'[5]Set Up'!$J$15,BK8*'[5]Set Up'!$N$15,IF(BK8&lt;'[5]Set Up'!$J$16,(BK8-'[5]Set Up'!$J$15)*'[5]Set Up'!$N$16+'[5]Set Up'!$O$15,IF(BK8&lt;'[5]Set Up'!$J$17,(BK8-'[5]Set Up'!$J$16)*'[5]Set Up'!$N$17+'[5]Set Up'!$O$15+'[5]Set Up'!$O$16,(BK8-'[5]Set Up'!$J$17)*'[5]Set Up'!$N$18 + SUM('[5]Set Up'!$O$15:'[5]Set Up'!$O$17)))))</f>
        <v>0</v>
      </c>
      <c r="BL13" s="26">
        <f>IF(BL8="","",IF(BL8&lt;'[5]Set Up'!$J$15,BL8*'[5]Set Up'!$N$15,IF(BL8&lt;'[5]Set Up'!$J$16,(BL8-'[5]Set Up'!$J$15)*'[5]Set Up'!$N$16+'[5]Set Up'!$O$15,IF(BL8&lt;'[5]Set Up'!$J$17,(BL8-'[5]Set Up'!$J$16)*'[5]Set Up'!$N$17+'[5]Set Up'!$O$15+'[5]Set Up'!$O$16,(BL8-'[5]Set Up'!$J$17)*'[5]Set Up'!$N$18 + SUM('[5]Set Up'!$O$15:'[5]Set Up'!$O$17)))))</f>
        <v>0</v>
      </c>
      <c r="BM13" s="26">
        <f>IF(BM8="","",IF(BM8&lt;'[5]Set Up'!$J$15,BM8*'[5]Set Up'!$N$15,IF(BM8&lt;'[5]Set Up'!$J$16,(BM8-'[5]Set Up'!$J$15)*'[5]Set Up'!$N$16+'[5]Set Up'!$O$15,IF(BM8&lt;'[5]Set Up'!$J$17,(BM8-'[5]Set Up'!$J$16)*'[5]Set Up'!$N$17+'[5]Set Up'!$O$15+'[5]Set Up'!$O$16,(BM8-'[5]Set Up'!$J$17)*'[5]Set Up'!$N$18 + SUM('[5]Set Up'!$O$15:'[5]Set Up'!$O$17)))))</f>
        <v>0</v>
      </c>
      <c r="BN13" s="26">
        <f>IF(BN8="","",IF(BN8&lt;'[5]Set Up'!$J$15,BN8*'[5]Set Up'!$N$15,IF(BN8&lt;'[5]Set Up'!$J$16,(BN8-'[5]Set Up'!$J$15)*'[5]Set Up'!$N$16+'[5]Set Up'!$O$15,IF(BN8&lt;'[5]Set Up'!$J$17,(BN8-'[5]Set Up'!$J$16)*'[5]Set Up'!$N$17+'[5]Set Up'!$O$15+'[5]Set Up'!$O$16,(BN8-'[5]Set Up'!$J$17)*'[5]Set Up'!$N$18 + SUM('[5]Set Up'!$O$15:'[5]Set Up'!$O$17)))))</f>
        <v>0</v>
      </c>
      <c r="BO13" s="26">
        <f>IF(BO8="","",IF(BO8&lt;'[5]Set Up'!$J$15,BO8*'[5]Set Up'!$N$15,IF(BO8&lt;'[5]Set Up'!$J$16,(BO8-'[5]Set Up'!$J$15)*'[5]Set Up'!$N$16+'[5]Set Up'!$O$15,IF(BO8&lt;'[5]Set Up'!$J$17,(BO8-'[5]Set Up'!$J$16)*'[5]Set Up'!$N$17+'[5]Set Up'!$O$15+'[5]Set Up'!$O$16,(BO8-'[5]Set Up'!$J$17)*'[5]Set Up'!$N$18 + SUM('[5]Set Up'!$O$15:'[5]Set Up'!$O$17)))))</f>
        <v>0</v>
      </c>
      <c r="BP13" s="26">
        <f>IF(BP8="","",IF(BP8&lt;'[5]Set Up'!$J$15,BP8*'[5]Set Up'!$N$15,IF(BP8&lt;'[5]Set Up'!$J$16,(BP8-'[5]Set Up'!$J$15)*'[5]Set Up'!$N$16+'[5]Set Up'!$O$15,IF(BP8&lt;'[5]Set Up'!$J$17,(BP8-'[5]Set Up'!$J$16)*'[5]Set Up'!$N$17+'[5]Set Up'!$O$15+'[5]Set Up'!$O$16,(BP8-'[5]Set Up'!$J$17)*'[5]Set Up'!$N$18 + SUM('[5]Set Up'!$O$15:'[5]Set Up'!$O$17)))))</f>
        <v>0</v>
      </c>
      <c r="BQ13" s="26">
        <f>IF(BQ8="","",IF(BQ8&lt;'[5]Set Up'!$J$15,BQ8*'[5]Set Up'!$N$15,IF(BQ8&lt;'[5]Set Up'!$J$16,(BQ8-'[5]Set Up'!$J$15)*'[5]Set Up'!$N$16+'[5]Set Up'!$O$15,IF(BQ8&lt;'[5]Set Up'!$J$17,(BQ8-'[5]Set Up'!$J$16)*'[5]Set Up'!$N$17+'[5]Set Up'!$O$15+'[5]Set Up'!$O$16,(BQ8-'[5]Set Up'!$J$17)*'[5]Set Up'!$N$18 + SUM('[5]Set Up'!$O$15:'[5]Set Up'!$O$17)))))</f>
        <v>0</v>
      </c>
      <c r="BR13" s="26">
        <f>IF(BR8="","",IF(BR8&lt;'[5]Set Up'!$J$15,BR8*'[5]Set Up'!$N$15,IF(BR8&lt;'[5]Set Up'!$J$16,(BR8-'[5]Set Up'!$J$15)*'[5]Set Up'!$N$16+'[5]Set Up'!$O$15,IF(BR8&lt;'[5]Set Up'!$J$17,(BR8-'[5]Set Up'!$J$16)*'[5]Set Up'!$N$17+'[5]Set Up'!$O$15+'[5]Set Up'!$O$16,(BR8-'[5]Set Up'!$J$17)*'[5]Set Up'!$N$18 + SUM('[5]Set Up'!$O$15:'[5]Set Up'!$O$17)))))</f>
        <v>0</v>
      </c>
      <c r="BS13" s="26">
        <f>IF(BS8="","",IF(BS8&lt;'[5]Set Up'!$J$15,BS8*'[5]Set Up'!$N$15,IF(BS8&lt;'[5]Set Up'!$J$16,(BS8-'[5]Set Up'!$J$15)*'[5]Set Up'!$N$16+'[5]Set Up'!$O$15,IF(BS8&lt;'[5]Set Up'!$J$17,(BS8-'[5]Set Up'!$J$16)*'[5]Set Up'!$N$17+'[5]Set Up'!$O$15+'[5]Set Up'!$O$16,(BS8-'[5]Set Up'!$J$17)*'[5]Set Up'!$N$18 + SUM('[5]Set Up'!$O$15:'[5]Set Up'!$O$17)))))</f>
        <v>0</v>
      </c>
      <c r="BT13" s="26">
        <f>IF(BT8="","",IF(BT8&lt;'[5]Set Up'!$J$15,BT8*'[5]Set Up'!$N$15,IF(BT8&lt;'[5]Set Up'!$J$16,(BT8-'[5]Set Up'!$J$15)*'[5]Set Up'!$N$16+'[5]Set Up'!$O$15,IF(BT8&lt;'[5]Set Up'!$J$17,(BT8-'[5]Set Up'!$J$16)*'[5]Set Up'!$N$17+'[5]Set Up'!$O$15+'[5]Set Up'!$O$16,(BT8-'[5]Set Up'!$J$17)*'[5]Set Up'!$N$18 + SUM('[5]Set Up'!$O$15:'[5]Set Up'!$O$17)))))</f>
        <v>0</v>
      </c>
      <c r="BU13" s="26">
        <f>IF(BU8="","",IF(BU8&lt;'[5]Set Up'!$J$15,BU8*'[5]Set Up'!$N$15,IF(BU8&lt;'[5]Set Up'!$J$16,(BU8-'[5]Set Up'!$J$15)*'[5]Set Up'!$N$16+'[5]Set Up'!$O$15,IF(BU8&lt;'[5]Set Up'!$J$17,(BU8-'[5]Set Up'!$J$16)*'[5]Set Up'!$N$17+'[5]Set Up'!$O$15+'[5]Set Up'!$O$16,(BU8-'[5]Set Up'!$J$17)*'[5]Set Up'!$N$18 + SUM('[5]Set Up'!$O$15:'[5]Set Up'!$O$17)))))</f>
        <v>0</v>
      </c>
      <c r="BV13" s="26">
        <f>IF(BV8="","",IF(BV8&lt;'[5]Set Up'!$J$15,BV8*'[5]Set Up'!$N$15,IF(BV8&lt;'[5]Set Up'!$J$16,(BV8-'[5]Set Up'!$J$15)*'[5]Set Up'!$N$16+'[5]Set Up'!$O$15,IF(BV8&lt;'[5]Set Up'!$J$17,(BV8-'[5]Set Up'!$J$16)*'[5]Set Up'!$N$17+'[5]Set Up'!$O$15+'[5]Set Up'!$O$16,(BV8-'[5]Set Up'!$J$17)*'[5]Set Up'!$N$18 + SUM('[5]Set Up'!$O$15:'[5]Set Up'!$O$17)))))</f>
        <v>0</v>
      </c>
      <c r="BW13" s="26">
        <f>IF(BW8="","",IF(BW8&lt;'[5]Set Up'!$J$15,BW8*'[5]Set Up'!$N$15,IF(BW8&lt;'[5]Set Up'!$J$16,(BW8-'[5]Set Up'!$J$15)*'[5]Set Up'!$N$16+'[5]Set Up'!$O$15,IF(BW8&lt;'[5]Set Up'!$J$17,(BW8-'[5]Set Up'!$J$16)*'[5]Set Up'!$N$17+'[5]Set Up'!$O$15+'[5]Set Up'!$O$16,(BW8-'[5]Set Up'!$J$17)*'[5]Set Up'!$N$18 + SUM('[5]Set Up'!$O$15:'[5]Set Up'!$O$17)))))</f>
        <v>0</v>
      </c>
      <c r="BX13" s="26">
        <f>IF(BX8="","",IF(BX8&lt;'[5]Set Up'!$J$15,BX8*'[5]Set Up'!$N$15,IF(BX8&lt;'[5]Set Up'!$J$16,(BX8-'[5]Set Up'!$J$15)*'[5]Set Up'!$N$16+'[5]Set Up'!$O$15,IF(BX8&lt;'[5]Set Up'!$J$17,(BX8-'[5]Set Up'!$J$16)*'[5]Set Up'!$N$17+'[5]Set Up'!$O$15+'[5]Set Up'!$O$16,(BX8-'[5]Set Up'!$J$17)*'[5]Set Up'!$N$18 + SUM('[5]Set Up'!$O$15:'[5]Set Up'!$O$17)))))</f>
        <v>0</v>
      </c>
      <c r="BY13" s="26">
        <f>IF(BY8="","",IF(BY8&lt;'[5]Set Up'!$J$15,BY8*'[5]Set Up'!$N$15,IF(BY8&lt;'[5]Set Up'!$J$16,(BY8-'[5]Set Up'!$J$15)*'[5]Set Up'!$N$16+'[5]Set Up'!$O$15,IF(BY8&lt;'[5]Set Up'!$J$17,(BY8-'[5]Set Up'!$J$16)*'[5]Set Up'!$N$17+'[5]Set Up'!$O$15+'[5]Set Up'!$O$16,(BY8-'[5]Set Up'!$J$17)*'[5]Set Up'!$N$18 + SUM('[5]Set Up'!$O$15:'[5]Set Up'!$O$17)))))</f>
        <v>0</v>
      </c>
      <c r="BZ13" s="8"/>
    </row>
    <row r="14" spans="1:78" x14ac:dyDescent="0.35">
      <c r="A14" s="27" t="s">
        <v>21</v>
      </c>
      <c r="B14" s="195"/>
      <c r="C14" s="28">
        <f>IF(C9="","",IF(C9&lt;'[5]Set Up'!$J$15,C9*'[5]Set Up'!$N$15,IF(C9&lt;'[5]Set Up'!$J$16,(C9-'[5]Set Up'!$J$15)*'[5]Set Up'!$N$16+'[5]Set Up'!$O$15,IF(C9&lt;'[5]Set Up'!$J$17,(C9-'[5]Set Up'!$J$16)*'[5]Set Up'!$N$17+'[5]Set Up'!$O$15+'[5]Set Up'!$O$16,(C9-'[5]Set Up'!$J$17)*'[5]Set Up'!$N$18 + SUM('[5]Set Up'!$O$15:'[5]Set Up'!$O$17)))))</f>
        <v>419.65383513910569</v>
      </c>
      <c r="D14" s="28">
        <f>IF(D9="","",IF(D9&lt;'[5]Set Up'!$J$15,D9*'[5]Set Up'!$N$15,IF(D9&lt;'[5]Set Up'!$J$16,(D9-'[5]Set Up'!$J$15)*'[5]Set Up'!$N$16+'[5]Set Up'!$O$15,IF(D9&lt;'[5]Set Up'!$J$17,(D9-'[5]Set Up'!$J$16)*'[5]Set Up'!$N$17+'[5]Set Up'!$O$15+'[5]Set Up'!$O$16,(D9-'[5]Set Up'!$J$17)*'[5]Set Up'!$N$18 + SUM('[5]Set Up'!$O$15:'[5]Set Up'!$O$17)))))</f>
        <v>416.65261408696279</v>
      </c>
      <c r="E14" s="28">
        <f>IF(E9="","",IF(E9&lt;'[5]Set Up'!$J$15,E9*'[5]Set Up'!$N$15,IF(E9&lt;'[5]Set Up'!$J$16,(E9-'[5]Set Up'!$J$15)*'[5]Set Up'!$N$16+'[5]Set Up'!$O$15,IF(E9&lt;'[5]Set Up'!$J$17,(E9-'[5]Set Up'!$J$16)*'[5]Set Up'!$N$17+'[5]Set Up'!$O$15+'[5]Set Up'!$O$16,(E9-'[5]Set Up'!$J$17)*'[5]Set Up'!$N$18 + SUM('[5]Set Up'!$O$15:'[5]Set Up'!$O$17)))))</f>
        <v>413.63646158679933</v>
      </c>
      <c r="F14" s="28">
        <f>IF(F9="","",IF(F9&lt;'[5]Set Up'!$J$15,F9*'[5]Set Up'!$N$15,IF(F9&lt;'[5]Set Up'!$J$16,(F9-'[5]Set Up'!$J$15)*'[5]Set Up'!$N$16+'[5]Set Up'!$O$15,IF(F9&lt;'[5]Set Up'!$J$17,(F9-'[5]Set Up'!$J$16)*'[5]Set Up'!$N$17+'[5]Set Up'!$O$15+'[5]Set Up'!$O$16,(F9-'[5]Set Up'!$J$17)*'[5]Set Up'!$N$18 + SUM('[5]Set Up'!$O$15:'[5]Set Up'!$O$17)))))</f>
        <v>410.62030908663581</v>
      </c>
      <c r="G14" s="28">
        <f>IF(G9="","",IF(G9&lt;'[5]Set Up'!$J$15,G9*'[5]Set Up'!$N$15,IF(G9&lt;'[5]Set Up'!$J$16,(G9-'[5]Set Up'!$J$15)*'[5]Set Up'!$N$16+'[5]Set Up'!$O$15,IF(G9&lt;'[5]Set Up'!$J$17,(G9-'[5]Set Up'!$J$16)*'[5]Set Up'!$N$17+'[5]Set Up'!$O$15+'[5]Set Up'!$O$16,(G9-'[5]Set Up'!$J$17)*'[5]Set Up'!$N$18 + SUM('[5]Set Up'!$O$15:'[5]Set Up'!$O$17)))))</f>
        <v>407.6190880344929</v>
      </c>
      <c r="H14" s="28">
        <f>IF(H9="","",IF(H9&lt;'[5]Set Up'!$J$15,H9*'[5]Set Up'!$N$15,IF(H9&lt;'[5]Set Up'!$J$16,(H9-'[5]Set Up'!$J$15)*'[5]Set Up'!$N$16+'[5]Set Up'!$O$15,IF(H9&lt;'[5]Set Up'!$J$17,(H9-'[5]Set Up'!$J$16)*'[5]Set Up'!$N$17+'[5]Set Up'!$O$15+'[5]Set Up'!$O$16,(H9-'[5]Set Up'!$J$17)*'[5]Set Up'!$N$18 + SUM('[5]Set Up'!$O$15:'[5]Set Up'!$O$17)))))</f>
        <v>404.60293553432939</v>
      </c>
      <c r="I14" s="28">
        <f>IF(I9="","",IF(I9&lt;'[5]Set Up'!$J$15,I9*'[5]Set Up'!$N$15,IF(I9&lt;'[5]Set Up'!$J$16,(I9-'[5]Set Up'!$J$15)*'[5]Set Up'!$N$16+'[5]Set Up'!$O$15,IF(I9&lt;'[5]Set Up'!$J$17,(I9-'[5]Set Up'!$J$16)*'[5]Set Up'!$N$17+'[5]Set Up'!$O$15+'[5]Set Up'!$O$16,(I9-'[5]Set Up'!$J$17)*'[5]Set Up'!$N$18 + SUM('[5]Set Up'!$O$15:'[5]Set Up'!$O$17)))))</f>
        <v>401.60171448218648</v>
      </c>
      <c r="J14" s="28">
        <f>IF(J9="","",IF(J9&lt;'[5]Set Up'!$J$15,J9*'[5]Set Up'!$N$15,IF(J9&lt;'[5]Set Up'!$J$16,(J9-'[5]Set Up'!$J$15)*'[5]Set Up'!$N$16+'[5]Set Up'!$O$15,IF(J9&lt;'[5]Set Up'!$J$17,(J9-'[5]Set Up'!$J$16)*'[5]Set Up'!$N$17+'[5]Set Up'!$O$15+'[5]Set Up'!$O$16,(J9-'[5]Set Up'!$J$17)*'[5]Set Up'!$N$18 + SUM('[5]Set Up'!$O$15:'[5]Set Up'!$O$17)))))</f>
        <v>398.58556198202302</v>
      </c>
      <c r="K14" s="28">
        <f>IF(K9="","",IF(K9&lt;'[5]Set Up'!$J$15,K9*'[5]Set Up'!$N$15,IF(K9&lt;'[5]Set Up'!$J$16,(K9-'[5]Set Up'!$J$15)*'[5]Set Up'!$N$16+'[5]Set Up'!$O$15,IF(K9&lt;'[5]Set Up'!$J$17,(K9-'[5]Set Up'!$J$16)*'[5]Set Up'!$N$17+'[5]Set Up'!$O$15+'[5]Set Up'!$O$16,(K9-'[5]Set Up'!$J$17)*'[5]Set Up'!$N$18 + SUM('[5]Set Up'!$O$15:'[5]Set Up'!$O$17)))))</f>
        <v>395.58434092988011</v>
      </c>
      <c r="L14" s="28">
        <f>IF(L9="","",IF(L9&lt;'[5]Set Up'!$J$15,L9*'[5]Set Up'!$N$15,IF(L9&lt;'[5]Set Up'!$J$16,(L9-'[5]Set Up'!$J$15)*'[5]Set Up'!$N$16+'[5]Set Up'!$O$15,IF(L9&lt;'[5]Set Up'!$J$17,(L9-'[5]Set Up'!$J$16)*'[5]Set Up'!$N$17+'[5]Set Up'!$O$15+'[5]Set Up'!$O$16,(L9-'[5]Set Up'!$J$17)*'[5]Set Up'!$N$18 + SUM('[5]Set Up'!$O$15:'[5]Set Up'!$O$17)))))</f>
        <v>392.56818842971666</v>
      </c>
      <c r="M14" s="28">
        <f>IF(M9="","",IF(M9&lt;'[5]Set Up'!$J$15,M9*'[5]Set Up'!$N$15,IF(M9&lt;'[5]Set Up'!$J$16,(M9-'[5]Set Up'!$J$15)*'[5]Set Up'!$N$16+'[5]Set Up'!$O$15,IF(M9&lt;'[5]Set Up'!$J$17,(M9-'[5]Set Up'!$J$16)*'[5]Set Up'!$N$17+'[5]Set Up'!$O$15+'[5]Set Up'!$O$16,(M9-'[5]Set Up'!$J$17)*'[5]Set Up'!$N$18 + SUM('[5]Set Up'!$O$15:'[5]Set Up'!$O$17)))))</f>
        <v>389.56696737757375</v>
      </c>
      <c r="N14" s="28">
        <f>IF(N9="","",IF(N9&lt;'[5]Set Up'!$J$15,N9*'[5]Set Up'!$N$15,IF(N9&lt;'[5]Set Up'!$J$16,(N9-'[5]Set Up'!$J$15)*'[5]Set Up'!$N$16+'[5]Set Up'!$O$15,IF(N9&lt;'[5]Set Up'!$J$17,(N9-'[5]Set Up'!$J$16)*'[5]Set Up'!$N$17+'[5]Set Up'!$O$15+'[5]Set Up'!$O$16,(N9-'[5]Set Up'!$J$17)*'[5]Set Up'!$N$18 + SUM('[5]Set Up'!$O$15:'[5]Set Up'!$O$17)))))</f>
        <v>386.55081487741023</v>
      </c>
      <c r="O14" s="28">
        <f>IF(O9="","",IF(O9&lt;'[5]Set Up'!$J$15,O9*'[5]Set Up'!$N$15,IF(O9&lt;'[5]Set Up'!$J$16,(O9-'[5]Set Up'!$J$15)*'[5]Set Up'!$N$16+'[5]Set Up'!$O$15,IF(O9&lt;'[5]Set Up'!$J$17,(O9-'[5]Set Up'!$J$16)*'[5]Set Up'!$N$17+'[5]Set Up'!$O$15+'[5]Set Up'!$O$16,(O9-'[5]Set Up'!$J$17)*'[5]Set Up'!$N$18 + SUM('[5]Set Up'!$O$15:'[5]Set Up'!$O$17)))))</f>
        <v>383.54959382526738</v>
      </c>
      <c r="P14" s="28">
        <f>IF(P9="","",IF(P9&lt;'[5]Set Up'!$J$15,P9*'[5]Set Up'!$N$15,IF(P9&lt;'[5]Set Up'!$J$16,(P9-'[5]Set Up'!$J$15)*'[5]Set Up'!$N$16+'[5]Set Up'!$O$15,IF(P9&lt;'[5]Set Up'!$J$17,(P9-'[5]Set Up'!$J$16)*'[5]Set Up'!$N$17+'[5]Set Up'!$O$15+'[5]Set Up'!$O$16,(P9-'[5]Set Up'!$J$17)*'[5]Set Up'!$N$18 + SUM('[5]Set Up'!$O$15:'[5]Set Up'!$O$17)))))</f>
        <v>380.53344132510381</v>
      </c>
      <c r="Q14" s="28">
        <f>IF(Q9="","",IF(Q9&lt;'[5]Set Up'!$J$15,Q9*'[5]Set Up'!$N$15,IF(Q9&lt;'[5]Set Up'!$J$16,(Q9-'[5]Set Up'!$J$15)*'[5]Set Up'!$N$16+'[5]Set Up'!$O$15,IF(Q9&lt;'[5]Set Up'!$J$17,(Q9-'[5]Set Up'!$J$16)*'[5]Set Up'!$N$17+'[5]Set Up'!$O$15+'[5]Set Up'!$O$16,(Q9-'[5]Set Up'!$J$17)*'[5]Set Up'!$N$18 + SUM('[5]Set Up'!$O$15:'[5]Set Up'!$O$17)))))</f>
        <v>377.53222027296096</v>
      </c>
      <c r="R14" s="28">
        <f>IF(R9="","",IF(R9&lt;'[5]Set Up'!$J$15,R9*'[5]Set Up'!$N$15,IF(R9&lt;'[5]Set Up'!$J$16,(R9-'[5]Set Up'!$J$15)*'[5]Set Up'!$N$16+'[5]Set Up'!$O$15,IF(R9&lt;'[5]Set Up'!$J$17,(R9-'[5]Set Up'!$J$16)*'[5]Set Up'!$N$17+'[5]Set Up'!$O$15+'[5]Set Up'!$O$16,(R9-'[5]Set Up'!$J$17)*'[5]Set Up'!$N$18 + SUM('[5]Set Up'!$O$15:'[5]Set Up'!$O$17)))))</f>
        <v>374.51606777279744</v>
      </c>
      <c r="S14" s="28">
        <f>IF(S9="","",IF(S9&lt;'[5]Set Up'!$J$15,S9*'[5]Set Up'!$N$15,IF(S9&lt;'[5]Set Up'!$J$16,(S9-'[5]Set Up'!$J$15)*'[5]Set Up'!$N$16+'[5]Set Up'!$O$15,IF(S9&lt;'[5]Set Up'!$J$17,(S9-'[5]Set Up'!$J$16)*'[5]Set Up'!$N$17+'[5]Set Up'!$O$15+'[5]Set Up'!$O$16,(S9-'[5]Set Up'!$J$17)*'[5]Set Up'!$N$18 + SUM('[5]Set Up'!$O$15:'[5]Set Up'!$O$17)))))</f>
        <v>371.51484672065453</v>
      </c>
      <c r="T14" s="28">
        <f>IF(T9="","",IF(T9&lt;'[5]Set Up'!$J$15,T9*'[5]Set Up'!$N$15,IF(T9&lt;'[5]Set Up'!$J$16,(T9-'[5]Set Up'!$J$15)*'[5]Set Up'!$N$16+'[5]Set Up'!$O$15,IF(T9&lt;'[5]Set Up'!$J$17,(T9-'[5]Set Up'!$J$16)*'[5]Set Up'!$N$17+'[5]Set Up'!$O$15+'[5]Set Up'!$O$16,(T9-'[5]Set Up'!$J$17)*'[5]Set Up'!$N$18 + SUM('[5]Set Up'!$O$15:'[5]Set Up'!$O$17)))))</f>
        <v>368.49869422049107</v>
      </c>
      <c r="U14" s="28">
        <f>IF(U9="","",IF(U9&lt;'[5]Set Up'!$J$15,U9*'[5]Set Up'!$N$15,IF(U9&lt;'[5]Set Up'!$J$16,(U9-'[5]Set Up'!$J$15)*'[5]Set Up'!$N$16+'[5]Set Up'!$O$15,IF(U9&lt;'[5]Set Up'!$J$17,(U9-'[5]Set Up'!$J$16)*'[5]Set Up'!$N$17+'[5]Set Up'!$O$15+'[5]Set Up'!$O$16,(U9-'[5]Set Up'!$J$17)*'[5]Set Up'!$N$18 + SUM('[5]Set Up'!$O$15:'[5]Set Up'!$O$17)))))</f>
        <v>365.49747316834817</v>
      </c>
      <c r="V14" s="28">
        <f>IF(V9="","",IF(V9&lt;'[5]Set Up'!$J$15,V9*'[5]Set Up'!$N$15,IF(V9&lt;'[5]Set Up'!$J$16,(V9-'[5]Set Up'!$J$15)*'[5]Set Up'!$N$16+'[5]Set Up'!$O$15,IF(V9&lt;'[5]Set Up'!$J$17,(V9-'[5]Set Up'!$J$16)*'[5]Set Up'!$N$17+'[5]Set Up'!$O$15+'[5]Set Up'!$O$16,(V9-'[5]Set Up'!$J$17)*'[5]Set Up'!$N$18 + SUM('[5]Set Up'!$O$15:'[5]Set Up'!$O$17)))))</f>
        <v>362.48132066818465</v>
      </c>
      <c r="W14" s="28">
        <f>IF(W9="","",IF(W9&lt;'[5]Set Up'!$J$15,W9*'[5]Set Up'!$N$15,IF(W9&lt;'[5]Set Up'!$J$16,(W9-'[5]Set Up'!$J$15)*'[5]Set Up'!$N$16+'[5]Set Up'!$O$15,IF(W9&lt;'[5]Set Up'!$J$17,(W9-'[5]Set Up'!$J$16)*'[5]Set Up'!$N$17+'[5]Set Up'!$O$15+'[5]Set Up'!$O$16,(W9-'[5]Set Up'!$J$17)*'[5]Set Up'!$N$18 + SUM('[5]Set Up'!$O$15:'[5]Set Up'!$O$17)))))</f>
        <v>359.4800996160418</v>
      </c>
      <c r="X14" s="28">
        <f>IF(X9="","",IF(X9&lt;'[5]Set Up'!$J$15,X9*'[5]Set Up'!$N$15,IF(X9&lt;'[5]Set Up'!$J$16,(X9-'[5]Set Up'!$J$15)*'[5]Set Up'!$N$16+'[5]Set Up'!$O$15,IF(X9&lt;'[5]Set Up'!$J$17,(X9-'[5]Set Up'!$J$16)*'[5]Set Up'!$N$17+'[5]Set Up'!$O$15+'[5]Set Up'!$O$16,(X9-'[5]Set Up'!$J$17)*'[5]Set Up'!$N$18 + SUM('[5]Set Up'!$O$15:'[5]Set Up'!$O$17)))))</f>
        <v>356.46394711587828</v>
      </c>
      <c r="Y14" s="28">
        <f>IF(Y9="","",IF(Y9&lt;'[5]Set Up'!$J$15,Y9*'[5]Set Up'!$N$15,IF(Y9&lt;'[5]Set Up'!$J$16,(Y9-'[5]Set Up'!$J$15)*'[5]Set Up'!$N$16+'[5]Set Up'!$O$15,IF(Y9&lt;'[5]Set Up'!$J$17,(Y9-'[5]Set Up'!$J$16)*'[5]Set Up'!$N$17+'[5]Set Up'!$O$15+'[5]Set Up'!$O$16,(Y9-'[5]Set Up'!$J$17)*'[5]Set Up'!$N$18 + SUM('[5]Set Up'!$O$15:'[5]Set Up'!$O$17)))))</f>
        <v>353.46272606373537</v>
      </c>
      <c r="Z14" s="28">
        <f>IF(Z9="","",IF(Z9&lt;'[5]Set Up'!$J$15,Z9*'[5]Set Up'!$N$15,IF(Z9&lt;'[5]Set Up'!$J$16,(Z9-'[5]Set Up'!$J$15)*'[5]Set Up'!$N$16+'[5]Set Up'!$O$15,IF(Z9&lt;'[5]Set Up'!$J$17,(Z9-'[5]Set Up'!$J$16)*'[5]Set Up'!$N$17+'[5]Set Up'!$O$15+'[5]Set Up'!$O$16,(Z9-'[5]Set Up'!$J$17)*'[5]Set Up'!$N$18 + SUM('[5]Set Up'!$O$15:'[5]Set Up'!$O$17)))))</f>
        <v>350.44657356357186</v>
      </c>
      <c r="AA14" s="28">
        <f>IF(AA9="","",IF(AA9&lt;'[5]Set Up'!$J$15,AA9*'[5]Set Up'!$N$15,IF(AA9&lt;'[5]Set Up'!$J$16,(AA9-'[5]Set Up'!$J$15)*'[5]Set Up'!$N$16+'[5]Set Up'!$O$15,IF(AA9&lt;'[5]Set Up'!$J$17,(AA9-'[5]Set Up'!$J$16)*'[5]Set Up'!$N$17+'[5]Set Up'!$O$15+'[5]Set Up'!$O$16,(AA9-'[5]Set Up'!$J$17)*'[5]Set Up'!$N$18 + SUM('[5]Set Up'!$O$15:'[5]Set Up'!$O$17)))))</f>
        <v>347.44535251142901</v>
      </c>
      <c r="AB14" s="28">
        <f>IF(AB9="","",IF(AB9&lt;'[5]Set Up'!$J$15,AB9*'[5]Set Up'!$N$15,IF(AB9&lt;'[5]Set Up'!$J$16,(AB9-'[5]Set Up'!$J$15)*'[5]Set Up'!$N$16+'[5]Set Up'!$O$15,IF(AB9&lt;'[5]Set Up'!$J$17,(AB9-'[5]Set Up'!$J$16)*'[5]Set Up'!$N$17+'[5]Set Up'!$O$15+'[5]Set Up'!$O$16,(AB9-'[5]Set Up'!$J$17)*'[5]Set Up'!$N$18 + SUM('[5]Set Up'!$O$15:'[5]Set Up'!$O$17)))))</f>
        <v>344.42920001126549</v>
      </c>
      <c r="AC14" s="28">
        <f>IF(AC9="","",IF(AC9&lt;'[5]Set Up'!$J$15,AC9*'[5]Set Up'!$N$15,IF(AC9&lt;'[5]Set Up'!$J$16,(AC9-'[5]Set Up'!$J$15)*'[5]Set Up'!$N$16+'[5]Set Up'!$O$15,IF(AC9&lt;'[5]Set Up'!$J$17,(AC9-'[5]Set Up'!$J$16)*'[5]Set Up'!$N$17+'[5]Set Up'!$O$15+'[5]Set Up'!$O$16,(AC9-'[5]Set Up'!$J$17)*'[5]Set Up'!$N$18 + SUM('[5]Set Up'!$O$15:'[5]Set Up'!$O$17)))))</f>
        <v>341.42797895912258</v>
      </c>
      <c r="AD14" s="28">
        <f>IF(AD9="","",IF(AD9&lt;'[5]Set Up'!$J$15,AD9*'[5]Set Up'!$N$15,IF(AD9&lt;'[5]Set Up'!$J$16,(AD9-'[5]Set Up'!$J$15)*'[5]Set Up'!$N$16+'[5]Set Up'!$O$15,IF(AD9&lt;'[5]Set Up'!$J$17,(AD9-'[5]Set Up'!$J$16)*'[5]Set Up'!$N$17+'[5]Set Up'!$O$15+'[5]Set Up'!$O$16,(AD9-'[5]Set Up'!$J$17)*'[5]Set Up'!$N$18 + SUM('[5]Set Up'!$O$15:'[5]Set Up'!$O$17)))))</f>
        <v>338.41182645895913</v>
      </c>
      <c r="AE14" s="28">
        <f>IF(AE9="","",IF(AE9&lt;'[5]Set Up'!$J$15,AE9*'[5]Set Up'!$N$15,IF(AE9&lt;'[5]Set Up'!$J$16,(AE9-'[5]Set Up'!$J$15)*'[5]Set Up'!$N$16+'[5]Set Up'!$O$15,IF(AE9&lt;'[5]Set Up'!$J$17,(AE9-'[5]Set Up'!$J$16)*'[5]Set Up'!$N$17+'[5]Set Up'!$O$15+'[5]Set Up'!$O$16,(AE9-'[5]Set Up'!$J$17)*'[5]Set Up'!$N$18 + SUM('[5]Set Up'!$O$15:'[5]Set Up'!$O$17)))))</f>
        <v>335.41060540681622</v>
      </c>
      <c r="AF14" s="28">
        <f>IF(AF9="","",IF(AF9&lt;'[5]Set Up'!$J$15,AF9*'[5]Set Up'!$N$15,IF(AF9&lt;'[5]Set Up'!$J$16,(AF9-'[5]Set Up'!$J$15)*'[5]Set Up'!$N$16+'[5]Set Up'!$O$15,IF(AF9&lt;'[5]Set Up'!$J$17,(AF9-'[5]Set Up'!$J$16)*'[5]Set Up'!$N$17+'[5]Set Up'!$O$15+'[5]Set Up'!$O$16,(AF9-'[5]Set Up'!$J$17)*'[5]Set Up'!$N$18 + SUM('[5]Set Up'!$O$15:'[5]Set Up'!$O$17)))))</f>
        <v>332.3944529066527</v>
      </c>
      <c r="AG14" s="28">
        <f>IF(AG9="","",IF(AG9&lt;'[5]Set Up'!$J$15,AG9*'[5]Set Up'!$N$15,IF(AG9&lt;'[5]Set Up'!$J$16,(AG9-'[5]Set Up'!$J$15)*'[5]Set Up'!$N$16+'[5]Set Up'!$O$15,IF(AG9&lt;'[5]Set Up'!$J$17,(AG9-'[5]Set Up'!$J$16)*'[5]Set Up'!$N$17+'[5]Set Up'!$O$15+'[5]Set Up'!$O$16,(AG9-'[5]Set Up'!$J$17)*'[5]Set Up'!$N$18 + SUM('[5]Set Up'!$O$15:'[5]Set Up'!$O$17)))))</f>
        <v>329.39323185450979</v>
      </c>
      <c r="AH14" s="28">
        <f>IF(AH9="","",IF(AH9&lt;'[5]Set Up'!$J$15,AH9*'[5]Set Up'!$N$15,IF(AH9&lt;'[5]Set Up'!$J$16,(AH9-'[5]Set Up'!$J$15)*'[5]Set Up'!$N$16+'[5]Set Up'!$O$15,IF(AH9&lt;'[5]Set Up'!$J$17,(AH9-'[5]Set Up'!$J$16)*'[5]Set Up'!$N$17+'[5]Set Up'!$O$15+'[5]Set Up'!$O$16,(AH9-'[5]Set Up'!$J$17)*'[5]Set Up'!$N$18 + SUM('[5]Set Up'!$O$15:'[5]Set Up'!$O$17)))))</f>
        <v>326.37707935434628</v>
      </c>
      <c r="AI14" s="28">
        <f>IF(AI9="","",IF(AI9&lt;'[5]Set Up'!$J$15,AI9*'[5]Set Up'!$N$15,IF(AI9&lt;'[5]Set Up'!$J$16,(AI9-'[5]Set Up'!$J$15)*'[5]Set Up'!$N$16+'[5]Set Up'!$O$15,IF(AI9&lt;'[5]Set Up'!$J$17,(AI9-'[5]Set Up'!$J$16)*'[5]Set Up'!$N$17+'[5]Set Up'!$O$15+'[5]Set Up'!$O$16,(AI9-'[5]Set Up'!$J$17)*'[5]Set Up'!$N$18 + SUM('[5]Set Up'!$O$15:'[5]Set Up'!$O$17)))))</f>
        <v>323.37585830220343</v>
      </c>
      <c r="AJ14" s="28">
        <f>IF(AJ9="","",IF(AJ9&lt;'[5]Set Up'!$J$15,AJ9*'[5]Set Up'!$N$15,IF(AJ9&lt;'[5]Set Up'!$J$16,(AJ9-'[5]Set Up'!$J$15)*'[5]Set Up'!$N$16+'[5]Set Up'!$O$15,IF(AJ9&lt;'[5]Set Up'!$J$17,(AJ9-'[5]Set Up'!$J$16)*'[5]Set Up'!$N$17+'[5]Set Up'!$O$15+'[5]Set Up'!$O$16,(AJ9-'[5]Set Up'!$J$17)*'[5]Set Up'!$N$18 + SUM('[5]Set Up'!$O$15:'[5]Set Up'!$O$17)))))</f>
        <v>320.35970580203991</v>
      </c>
      <c r="AK14" s="28">
        <f>IF(AK9="","",IF(AK9&lt;'[5]Set Up'!$J$15,AK9*'[5]Set Up'!$N$15,IF(AK9&lt;'[5]Set Up'!$J$16,(AK9-'[5]Set Up'!$J$15)*'[5]Set Up'!$N$16+'[5]Set Up'!$O$15,IF(AK9&lt;'[5]Set Up'!$J$17,(AK9-'[5]Set Up'!$J$16)*'[5]Set Up'!$N$17+'[5]Set Up'!$O$15+'[5]Set Up'!$O$16,(AK9-'[5]Set Up'!$J$17)*'[5]Set Up'!$N$18 + SUM('[5]Set Up'!$O$15:'[5]Set Up'!$O$17)))))</f>
        <v>317.358484749897</v>
      </c>
      <c r="AL14" s="28">
        <f>IF(AL9="","",IF(AL9&lt;'[5]Set Up'!$J$15,AL9*'[5]Set Up'!$N$15,IF(AL9&lt;'[5]Set Up'!$J$16,(AL9-'[5]Set Up'!$J$15)*'[5]Set Up'!$N$16+'[5]Set Up'!$O$15,IF(AL9&lt;'[5]Set Up'!$J$17,(AL9-'[5]Set Up'!$J$16)*'[5]Set Up'!$N$17+'[5]Set Up'!$O$15+'[5]Set Up'!$O$16,(AL9-'[5]Set Up'!$J$17)*'[5]Set Up'!$N$18 + SUM('[5]Set Up'!$O$15:'[5]Set Up'!$O$17)))))</f>
        <v>314.34233224973354</v>
      </c>
      <c r="AM14" s="28">
        <f>IF(AM9="","",IF(AM9&lt;'[5]Set Up'!$J$15,AM9*'[5]Set Up'!$N$15,IF(AM9&lt;'[5]Set Up'!$J$16,(AM9-'[5]Set Up'!$J$15)*'[5]Set Up'!$N$16+'[5]Set Up'!$O$15,IF(AM9&lt;'[5]Set Up'!$J$17,(AM9-'[5]Set Up'!$J$16)*'[5]Set Up'!$N$17+'[5]Set Up'!$O$15+'[5]Set Up'!$O$16,(AM9-'[5]Set Up'!$J$17)*'[5]Set Up'!$N$18 + SUM('[5]Set Up'!$O$15:'[5]Set Up'!$O$17)))))</f>
        <v>311.32617974957003</v>
      </c>
      <c r="AN14" s="28">
        <f>IF(AN9="","",IF(AN9&lt;'[5]Set Up'!$J$15,AN9*'[5]Set Up'!$N$15,IF(AN9&lt;'[5]Set Up'!$J$16,(AN9-'[5]Set Up'!$J$15)*'[5]Set Up'!$N$16+'[5]Set Up'!$O$15,IF(AN9&lt;'[5]Set Up'!$J$17,(AN9-'[5]Set Up'!$J$16)*'[5]Set Up'!$N$17+'[5]Set Up'!$O$15+'[5]Set Up'!$O$16,(AN9-'[5]Set Up'!$J$17)*'[5]Set Up'!$N$18 + SUM('[5]Set Up'!$O$15:'[5]Set Up'!$O$17)))))</f>
        <v>308.32495869742712</v>
      </c>
      <c r="AO14" s="28">
        <f>IF(AO9="","",IF(AO9&lt;'[5]Set Up'!$J$15,AO9*'[5]Set Up'!$N$15,IF(AO9&lt;'[5]Set Up'!$J$16,(AO9-'[5]Set Up'!$J$15)*'[5]Set Up'!$N$16+'[5]Set Up'!$O$15,IF(AO9&lt;'[5]Set Up'!$J$17,(AO9-'[5]Set Up'!$J$16)*'[5]Set Up'!$N$17+'[5]Set Up'!$O$15+'[5]Set Up'!$O$16,(AO9-'[5]Set Up'!$J$17)*'[5]Set Up'!$N$18 + SUM('[5]Set Up'!$O$15:'[5]Set Up'!$O$17)))))</f>
        <v>305.30880619726361</v>
      </c>
      <c r="AP14" s="28">
        <f>IF(AP9="","",IF(AP9&lt;'[5]Set Up'!$J$15,AP9*'[5]Set Up'!$N$15,IF(AP9&lt;'[5]Set Up'!$J$16,(AP9-'[5]Set Up'!$J$15)*'[5]Set Up'!$N$16+'[5]Set Up'!$O$15,IF(AP9&lt;'[5]Set Up'!$J$17,(AP9-'[5]Set Up'!$J$16)*'[5]Set Up'!$N$17+'[5]Set Up'!$O$15+'[5]Set Up'!$O$16,(AP9-'[5]Set Up'!$J$17)*'[5]Set Up'!$N$18 + SUM('[5]Set Up'!$O$15:'[5]Set Up'!$O$17)))))</f>
        <v>302.30758514512075</v>
      </c>
      <c r="AQ14" s="28">
        <f>IF(AQ9="","",IF(AQ9&lt;'[5]Set Up'!$J$15,AQ9*'[5]Set Up'!$N$15,IF(AQ9&lt;'[5]Set Up'!$J$16,(AQ9-'[5]Set Up'!$J$15)*'[5]Set Up'!$N$16+'[5]Set Up'!$O$15,IF(AQ9&lt;'[5]Set Up'!$J$17,(AQ9-'[5]Set Up'!$J$16)*'[5]Set Up'!$N$17+'[5]Set Up'!$O$15+'[5]Set Up'!$O$16,(AQ9-'[5]Set Up'!$J$17)*'[5]Set Up'!$N$18 + SUM('[5]Set Up'!$O$15:'[5]Set Up'!$O$17)))))</f>
        <v>299.29143264495724</v>
      </c>
      <c r="AR14" s="28">
        <f>IF(AR9="","",IF(AR9&lt;'[5]Set Up'!$J$15,AR9*'[5]Set Up'!$N$15,IF(AR9&lt;'[5]Set Up'!$J$16,(AR9-'[5]Set Up'!$J$15)*'[5]Set Up'!$N$16+'[5]Set Up'!$O$15,IF(AR9&lt;'[5]Set Up'!$J$17,(AR9-'[5]Set Up'!$J$16)*'[5]Set Up'!$N$17+'[5]Set Up'!$O$15+'[5]Set Up'!$O$16,(AR9-'[5]Set Up'!$J$17)*'[5]Set Up'!$N$18 + SUM('[5]Set Up'!$O$15:'[5]Set Up'!$O$17)))))</f>
        <v>296.29021159281433</v>
      </c>
      <c r="AS14" s="28">
        <f>IF(AS9="","",IF(AS9&lt;'[5]Set Up'!$J$15,AS9*'[5]Set Up'!$N$15,IF(AS9&lt;'[5]Set Up'!$J$16,(AS9-'[5]Set Up'!$J$15)*'[5]Set Up'!$N$16+'[5]Set Up'!$O$15,IF(AS9&lt;'[5]Set Up'!$J$17,(AS9-'[5]Set Up'!$J$16)*'[5]Set Up'!$N$17+'[5]Set Up'!$O$15+'[5]Set Up'!$O$16,(AS9-'[5]Set Up'!$J$17)*'[5]Set Up'!$N$18 + SUM('[5]Set Up'!$O$15:'[5]Set Up'!$O$17)))))</f>
        <v>293.27405909265087</v>
      </c>
      <c r="AT14" s="28">
        <f>IF(AT9="","",IF(AT9&lt;'[5]Set Up'!$J$15,AT9*'[5]Set Up'!$N$15,IF(AT9&lt;'[5]Set Up'!$J$16,(AT9-'[5]Set Up'!$J$15)*'[5]Set Up'!$N$16+'[5]Set Up'!$O$15,IF(AT9&lt;'[5]Set Up'!$J$17,(AT9-'[5]Set Up'!$J$16)*'[5]Set Up'!$N$17+'[5]Set Up'!$O$15+'[5]Set Up'!$O$16,(AT9-'[5]Set Up'!$J$17)*'[5]Set Up'!$N$18 + SUM('[5]Set Up'!$O$15:'[5]Set Up'!$O$17)))))</f>
        <v>290.27283804050796</v>
      </c>
      <c r="AU14" s="28">
        <f>IF(AU9="","",IF(AU9&lt;'[5]Set Up'!$J$15,AU9*'[5]Set Up'!$N$15,IF(AU9&lt;'[5]Set Up'!$J$16,(AU9-'[5]Set Up'!$J$15)*'[5]Set Up'!$N$16+'[5]Set Up'!$O$15,IF(AU9&lt;'[5]Set Up'!$J$17,(AU9-'[5]Set Up'!$J$16)*'[5]Set Up'!$N$17+'[5]Set Up'!$O$15+'[5]Set Up'!$O$16,(AU9-'[5]Set Up'!$J$17)*'[5]Set Up'!$N$18 + SUM('[5]Set Up'!$O$15:'[5]Set Up'!$O$17)))))</f>
        <v>287.25668554034445</v>
      </c>
      <c r="AV14" s="28">
        <f>IF(AV9="","",IF(AV9&lt;'[5]Set Up'!$J$15,AV9*'[5]Set Up'!$N$15,IF(AV9&lt;'[5]Set Up'!$J$16,(AV9-'[5]Set Up'!$J$15)*'[5]Set Up'!$N$16+'[5]Set Up'!$O$15,IF(AV9&lt;'[5]Set Up'!$J$17,(AV9-'[5]Set Up'!$J$16)*'[5]Set Up'!$N$17+'[5]Set Up'!$O$15+'[5]Set Up'!$O$16,(AV9-'[5]Set Up'!$J$17)*'[5]Set Up'!$N$18 + SUM('[5]Set Up'!$O$15:'[5]Set Up'!$O$17)))))</f>
        <v>284.2554644882016</v>
      </c>
      <c r="AW14" s="28">
        <f>IF(AW9="","",IF(AW9&lt;'[5]Set Up'!$J$15,AW9*'[5]Set Up'!$N$15,IF(AW9&lt;'[5]Set Up'!$J$16,(AW9-'[5]Set Up'!$J$15)*'[5]Set Up'!$N$16+'[5]Set Up'!$O$15,IF(AW9&lt;'[5]Set Up'!$J$17,(AW9-'[5]Set Up'!$J$16)*'[5]Set Up'!$N$17+'[5]Set Up'!$O$15+'[5]Set Up'!$O$16,(AW9-'[5]Set Up'!$J$17)*'[5]Set Up'!$N$18 + SUM('[5]Set Up'!$O$15:'[5]Set Up'!$O$17)))))</f>
        <v>281.23931198803808</v>
      </c>
      <c r="AX14" s="28">
        <f>IF(AX9="","",IF(AX9&lt;'[5]Set Up'!$J$15,AX9*'[5]Set Up'!$N$15,IF(AX9&lt;'[5]Set Up'!$J$16,(AX9-'[5]Set Up'!$J$15)*'[5]Set Up'!$N$16+'[5]Set Up'!$O$15,IF(AX9&lt;'[5]Set Up'!$J$17,(AX9-'[5]Set Up'!$J$16)*'[5]Set Up'!$N$17+'[5]Set Up'!$O$15+'[5]Set Up'!$O$16,(AX9-'[5]Set Up'!$J$17)*'[5]Set Up'!$N$18 + SUM('[5]Set Up'!$O$15:'[5]Set Up'!$O$17)))))</f>
        <v>278.23809093589517</v>
      </c>
      <c r="AY14" s="28">
        <f>IF(AY9="","",IF(AY9&lt;'[5]Set Up'!$J$15,AY9*'[5]Set Up'!$N$15,IF(AY9&lt;'[5]Set Up'!$J$16,(AY9-'[5]Set Up'!$J$15)*'[5]Set Up'!$N$16+'[5]Set Up'!$O$15,IF(AY9&lt;'[5]Set Up'!$J$17,(AY9-'[5]Set Up'!$J$16)*'[5]Set Up'!$N$17+'[5]Set Up'!$O$15+'[5]Set Up'!$O$16,(AY9-'[5]Set Up'!$J$17)*'[5]Set Up'!$N$18 + SUM('[5]Set Up'!$O$15:'[5]Set Up'!$O$17)))))</f>
        <v>275.22193843573166</v>
      </c>
      <c r="AZ14" s="28">
        <f>IF(AZ9="","",IF(AZ9&lt;'[5]Set Up'!$J$15,AZ9*'[5]Set Up'!$N$15,IF(AZ9&lt;'[5]Set Up'!$J$16,(AZ9-'[5]Set Up'!$J$15)*'[5]Set Up'!$N$16+'[5]Set Up'!$O$15,IF(AZ9&lt;'[5]Set Up'!$J$17,(AZ9-'[5]Set Up'!$J$16)*'[5]Set Up'!$N$17+'[5]Set Up'!$O$15+'[5]Set Up'!$O$16,(AZ9-'[5]Set Up'!$J$17)*'[5]Set Up'!$N$18 + SUM('[5]Set Up'!$O$15:'[5]Set Up'!$O$17)))))</f>
        <v>272.22071738358881</v>
      </c>
      <c r="BA14" s="28">
        <f>IF(BA9="","",IF(BA9&lt;'[5]Set Up'!$J$15,BA9*'[5]Set Up'!$N$15,IF(BA9&lt;'[5]Set Up'!$J$16,(BA9-'[5]Set Up'!$J$15)*'[5]Set Up'!$N$16+'[5]Set Up'!$O$15,IF(BA9&lt;'[5]Set Up'!$J$17,(BA9-'[5]Set Up'!$J$16)*'[5]Set Up'!$N$17+'[5]Set Up'!$O$15+'[5]Set Up'!$O$16,(BA9-'[5]Set Up'!$J$17)*'[5]Set Up'!$N$18 + SUM('[5]Set Up'!$O$15:'[5]Set Up'!$O$17)))))</f>
        <v>269.20456488342529</v>
      </c>
      <c r="BB14" s="28">
        <f>IF(BB9="","",IF(BB9&lt;'[5]Set Up'!$J$15,BB9*'[5]Set Up'!$N$15,IF(BB9&lt;'[5]Set Up'!$J$16,(BB9-'[5]Set Up'!$J$15)*'[5]Set Up'!$N$16+'[5]Set Up'!$O$15,IF(BB9&lt;'[5]Set Up'!$J$17,(BB9-'[5]Set Up'!$J$16)*'[5]Set Up'!$N$17+'[5]Set Up'!$O$15+'[5]Set Up'!$O$16,(BB9-'[5]Set Up'!$J$17)*'[5]Set Up'!$N$18 + SUM('[5]Set Up'!$O$15:'[5]Set Up'!$O$17)))))</f>
        <v>266.20334383128238</v>
      </c>
      <c r="BC14" s="28">
        <f>IF(BC9="","",IF(BC9&lt;'[5]Set Up'!$J$15,BC9*'[5]Set Up'!$N$15,IF(BC9&lt;'[5]Set Up'!$J$16,(BC9-'[5]Set Up'!$J$15)*'[5]Set Up'!$N$16+'[5]Set Up'!$O$15,IF(BC9&lt;'[5]Set Up'!$J$17,(BC9-'[5]Set Up'!$J$16)*'[5]Set Up'!$N$17+'[5]Set Up'!$O$15+'[5]Set Up'!$O$16,(BC9-'[5]Set Up'!$J$17)*'[5]Set Up'!$N$18 + SUM('[5]Set Up'!$O$15:'[5]Set Up'!$O$17)))))</f>
        <v>263.18719133111887</v>
      </c>
      <c r="BD14" s="28">
        <f>IF(BD9="","",IF(BD9&lt;'[5]Set Up'!$J$15,BD9*'[5]Set Up'!$N$15,IF(BD9&lt;'[5]Set Up'!$J$16,(BD9-'[5]Set Up'!$J$15)*'[5]Set Up'!$N$16+'[5]Set Up'!$O$15,IF(BD9&lt;'[5]Set Up'!$J$17,(BD9-'[5]Set Up'!$J$16)*'[5]Set Up'!$N$17+'[5]Set Up'!$O$15+'[5]Set Up'!$O$16,(BD9-'[5]Set Up'!$J$17)*'[5]Set Up'!$N$18 + SUM('[5]Set Up'!$O$15:'[5]Set Up'!$O$17)))))</f>
        <v>0</v>
      </c>
      <c r="BE14" s="28">
        <f>IF(BE9="","",IF(BE9&lt;'[5]Set Up'!$J$15,BE9*'[5]Set Up'!$N$15,IF(BE9&lt;'[5]Set Up'!$J$16,(BE9-'[5]Set Up'!$J$15)*'[5]Set Up'!$N$16+'[5]Set Up'!$O$15,IF(BE9&lt;'[5]Set Up'!$J$17,(BE9-'[5]Set Up'!$J$16)*'[5]Set Up'!$N$17+'[5]Set Up'!$O$15+'[5]Set Up'!$O$16,(BE9-'[5]Set Up'!$J$17)*'[5]Set Up'!$N$18 + SUM('[5]Set Up'!$O$15:'[5]Set Up'!$O$17)))))</f>
        <v>0</v>
      </c>
      <c r="BF14" s="28">
        <f>IF(BF9="","",IF(BF9&lt;'[5]Set Up'!$J$15,BF9*'[5]Set Up'!$N$15,IF(BF9&lt;'[5]Set Up'!$J$16,(BF9-'[5]Set Up'!$J$15)*'[5]Set Up'!$N$16+'[5]Set Up'!$O$15,IF(BF9&lt;'[5]Set Up'!$J$17,(BF9-'[5]Set Up'!$J$16)*'[5]Set Up'!$N$17+'[5]Set Up'!$O$15+'[5]Set Up'!$O$16,(BF9-'[5]Set Up'!$J$17)*'[5]Set Up'!$N$18 + SUM('[5]Set Up'!$O$15:'[5]Set Up'!$O$17)))))</f>
        <v>0</v>
      </c>
      <c r="BG14" s="28">
        <f>IF(BG9="","",IF(BG9&lt;'[5]Set Up'!$J$15,BG9*'[5]Set Up'!$N$15,IF(BG9&lt;'[5]Set Up'!$J$16,(BG9-'[5]Set Up'!$J$15)*'[5]Set Up'!$N$16+'[5]Set Up'!$O$15,IF(BG9&lt;'[5]Set Up'!$J$17,(BG9-'[5]Set Up'!$J$16)*'[5]Set Up'!$N$17+'[5]Set Up'!$O$15+'[5]Set Up'!$O$16,(BG9-'[5]Set Up'!$J$17)*'[5]Set Up'!$N$18 + SUM('[5]Set Up'!$O$15:'[5]Set Up'!$O$17)))))</f>
        <v>0</v>
      </c>
      <c r="BH14" s="28">
        <f>IF(BH9="","",IF(BH9&lt;'[5]Set Up'!$J$15,BH9*'[5]Set Up'!$N$15,IF(BH9&lt;'[5]Set Up'!$J$16,(BH9-'[5]Set Up'!$J$15)*'[5]Set Up'!$N$16+'[5]Set Up'!$O$15,IF(BH9&lt;'[5]Set Up'!$J$17,(BH9-'[5]Set Up'!$J$16)*'[5]Set Up'!$N$17+'[5]Set Up'!$O$15+'[5]Set Up'!$O$16,(BH9-'[5]Set Up'!$J$17)*'[5]Set Up'!$N$18 + SUM('[5]Set Up'!$O$15:'[5]Set Up'!$O$17)))))</f>
        <v>0</v>
      </c>
      <c r="BI14" s="28">
        <f>IF(BI9="","",IF(BI9&lt;'[5]Set Up'!$J$15,BI9*'[5]Set Up'!$N$15,IF(BI9&lt;'[5]Set Up'!$J$16,(BI9-'[5]Set Up'!$J$15)*'[5]Set Up'!$N$16+'[5]Set Up'!$O$15,IF(BI9&lt;'[5]Set Up'!$J$17,(BI9-'[5]Set Up'!$J$16)*'[5]Set Up'!$N$17+'[5]Set Up'!$O$15+'[5]Set Up'!$O$16,(BI9-'[5]Set Up'!$J$17)*'[5]Set Up'!$N$18 + SUM('[5]Set Up'!$O$15:'[5]Set Up'!$O$17)))))</f>
        <v>0</v>
      </c>
      <c r="BJ14" s="28">
        <f>IF(BJ9="","",IF(BJ9&lt;'[5]Set Up'!$J$15,BJ9*'[5]Set Up'!$N$15,IF(BJ9&lt;'[5]Set Up'!$J$16,(BJ9-'[5]Set Up'!$J$15)*'[5]Set Up'!$N$16+'[5]Set Up'!$O$15,IF(BJ9&lt;'[5]Set Up'!$J$17,(BJ9-'[5]Set Up'!$J$16)*'[5]Set Up'!$N$17+'[5]Set Up'!$O$15+'[5]Set Up'!$O$16,(BJ9-'[5]Set Up'!$J$17)*'[5]Set Up'!$N$18 + SUM('[5]Set Up'!$O$15:'[5]Set Up'!$O$17)))))</f>
        <v>0</v>
      </c>
      <c r="BK14" s="28">
        <f>IF(BK9="","",IF(BK9&lt;'[5]Set Up'!$J$15,BK9*'[5]Set Up'!$N$15,IF(BK9&lt;'[5]Set Up'!$J$16,(BK9-'[5]Set Up'!$J$15)*'[5]Set Up'!$N$16+'[5]Set Up'!$O$15,IF(BK9&lt;'[5]Set Up'!$J$17,(BK9-'[5]Set Up'!$J$16)*'[5]Set Up'!$N$17+'[5]Set Up'!$O$15+'[5]Set Up'!$O$16,(BK9-'[5]Set Up'!$J$17)*'[5]Set Up'!$N$18 + SUM('[5]Set Up'!$O$15:'[5]Set Up'!$O$17)))))</f>
        <v>0</v>
      </c>
      <c r="BL14" s="28">
        <f>IF(BL9="","",IF(BL9&lt;'[5]Set Up'!$J$15,BL9*'[5]Set Up'!$N$15,IF(BL9&lt;'[5]Set Up'!$J$16,(BL9-'[5]Set Up'!$J$15)*'[5]Set Up'!$N$16+'[5]Set Up'!$O$15,IF(BL9&lt;'[5]Set Up'!$J$17,(BL9-'[5]Set Up'!$J$16)*'[5]Set Up'!$N$17+'[5]Set Up'!$O$15+'[5]Set Up'!$O$16,(BL9-'[5]Set Up'!$J$17)*'[5]Set Up'!$N$18 + SUM('[5]Set Up'!$O$15:'[5]Set Up'!$O$17)))))</f>
        <v>0</v>
      </c>
      <c r="BM14" s="28">
        <f>IF(BM9="","",IF(BM9&lt;'[5]Set Up'!$J$15,BM9*'[5]Set Up'!$N$15,IF(BM9&lt;'[5]Set Up'!$J$16,(BM9-'[5]Set Up'!$J$15)*'[5]Set Up'!$N$16+'[5]Set Up'!$O$15,IF(BM9&lt;'[5]Set Up'!$J$17,(BM9-'[5]Set Up'!$J$16)*'[5]Set Up'!$N$17+'[5]Set Up'!$O$15+'[5]Set Up'!$O$16,(BM9-'[5]Set Up'!$J$17)*'[5]Set Up'!$N$18 + SUM('[5]Set Up'!$O$15:'[5]Set Up'!$O$17)))))</f>
        <v>0</v>
      </c>
      <c r="BN14" s="28">
        <f>IF(BN9="","",IF(BN9&lt;'[5]Set Up'!$J$15,BN9*'[5]Set Up'!$N$15,IF(BN9&lt;'[5]Set Up'!$J$16,(BN9-'[5]Set Up'!$J$15)*'[5]Set Up'!$N$16+'[5]Set Up'!$O$15,IF(BN9&lt;'[5]Set Up'!$J$17,(BN9-'[5]Set Up'!$J$16)*'[5]Set Up'!$N$17+'[5]Set Up'!$O$15+'[5]Set Up'!$O$16,(BN9-'[5]Set Up'!$J$17)*'[5]Set Up'!$N$18 + SUM('[5]Set Up'!$O$15:'[5]Set Up'!$O$17)))))</f>
        <v>0</v>
      </c>
      <c r="BO14" s="28">
        <f>IF(BO9="","",IF(BO9&lt;'[5]Set Up'!$J$15,BO9*'[5]Set Up'!$N$15,IF(BO9&lt;'[5]Set Up'!$J$16,(BO9-'[5]Set Up'!$J$15)*'[5]Set Up'!$N$16+'[5]Set Up'!$O$15,IF(BO9&lt;'[5]Set Up'!$J$17,(BO9-'[5]Set Up'!$J$16)*'[5]Set Up'!$N$17+'[5]Set Up'!$O$15+'[5]Set Up'!$O$16,(BO9-'[5]Set Up'!$J$17)*'[5]Set Up'!$N$18 + SUM('[5]Set Up'!$O$15:'[5]Set Up'!$O$17)))))</f>
        <v>0</v>
      </c>
      <c r="BP14" s="28">
        <f>IF(BP9="","",IF(BP9&lt;'[5]Set Up'!$J$15,BP9*'[5]Set Up'!$N$15,IF(BP9&lt;'[5]Set Up'!$J$16,(BP9-'[5]Set Up'!$J$15)*'[5]Set Up'!$N$16+'[5]Set Up'!$O$15,IF(BP9&lt;'[5]Set Up'!$J$17,(BP9-'[5]Set Up'!$J$16)*'[5]Set Up'!$N$17+'[5]Set Up'!$O$15+'[5]Set Up'!$O$16,(BP9-'[5]Set Up'!$J$17)*'[5]Set Up'!$N$18 + SUM('[5]Set Up'!$O$15:'[5]Set Up'!$O$17)))))</f>
        <v>0</v>
      </c>
      <c r="BQ14" s="28">
        <f>IF(BQ9="","",IF(BQ9&lt;'[5]Set Up'!$J$15,BQ9*'[5]Set Up'!$N$15,IF(BQ9&lt;'[5]Set Up'!$J$16,(BQ9-'[5]Set Up'!$J$15)*'[5]Set Up'!$N$16+'[5]Set Up'!$O$15,IF(BQ9&lt;'[5]Set Up'!$J$17,(BQ9-'[5]Set Up'!$J$16)*'[5]Set Up'!$N$17+'[5]Set Up'!$O$15+'[5]Set Up'!$O$16,(BQ9-'[5]Set Up'!$J$17)*'[5]Set Up'!$N$18 + SUM('[5]Set Up'!$O$15:'[5]Set Up'!$O$17)))))</f>
        <v>0</v>
      </c>
      <c r="BR14" s="28">
        <f>IF(BR9="","",IF(BR9&lt;'[5]Set Up'!$J$15,BR9*'[5]Set Up'!$N$15,IF(BR9&lt;'[5]Set Up'!$J$16,(BR9-'[5]Set Up'!$J$15)*'[5]Set Up'!$N$16+'[5]Set Up'!$O$15,IF(BR9&lt;'[5]Set Up'!$J$17,(BR9-'[5]Set Up'!$J$16)*'[5]Set Up'!$N$17+'[5]Set Up'!$O$15+'[5]Set Up'!$O$16,(BR9-'[5]Set Up'!$J$17)*'[5]Set Up'!$N$18 + SUM('[5]Set Up'!$O$15:'[5]Set Up'!$O$17)))))</f>
        <v>0</v>
      </c>
      <c r="BS14" s="28">
        <f>IF(BS9="","",IF(BS9&lt;'[5]Set Up'!$J$15,BS9*'[5]Set Up'!$N$15,IF(BS9&lt;'[5]Set Up'!$J$16,(BS9-'[5]Set Up'!$J$15)*'[5]Set Up'!$N$16+'[5]Set Up'!$O$15,IF(BS9&lt;'[5]Set Up'!$J$17,(BS9-'[5]Set Up'!$J$16)*'[5]Set Up'!$N$17+'[5]Set Up'!$O$15+'[5]Set Up'!$O$16,(BS9-'[5]Set Up'!$J$17)*'[5]Set Up'!$N$18 + SUM('[5]Set Up'!$O$15:'[5]Set Up'!$O$17)))))</f>
        <v>0</v>
      </c>
      <c r="BT14" s="28">
        <f>IF(BT9="","",IF(BT9&lt;'[5]Set Up'!$J$15,BT9*'[5]Set Up'!$N$15,IF(BT9&lt;'[5]Set Up'!$J$16,(BT9-'[5]Set Up'!$J$15)*'[5]Set Up'!$N$16+'[5]Set Up'!$O$15,IF(BT9&lt;'[5]Set Up'!$J$17,(BT9-'[5]Set Up'!$J$16)*'[5]Set Up'!$N$17+'[5]Set Up'!$O$15+'[5]Set Up'!$O$16,(BT9-'[5]Set Up'!$J$17)*'[5]Set Up'!$N$18 + SUM('[5]Set Up'!$O$15:'[5]Set Up'!$O$17)))))</f>
        <v>0</v>
      </c>
      <c r="BU14" s="28">
        <f>IF(BU9="","",IF(BU9&lt;'[5]Set Up'!$J$15,BU9*'[5]Set Up'!$N$15,IF(BU9&lt;'[5]Set Up'!$J$16,(BU9-'[5]Set Up'!$J$15)*'[5]Set Up'!$N$16+'[5]Set Up'!$O$15,IF(BU9&lt;'[5]Set Up'!$J$17,(BU9-'[5]Set Up'!$J$16)*'[5]Set Up'!$N$17+'[5]Set Up'!$O$15+'[5]Set Up'!$O$16,(BU9-'[5]Set Up'!$J$17)*'[5]Set Up'!$N$18 + SUM('[5]Set Up'!$O$15:'[5]Set Up'!$O$17)))))</f>
        <v>0</v>
      </c>
      <c r="BV14" s="28">
        <f>IF(BV9="","",IF(BV9&lt;'[5]Set Up'!$J$15,BV9*'[5]Set Up'!$N$15,IF(BV9&lt;'[5]Set Up'!$J$16,(BV9-'[5]Set Up'!$J$15)*'[5]Set Up'!$N$16+'[5]Set Up'!$O$15,IF(BV9&lt;'[5]Set Up'!$J$17,(BV9-'[5]Set Up'!$J$16)*'[5]Set Up'!$N$17+'[5]Set Up'!$O$15+'[5]Set Up'!$O$16,(BV9-'[5]Set Up'!$J$17)*'[5]Set Up'!$N$18 + SUM('[5]Set Up'!$O$15:'[5]Set Up'!$O$17)))))</f>
        <v>0</v>
      </c>
      <c r="BW14" s="28">
        <f>IF(BW9="","",IF(BW9&lt;'[5]Set Up'!$J$15,BW9*'[5]Set Up'!$N$15,IF(BW9&lt;'[5]Set Up'!$J$16,(BW9-'[5]Set Up'!$J$15)*'[5]Set Up'!$N$16+'[5]Set Up'!$O$15,IF(BW9&lt;'[5]Set Up'!$J$17,(BW9-'[5]Set Up'!$J$16)*'[5]Set Up'!$N$17+'[5]Set Up'!$O$15+'[5]Set Up'!$O$16,(BW9-'[5]Set Up'!$J$17)*'[5]Set Up'!$N$18 + SUM('[5]Set Up'!$O$15:'[5]Set Up'!$O$17)))))</f>
        <v>0</v>
      </c>
      <c r="BX14" s="28">
        <f>IF(BX9="","",IF(BX9&lt;'[5]Set Up'!$J$15,BX9*'[5]Set Up'!$N$15,IF(BX9&lt;'[5]Set Up'!$J$16,(BX9-'[5]Set Up'!$J$15)*'[5]Set Up'!$N$16+'[5]Set Up'!$O$15,IF(BX9&lt;'[5]Set Up'!$J$17,(BX9-'[5]Set Up'!$J$16)*'[5]Set Up'!$N$17+'[5]Set Up'!$O$15+'[5]Set Up'!$O$16,(BX9-'[5]Set Up'!$J$17)*'[5]Set Up'!$N$18 + SUM('[5]Set Up'!$O$15:'[5]Set Up'!$O$17)))))</f>
        <v>0</v>
      </c>
      <c r="BY14" s="28">
        <f>IF(BY9="","",IF(BY9&lt;'[5]Set Up'!$J$15,BY9*'[5]Set Up'!$N$15,IF(BY9&lt;'[5]Set Up'!$J$16,(BY9-'[5]Set Up'!$J$15)*'[5]Set Up'!$N$16+'[5]Set Up'!$O$15,IF(BY9&lt;'[5]Set Up'!$J$17,(BY9-'[5]Set Up'!$J$16)*'[5]Set Up'!$N$17+'[5]Set Up'!$O$15+'[5]Set Up'!$O$16,(BY9-'[5]Set Up'!$J$17)*'[5]Set Up'!$N$18 + SUM('[5]Set Up'!$O$15:'[5]Set Up'!$O$17)))))</f>
        <v>0</v>
      </c>
      <c r="BZ14" s="8"/>
    </row>
    <row r="15" spans="1:78" ht="15" thickBot="1" x14ac:dyDescent="0.4">
      <c r="A15" s="29" t="s">
        <v>22</v>
      </c>
      <c r="B15" s="197"/>
      <c r="C15" s="30">
        <f>IF(C11="","",IF(C11&lt;'[5]Set Up'!$J$15,C11*'[5]Set Up'!$N$15,IF(C11&lt;'[5]Set Up'!$J$16,(C11-'[5]Set Up'!$J$15)*'[5]Set Up'!$N$16+'[5]Set Up'!$O$15,IF(C11&lt;'[5]Set Up'!$J$17,(C11-'[5]Set Up'!$J$16)*'[5]Set Up'!$N$17+'[5]Set Up'!$O$15+'[5]Set Up'!$O$16,(C11-'[5]Set Up'!$J$17)*'[5]Set Up'!$N$18 + SUM('[5]Set Up'!$O$15:'[5]Set Up'!$O$17)))))</f>
        <v>419.93753265149735</v>
      </c>
      <c r="D15" s="30">
        <f>IF(D11="","",IF(D11&lt;'[5]Set Up'!$J$15,D11*'[5]Set Up'!$N$15,IF(D11&lt;'[5]Set Up'!$J$16,(D11-'[5]Set Up'!$J$15)*'[5]Set Up'!$N$16+'[5]Set Up'!$O$15,IF(D11&lt;'[5]Set Up'!$J$17,(D11-'[5]Set Up'!$J$16)*'[5]Set Up'!$N$17+'[5]Set Up'!$O$15+'[5]Set Up'!$O$16,(D11-'[5]Set Up'!$J$17)*'[5]Set Up'!$N$18 + SUM('[5]Set Up'!$O$15:'[5]Set Up'!$O$17)))))</f>
        <v>416.93631159935444</v>
      </c>
      <c r="E15" s="30">
        <f>IF(E11="","",IF(E11&lt;'[5]Set Up'!$J$15,E11*'[5]Set Up'!$N$15,IF(E11&lt;'[5]Set Up'!$J$16,(E11-'[5]Set Up'!$J$15)*'[5]Set Up'!$N$16+'[5]Set Up'!$O$15,IF(E11&lt;'[5]Set Up'!$J$17,(E11-'[5]Set Up'!$J$16)*'[5]Set Up'!$N$17+'[5]Set Up'!$O$15+'[5]Set Up'!$O$16,(E11-'[5]Set Up'!$J$17)*'[5]Set Up'!$N$18 + SUM('[5]Set Up'!$O$15:'[5]Set Up'!$O$17)))))</f>
        <v>413.92015909919093</v>
      </c>
      <c r="F15" s="30">
        <f>IF(F11="","",IF(F11&lt;'[5]Set Up'!$J$15,F11*'[5]Set Up'!$N$15,IF(F11&lt;'[5]Set Up'!$J$16,(F11-'[5]Set Up'!$J$15)*'[5]Set Up'!$N$16+'[5]Set Up'!$O$15,IF(F11&lt;'[5]Set Up'!$J$17,(F11-'[5]Set Up'!$J$16)*'[5]Set Up'!$N$17+'[5]Set Up'!$O$15+'[5]Set Up'!$O$16,(F11-'[5]Set Up'!$J$17)*'[5]Set Up'!$N$18 + SUM('[5]Set Up'!$O$15:'[5]Set Up'!$O$17)))))</f>
        <v>410.90400659902741</v>
      </c>
      <c r="G15" s="30">
        <f>IF(G11="","",IF(G11&lt;'[5]Set Up'!$J$15,G11*'[5]Set Up'!$N$15,IF(G11&lt;'[5]Set Up'!$J$16,(G11-'[5]Set Up'!$J$15)*'[5]Set Up'!$N$16+'[5]Set Up'!$O$15,IF(G11&lt;'[5]Set Up'!$J$17,(G11-'[5]Set Up'!$J$16)*'[5]Set Up'!$N$17+'[5]Set Up'!$O$15+'[5]Set Up'!$O$16,(G11-'[5]Set Up'!$J$17)*'[5]Set Up'!$N$18 + SUM('[5]Set Up'!$O$15:'[5]Set Up'!$O$17)))))</f>
        <v>407.9027855468845</v>
      </c>
      <c r="H15" s="30">
        <f>IF(H11="","",IF(H11&lt;'[5]Set Up'!$J$15,H11*'[5]Set Up'!$N$15,IF(H11&lt;'[5]Set Up'!$J$16,(H11-'[5]Set Up'!$J$15)*'[5]Set Up'!$N$16+'[5]Set Up'!$O$15,IF(H11&lt;'[5]Set Up'!$J$17,(H11-'[5]Set Up'!$J$16)*'[5]Set Up'!$N$17+'[5]Set Up'!$O$15+'[5]Set Up'!$O$16,(H11-'[5]Set Up'!$J$17)*'[5]Set Up'!$N$18 + SUM('[5]Set Up'!$O$15:'[5]Set Up'!$O$17)))))</f>
        <v>404.88663304672104</v>
      </c>
      <c r="I15" s="30">
        <f>IF(I11="","",IF(I11&lt;'[5]Set Up'!$J$15,I11*'[5]Set Up'!$N$15,IF(I11&lt;'[5]Set Up'!$J$16,(I11-'[5]Set Up'!$J$15)*'[5]Set Up'!$N$16+'[5]Set Up'!$O$15,IF(I11&lt;'[5]Set Up'!$J$17,(I11-'[5]Set Up'!$J$16)*'[5]Set Up'!$N$17+'[5]Set Up'!$O$15+'[5]Set Up'!$O$16,(I11-'[5]Set Up'!$J$17)*'[5]Set Up'!$N$18 + SUM('[5]Set Up'!$O$15:'[5]Set Up'!$O$17)))))</f>
        <v>401.88541199457813</v>
      </c>
      <c r="J15" s="30">
        <f>IF(J11="","",IF(J11&lt;'[5]Set Up'!$J$15,J11*'[5]Set Up'!$N$15,IF(J11&lt;'[5]Set Up'!$J$16,(J11-'[5]Set Up'!$J$15)*'[5]Set Up'!$N$16+'[5]Set Up'!$O$15,IF(J11&lt;'[5]Set Up'!$J$17,(J11-'[5]Set Up'!$J$16)*'[5]Set Up'!$N$17+'[5]Set Up'!$O$15+'[5]Set Up'!$O$16,(J11-'[5]Set Up'!$J$17)*'[5]Set Up'!$N$18 + SUM('[5]Set Up'!$O$15:'[5]Set Up'!$O$17)))))</f>
        <v>398.86925949441462</v>
      </c>
      <c r="K15" s="30">
        <f>IF(K11="","",IF(K11&lt;'[5]Set Up'!$J$15,K11*'[5]Set Up'!$N$15,IF(K11&lt;'[5]Set Up'!$J$16,(K11-'[5]Set Up'!$J$15)*'[5]Set Up'!$N$16+'[5]Set Up'!$O$15,IF(K11&lt;'[5]Set Up'!$J$17,(K11-'[5]Set Up'!$J$16)*'[5]Set Up'!$N$17+'[5]Set Up'!$O$15+'[5]Set Up'!$O$16,(K11-'[5]Set Up'!$J$17)*'[5]Set Up'!$N$18 + SUM('[5]Set Up'!$O$15:'[5]Set Up'!$O$17)))))</f>
        <v>395.86803844227177</v>
      </c>
      <c r="L15" s="30">
        <f>IF(L11="","",IF(L11&lt;'[5]Set Up'!$J$15,L11*'[5]Set Up'!$N$15,IF(L11&lt;'[5]Set Up'!$J$16,(L11-'[5]Set Up'!$J$15)*'[5]Set Up'!$N$16+'[5]Set Up'!$O$15,IF(L11&lt;'[5]Set Up'!$J$17,(L11-'[5]Set Up'!$J$16)*'[5]Set Up'!$N$17+'[5]Set Up'!$O$15+'[5]Set Up'!$O$16,(L11-'[5]Set Up'!$J$17)*'[5]Set Up'!$N$18 + SUM('[5]Set Up'!$O$15:'[5]Set Up'!$O$17)))))</f>
        <v>392.85188594210825</v>
      </c>
      <c r="M15" s="30">
        <f>IF(M11="","",IF(M11&lt;'[5]Set Up'!$J$15,M11*'[5]Set Up'!$N$15,IF(M11&lt;'[5]Set Up'!$J$16,(M11-'[5]Set Up'!$J$15)*'[5]Set Up'!$N$16+'[5]Set Up'!$O$15,IF(M11&lt;'[5]Set Up'!$J$17,(M11-'[5]Set Up'!$J$16)*'[5]Set Up'!$N$17+'[5]Set Up'!$O$15+'[5]Set Up'!$O$16,(M11-'[5]Set Up'!$J$17)*'[5]Set Up'!$N$18 + SUM('[5]Set Up'!$O$15:'[5]Set Up'!$O$17)))))</f>
        <v>389.85066488996534</v>
      </c>
      <c r="N15" s="30">
        <f>IF(N11="","",IF(N11&lt;'[5]Set Up'!$J$15,N11*'[5]Set Up'!$N$15,IF(N11&lt;'[5]Set Up'!$J$16,(N11-'[5]Set Up'!$J$15)*'[5]Set Up'!$N$16+'[5]Set Up'!$O$15,IF(N11&lt;'[5]Set Up'!$J$17,(N11-'[5]Set Up'!$J$16)*'[5]Set Up'!$N$17+'[5]Set Up'!$O$15+'[5]Set Up'!$O$16,(N11-'[5]Set Up'!$J$17)*'[5]Set Up'!$N$18 + SUM('[5]Set Up'!$O$15:'[5]Set Up'!$O$17)))))</f>
        <v>386.83451238980183</v>
      </c>
      <c r="O15" s="30">
        <f>IF(O11="","",IF(O11&lt;'[5]Set Up'!$J$15,O11*'[5]Set Up'!$N$15,IF(O11&lt;'[5]Set Up'!$J$16,(O11-'[5]Set Up'!$J$15)*'[5]Set Up'!$N$16+'[5]Set Up'!$O$15,IF(O11&lt;'[5]Set Up'!$J$17,(O11-'[5]Set Up'!$J$16)*'[5]Set Up'!$N$17+'[5]Set Up'!$O$15+'[5]Set Up'!$O$16,(O11-'[5]Set Up'!$J$17)*'[5]Set Up'!$N$18 + SUM('[5]Set Up'!$O$15:'[5]Set Up'!$O$17)))))</f>
        <v>383.83329133765892</v>
      </c>
      <c r="P15" s="30">
        <f>IF(P11="","",IF(P11&lt;'[5]Set Up'!$J$15,P11*'[5]Set Up'!$N$15,IF(P11&lt;'[5]Set Up'!$J$16,(P11-'[5]Set Up'!$J$15)*'[5]Set Up'!$N$16+'[5]Set Up'!$O$15,IF(P11&lt;'[5]Set Up'!$J$17,(P11-'[5]Set Up'!$J$16)*'[5]Set Up'!$N$17+'[5]Set Up'!$O$15+'[5]Set Up'!$O$16,(P11-'[5]Set Up'!$J$17)*'[5]Set Up'!$N$18 + SUM('[5]Set Up'!$O$15:'[5]Set Up'!$O$17)))))</f>
        <v>380.81713883749546</v>
      </c>
      <c r="Q15" s="30">
        <f>IF(Q11="","",IF(Q11&lt;'[5]Set Up'!$J$15,Q11*'[5]Set Up'!$N$15,IF(Q11&lt;'[5]Set Up'!$J$16,(Q11-'[5]Set Up'!$J$15)*'[5]Set Up'!$N$16+'[5]Set Up'!$O$15,IF(Q11&lt;'[5]Set Up'!$J$17,(Q11-'[5]Set Up'!$J$16)*'[5]Set Up'!$N$17+'[5]Set Up'!$O$15+'[5]Set Up'!$O$16,(Q11-'[5]Set Up'!$J$17)*'[5]Set Up'!$N$18 + SUM('[5]Set Up'!$O$15:'[5]Set Up'!$O$17)))))</f>
        <v>377.81591778535255</v>
      </c>
      <c r="R15" s="30">
        <f>IF(R11="","",IF(R11&lt;'[5]Set Up'!$J$15,R11*'[5]Set Up'!$N$15,IF(R11&lt;'[5]Set Up'!$J$16,(R11-'[5]Set Up'!$J$15)*'[5]Set Up'!$N$16+'[5]Set Up'!$O$15,IF(R11&lt;'[5]Set Up'!$J$17,(R11-'[5]Set Up'!$J$16)*'[5]Set Up'!$N$17+'[5]Set Up'!$O$15+'[5]Set Up'!$O$16,(R11-'[5]Set Up'!$J$17)*'[5]Set Up'!$N$18 + SUM('[5]Set Up'!$O$15:'[5]Set Up'!$O$17)))))</f>
        <v>374.7997652851891</v>
      </c>
      <c r="S15" s="30">
        <f>IF(S11="","",IF(S11&lt;'[5]Set Up'!$J$15,S11*'[5]Set Up'!$N$15,IF(S11&lt;'[5]Set Up'!$J$16,(S11-'[5]Set Up'!$J$15)*'[5]Set Up'!$N$16+'[5]Set Up'!$O$15,IF(S11&lt;'[5]Set Up'!$J$17,(S11-'[5]Set Up'!$J$16)*'[5]Set Up'!$N$17+'[5]Set Up'!$O$15+'[5]Set Up'!$O$16,(S11-'[5]Set Up'!$J$17)*'[5]Set Up'!$N$18 + SUM('[5]Set Up'!$O$15:'[5]Set Up'!$O$17)))))</f>
        <v>371.79854423304619</v>
      </c>
      <c r="T15" s="30">
        <f>IF(T11="","",IF(T11&lt;'[5]Set Up'!$J$15,T11*'[5]Set Up'!$N$15,IF(T11&lt;'[5]Set Up'!$J$16,(T11-'[5]Set Up'!$J$15)*'[5]Set Up'!$N$16+'[5]Set Up'!$O$15,IF(T11&lt;'[5]Set Up'!$J$17,(T11-'[5]Set Up'!$J$16)*'[5]Set Up'!$N$17+'[5]Set Up'!$O$15+'[5]Set Up'!$O$16,(T11-'[5]Set Up'!$J$17)*'[5]Set Up'!$N$18 + SUM('[5]Set Up'!$O$15:'[5]Set Up'!$O$17)))))</f>
        <v>368.78239173288267</v>
      </c>
      <c r="U15" s="30">
        <f>IF(U11="","",IF(U11&lt;'[5]Set Up'!$J$15,U11*'[5]Set Up'!$N$15,IF(U11&lt;'[5]Set Up'!$J$16,(U11-'[5]Set Up'!$J$15)*'[5]Set Up'!$N$16+'[5]Set Up'!$O$15,IF(U11&lt;'[5]Set Up'!$J$17,(U11-'[5]Set Up'!$J$16)*'[5]Set Up'!$N$17+'[5]Set Up'!$O$15+'[5]Set Up'!$O$16,(U11-'[5]Set Up'!$J$17)*'[5]Set Up'!$N$18 + SUM('[5]Set Up'!$O$15:'[5]Set Up'!$O$17)))))</f>
        <v>365.78117068073976</v>
      </c>
      <c r="V15" s="30">
        <f>IF(V11="","",IF(V11&lt;'[5]Set Up'!$J$15,V11*'[5]Set Up'!$N$15,IF(V11&lt;'[5]Set Up'!$J$16,(V11-'[5]Set Up'!$J$15)*'[5]Set Up'!$N$16+'[5]Set Up'!$O$15,IF(V11&lt;'[5]Set Up'!$J$17,(V11-'[5]Set Up'!$J$16)*'[5]Set Up'!$N$17+'[5]Set Up'!$O$15+'[5]Set Up'!$O$16,(V11-'[5]Set Up'!$J$17)*'[5]Set Up'!$N$18 + SUM('[5]Set Up'!$O$15:'[5]Set Up'!$O$17)))))</f>
        <v>362.76501818057625</v>
      </c>
      <c r="W15" s="30">
        <f>IF(W11="","",IF(W11&lt;'[5]Set Up'!$J$15,W11*'[5]Set Up'!$N$15,IF(W11&lt;'[5]Set Up'!$J$16,(W11-'[5]Set Up'!$J$15)*'[5]Set Up'!$N$16+'[5]Set Up'!$O$15,IF(W11&lt;'[5]Set Up'!$J$17,(W11-'[5]Set Up'!$J$16)*'[5]Set Up'!$N$17+'[5]Set Up'!$O$15+'[5]Set Up'!$O$16,(W11-'[5]Set Up'!$J$17)*'[5]Set Up'!$N$18 + SUM('[5]Set Up'!$O$15:'[5]Set Up'!$O$17)))))</f>
        <v>359.7637971284334</v>
      </c>
      <c r="X15" s="30">
        <f>IF(X11="","",IF(X11&lt;'[5]Set Up'!$J$15,X11*'[5]Set Up'!$N$15,IF(X11&lt;'[5]Set Up'!$J$16,(X11-'[5]Set Up'!$J$15)*'[5]Set Up'!$N$16+'[5]Set Up'!$O$15,IF(X11&lt;'[5]Set Up'!$J$17,(X11-'[5]Set Up'!$J$16)*'[5]Set Up'!$N$17+'[5]Set Up'!$O$15+'[5]Set Up'!$O$16,(X11-'[5]Set Up'!$J$17)*'[5]Set Up'!$N$18 + SUM('[5]Set Up'!$O$15:'[5]Set Up'!$O$17)))))</f>
        <v>356.74764462826988</v>
      </c>
      <c r="Y15" s="30">
        <f>IF(Y11="","",IF(Y11&lt;'[5]Set Up'!$J$15,Y11*'[5]Set Up'!$N$15,IF(Y11&lt;'[5]Set Up'!$J$16,(Y11-'[5]Set Up'!$J$15)*'[5]Set Up'!$N$16+'[5]Set Up'!$O$15,IF(Y11&lt;'[5]Set Up'!$J$17,(Y11-'[5]Set Up'!$J$16)*'[5]Set Up'!$N$17+'[5]Set Up'!$O$15+'[5]Set Up'!$O$16,(Y11-'[5]Set Up'!$J$17)*'[5]Set Up'!$N$18 + SUM('[5]Set Up'!$O$15:'[5]Set Up'!$O$17)))))</f>
        <v>353.74642357612697</v>
      </c>
      <c r="Z15" s="30">
        <f>IF(Z11="","",IF(Z11&lt;'[5]Set Up'!$J$15,Z11*'[5]Set Up'!$N$15,IF(Z11&lt;'[5]Set Up'!$J$16,(Z11-'[5]Set Up'!$J$15)*'[5]Set Up'!$N$16+'[5]Set Up'!$O$15,IF(Z11&lt;'[5]Set Up'!$J$17,(Z11-'[5]Set Up'!$J$16)*'[5]Set Up'!$N$17+'[5]Set Up'!$O$15+'[5]Set Up'!$O$16,(Z11-'[5]Set Up'!$J$17)*'[5]Set Up'!$N$18 + SUM('[5]Set Up'!$O$15:'[5]Set Up'!$O$17)))))</f>
        <v>350.73027107596351</v>
      </c>
      <c r="AA15" s="30">
        <f>IF(AA11="","",IF(AA11&lt;'[5]Set Up'!$J$15,AA11*'[5]Set Up'!$N$15,IF(AA11&lt;'[5]Set Up'!$J$16,(AA11-'[5]Set Up'!$J$15)*'[5]Set Up'!$N$16+'[5]Set Up'!$O$15,IF(AA11&lt;'[5]Set Up'!$J$17,(AA11-'[5]Set Up'!$J$16)*'[5]Set Up'!$N$17+'[5]Set Up'!$O$15+'[5]Set Up'!$O$16,(AA11-'[5]Set Up'!$J$17)*'[5]Set Up'!$N$18 + SUM('[5]Set Up'!$O$15:'[5]Set Up'!$O$17)))))</f>
        <v>347.72905002382061</v>
      </c>
      <c r="AB15" s="30">
        <f>IF(AB11="","",IF(AB11&lt;'[5]Set Up'!$J$15,AB11*'[5]Set Up'!$N$15,IF(AB11&lt;'[5]Set Up'!$J$16,(AB11-'[5]Set Up'!$J$15)*'[5]Set Up'!$N$16+'[5]Set Up'!$O$15,IF(AB11&lt;'[5]Set Up'!$J$17,(AB11-'[5]Set Up'!$J$16)*'[5]Set Up'!$N$17+'[5]Set Up'!$O$15+'[5]Set Up'!$O$16,(AB11-'[5]Set Up'!$J$17)*'[5]Set Up'!$N$18 + SUM('[5]Set Up'!$O$15:'[5]Set Up'!$O$17)))))</f>
        <v>344.71289752365709</v>
      </c>
      <c r="AC15" s="30">
        <f>IF(AC11="","",IF(AC11&lt;'[5]Set Up'!$J$15,AC11*'[5]Set Up'!$N$15,IF(AC11&lt;'[5]Set Up'!$J$16,(AC11-'[5]Set Up'!$J$15)*'[5]Set Up'!$N$16+'[5]Set Up'!$O$15,IF(AC11&lt;'[5]Set Up'!$J$17,(AC11-'[5]Set Up'!$J$16)*'[5]Set Up'!$N$17+'[5]Set Up'!$O$15+'[5]Set Up'!$O$16,(AC11-'[5]Set Up'!$J$17)*'[5]Set Up'!$N$18 + SUM('[5]Set Up'!$O$15:'[5]Set Up'!$O$17)))))</f>
        <v>341.71167647151424</v>
      </c>
      <c r="AD15" s="30">
        <f>IF(AD11="","",IF(AD11&lt;'[5]Set Up'!$J$15,AD11*'[5]Set Up'!$N$15,IF(AD11&lt;'[5]Set Up'!$J$16,(AD11-'[5]Set Up'!$J$15)*'[5]Set Up'!$N$16+'[5]Set Up'!$O$15,IF(AD11&lt;'[5]Set Up'!$J$17,(AD11-'[5]Set Up'!$J$16)*'[5]Set Up'!$N$17+'[5]Set Up'!$O$15+'[5]Set Up'!$O$16,(AD11-'[5]Set Up'!$J$17)*'[5]Set Up'!$N$18 + SUM('[5]Set Up'!$O$15:'[5]Set Up'!$O$17)))))</f>
        <v>338.69552397135072</v>
      </c>
      <c r="AE15" s="30">
        <f>IF(AE11="","",IF(AE11&lt;'[5]Set Up'!$J$15,AE11*'[5]Set Up'!$N$15,IF(AE11&lt;'[5]Set Up'!$J$16,(AE11-'[5]Set Up'!$J$15)*'[5]Set Up'!$N$16+'[5]Set Up'!$O$15,IF(AE11&lt;'[5]Set Up'!$J$17,(AE11-'[5]Set Up'!$J$16)*'[5]Set Up'!$N$17+'[5]Set Up'!$O$15+'[5]Set Up'!$O$16,(AE11-'[5]Set Up'!$J$17)*'[5]Set Up'!$N$18 + SUM('[5]Set Up'!$O$15:'[5]Set Up'!$O$17)))))</f>
        <v>335.69430291920781</v>
      </c>
      <c r="AF15" s="30">
        <f>IF(AF11="","",IF(AF11&lt;'[5]Set Up'!$J$15,AF11*'[5]Set Up'!$N$15,IF(AF11&lt;'[5]Set Up'!$J$16,(AF11-'[5]Set Up'!$J$15)*'[5]Set Up'!$N$16+'[5]Set Up'!$O$15,IF(AF11&lt;'[5]Set Up'!$J$17,(AF11-'[5]Set Up'!$J$16)*'[5]Set Up'!$N$17+'[5]Set Up'!$O$15+'[5]Set Up'!$O$16,(AF11-'[5]Set Up'!$J$17)*'[5]Set Up'!$N$18 + SUM('[5]Set Up'!$O$15:'[5]Set Up'!$O$17)))))</f>
        <v>332.6781504190443</v>
      </c>
      <c r="AG15" s="30">
        <f>IF(AG11="","",IF(AG11&lt;'[5]Set Up'!$J$15,AG11*'[5]Set Up'!$N$15,IF(AG11&lt;'[5]Set Up'!$J$16,(AG11-'[5]Set Up'!$J$15)*'[5]Set Up'!$N$16+'[5]Set Up'!$O$15,IF(AG11&lt;'[5]Set Up'!$J$17,(AG11-'[5]Set Up'!$J$16)*'[5]Set Up'!$N$17+'[5]Set Up'!$O$15+'[5]Set Up'!$O$16,(AG11-'[5]Set Up'!$J$17)*'[5]Set Up'!$N$18 + SUM('[5]Set Up'!$O$15:'[5]Set Up'!$O$17)))))</f>
        <v>329.67692936690145</v>
      </c>
      <c r="AH15" s="30">
        <f>IF(AH11="","",IF(AH11&lt;'[5]Set Up'!$J$15,AH11*'[5]Set Up'!$N$15,IF(AH11&lt;'[5]Set Up'!$J$16,(AH11-'[5]Set Up'!$J$15)*'[5]Set Up'!$N$16+'[5]Set Up'!$O$15,IF(AH11&lt;'[5]Set Up'!$J$17,(AH11-'[5]Set Up'!$J$16)*'[5]Set Up'!$N$17+'[5]Set Up'!$O$15+'[5]Set Up'!$O$16,(AH11-'[5]Set Up'!$J$17)*'[5]Set Up'!$N$18 + SUM('[5]Set Up'!$O$15:'[5]Set Up'!$O$17)))))</f>
        <v>326.66077686673793</v>
      </c>
      <c r="AI15" s="30">
        <f>IF(AI11="","",IF(AI11&lt;'[5]Set Up'!$J$15,AI11*'[5]Set Up'!$N$15,IF(AI11&lt;'[5]Set Up'!$J$16,(AI11-'[5]Set Up'!$J$15)*'[5]Set Up'!$N$16+'[5]Set Up'!$O$15,IF(AI11&lt;'[5]Set Up'!$J$17,(AI11-'[5]Set Up'!$J$16)*'[5]Set Up'!$N$17+'[5]Set Up'!$O$15+'[5]Set Up'!$O$16,(AI11-'[5]Set Up'!$J$17)*'[5]Set Up'!$N$18 + SUM('[5]Set Up'!$O$15:'[5]Set Up'!$O$17)))))</f>
        <v>323.65955581459502</v>
      </c>
      <c r="AJ15" s="30">
        <f>IF(AJ11="","",IF(AJ11&lt;'[5]Set Up'!$J$15,AJ11*'[5]Set Up'!$N$15,IF(AJ11&lt;'[5]Set Up'!$J$16,(AJ11-'[5]Set Up'!$J$15)*'[5]Set Up'!$N$16+'[5]Set Up'!$O$15,IF(AJ11&lt;'[5]Set Up'!$J$17,(AJ11-'[5]Set Up'!$J$16)*'[5]Set Up'!$N$17+'[5]Set Up'!$O$15+'[5]Set Up'!$O$16,(AJ11-'[5]Set Up'!$J$17)*'[5]Set Up'!$N$18 + SUM('[5]Set Up'!$O$15:'[5]Set Up'!$O$17)))))</f>
        <v>320.64340331443157</v>
      </c>
      <c r="AK15" s="30">
        <f>IF(AK11="","",IF(AK11&lt;'[5]Set Up'!$J$15,AK11*'[5]Set Up'!$N$15,IF(AK11&lt;'[5]Set Up'!$J$16,(AK11-'[5]Set Up'!$J$15)*'[5]Set Up'!$N$16+'[5]Set Up'!$O$15,IF(AK11&lt;'[5]Set Up'!$J$17,(AK11-'[5]Set Up'!$J$16)*'[5]Set Up'!$N$17+'[5]Set Up'!$O$15+'[5]Set Up'!$O$16,(AK11-'[5]Set Up'!$J$17)*'[5]Set Up'!$N$18 + SUM('[5]Set Up'!$O$15:'[5]Set Up'!$O$17)))))</f>
        <v>317.64218226228866</v>
      </c>
      <c r="AL15" s="30">
        <f>IF(AL11="","",IF(AL11&lt;'[5]Set Up'!$J$15,AL11*'[5]Set Up'!$N$15,IF(AL11&lt;'[5]Set Up'!$J$16,(AL11-'[5]Set Up'!$J$15)*'[5]Set Up'!$N$16+'[5]Set Up'!$O$15,IF(AL11&lt;'[5]Set Up'!$J$17,(AL11-'[5]Set Up'!$J$16)*'[5]Set Up'!$N$17+'[5]Set Up'!$O$15+'[5]Set Up'!$O$16,(AL11-'[5]Set Up'!$J$17)*'[5]Set Up'!$N$18 + SUM('[5]Set Up'!$O$15:'[5]Set Up'!$O$17)))))</f>
        <v>314.62602976212514</v>
      </c>
      <c r="AM15" s="30">
        <f>IF(AM11="","",IF(AM11&lt;'[5]Set Up'!$J$15,AM11*'[5]Set Up'!$N$15,IF(AM11&lt;'[5]Set Up'!$J$16,(AM11-'[5]Set Up'!$J$15)*'[5]Set Up'!$N$16+'[5]Set Up'!$O$15,IF(AM11&lt;'[5]Set Up'!$J$17,(AM11-'[5]Set Up'!$J$16)*'[5]Set Up'!$N$17+'[5]Set Up'!$O$15+'[5]Set Up'!$O$16,(AM11-'[5]Set Up'!$J$17)*'[5]Set Up'!$N$18 + SUM('[5]Set Up'!$O$15:'[5]Set Up'!$O$17)))))</f>
        <v>311.60987726196163</v>
      </c>
      <c r="AN15" s="30">
        <f>IF(AN11="","",IF(AN11&lt;'[5]Set Up'!$J$15,AN11*'[5]Set Up'!$N$15,IF(AN11&lt;'[5]Set Up'!$J$16,(AN11-'[5]Set Up'!$J$15)*'[5]Set Up'!$N$16+'[5]Set Up'!$O$15,IF(AN11&lt;'[5]Set Up'!$J$17,(AN11-'[5]Set Up'!$J$16)*'[5]Set Up'!$N$17+'[5]Set Up'!$O$15+'[5]Set Up'!$O$16,(AN11-'[5]Set Up'!$J$17)*'[5]Set Up'!$N$18 + SUM('[5]Set Up'!$O$15:'[5]Set Up'!$O$17)))))</f>
        <v>308.60865620981878</v>
      </c>
      <c r="AO15" s="30">
        <f>IF(AO11="","",IF(AO11&lt;'[5]Set Up'!$J$15,AO11*'[5]Set Up'!$N$15,IF(AO11&lt;'[5]Set Up'!$J$16,(AO11-'[5]Set Up'!$J$15)*'[5]Set Up'!$N$16+'[5]Set Up'!$O$15,IF(AO11&lt;'[5]Set Up'!$J$17,(AO11-'[5]Set Up'!$J$16)*'[5]Set Up'!$N$17+'[5]Set Up'!$O$15+'[5]Set Up'!$O$16,(AO11-'[5]Set Up'!$J$17)*'[5]Set Up'!$N$18 + SUM('[5]Set Up'!$O$15:'[5]Set Up'!$O$17)))))</f>
        <v>305.59250370965526</v>
      </c>
      <c r="AP15" s="30">
        <f>IF(AP11="","",IF(AP11&lt;'[5]Set Up'!$J$15,AP11*'[5]Set Up'!$N$15,IF(AP11&lt;'[5]Set Up'!$J$16,(AP11-'[5]Set Up'!$J$15)*'[5]Set Up'!$N$16+'[5]Set Up'!$O$15,IF(AP11&lt;'[5]Set Up'!$J$17,(AP11-'[5]Set Up'!$J$16)*'[5]Set Up'!$N$17+'[5]Set Up'!$O$15+'[5]Set Up'!$O$16,(AP11-'[5]Set Up'!$J$17)*'[5]Set Up'!$N$18 + SUM('[5]Set Up'!$O$15:'[5]Set Up'!$O$17)))))</f>
        <v>302.59128265751235</v>
      </c>
      <c r="AQ15" s="30">
        <f>IF(AQ11="","",IF(AQ11&lt;'[5]Set Up'!$J$15,AQ11*'[5]Set Up'!$N$15,IF(AQ11&lt;'[5]Set Up'!$J$16,(AQ11-'[5]Set Up'!$J$15)*'[5]Set Up'!$N$16+'[5]Set Up'!$O$15,IF(AQ11&lt;'[5]Set Up'!$J$17,(AQ11-'[5]Set Up'!$J$16)*'[5]Set Up'!$N$17+'[5]Set Up'!$O$15+'[5]Set Up'!$O$16,(AQ11-'[5]Set Up'!$J$17)*'[5]Set Up'!$N$18 + SUM('[5]Set Up'!$O$15:'[5]Set Up'!$O$17)))))</f>
        <v>299.57513015734884</v>
      </c>
      <c r="AR15" s="30">
        <f>IF(AR11="","",IF(AR11&lt;'[5]Set Up'!$J$15,AR11*'[5]Set Up'!$N$15,IF(AR11&lt;'[5]Set Up'!$J$16,(AR11-'[5]Set Up'!$J$15)*'[5]Set Up'!$N$16+'[5]Set Up'!$O$15,IF(AR11&lt;'[5]Set Up'!$J$17,(AR11-'[5]Set Up'!$J$16)*'[5]Set Up'!$N$17+'[5]Set Up'!$O$15+'[5]Set Up'!$O$16,(AR11-'[5]Set Up'!$J$17)*'[5]Set Up'!$N$18 + SUM('[5]Set Up'!$O$15:'[5]Set Up'!$O$17)))))</f>
        <v>296.57390910520598</v>
      </c>
      <c r="AS15" s="30">
        <f>IF(AS11="","",IF(AS11&lt;'[5]Set Up'!$J$15,AS11*'[5]Set Up'!$N$15,IF(AS11&lt;'[5]Set Up'!$J$16,(AS11-'[5]Set Up'!$J$15)*'[5]Set Up'!$N$16+'[5]Set Up'!$O$15,IF(AS11&lt;'[5]Set Up'!$J$17,(AS11-'[5]Set Up'!$J$16)*'[5]Set Up'!$N$17+'[5]Set Up'!$O$15+'[5]Set Up'!$O$16,(AS11-'[5]Set Up'!$J$17)*'[5]Set Up'!$N$18 + SUM('[5]Set Up'!$O$15:'[5]Set Up'!$O$17)))))</f>
        <v>293.55775660504247</v>
      </c>
      <c r="AT15" s="30">
        <f>IF(AT11="","",IF(AT11&lt;'[5]Set Up'!$J$15,AT11*'[5]Set Up'!$N$15,IF(AT11&lt;'[5]Set Up'!$J$16,(AT11-'[5]Set Up'!$J$15)*'[5]Set Up'!$N$16+'[5]Set Up'!$O$15,IF(AT11&lt;'[5]Set Up'!$J$17,(AT11-'[5]Set Up'!$J$16)*'[5]Set Up'!$N$17+'[5]Set Up'!$O$15+'[5]Set Up'!$O$16,(AT11-'[5]Set Up'!$J$17)*'[5]Set Up'!$N$18 + SUM('[5]Set Up'!$O$15:'[5]Set Up'!$O$17)))))</f>
        <v>290.55653555289956</v>
      </c>
      <c r="AU15" s="30">
        <f>IF(AU11="","",IF(AU11&lt;'[5]Set Up'!$J$15,AU11*'[5]Set Up'!$N$15,IF(AU11&lt;'[5]Set Up'!$J$16,(AU11-'[5]Set Up'!$J$15)*'[5]Set Up'!$N$16+'[5]Set Up'!$O$15,IF(AU11&lt;'[5]Set Up'!$J$17,(AU11-'[5]Set Up'!$J$16)*'[5]Set Up'!$N$17+'[5]Set Up'!$O$15+'[5]Set Up'!$O$16,(AU11-'[5]Set Up'!$J$17)*'[5]Set Up'!$N$18 + SUM('[5]Set Up'!$O$15:'[5]Set Up'!$O$17)))))</f>
        <v>287.54038305273605</v>
      </c>
      <c r="AV15" s="30">
        <f>IF(AV11="","",IF(AV11&lt;'[5]Set Up'!$J$15,AV11*'[5]Set Up'!$N$15,IF(AV11&lt;'[5]Set Up'!$J$16,(AV11-'[5]Set Up'!$J$15)*'[5]Set Up'!$N$16+'[5]Set Up'!$O$15,IF(AV11&lt;'[5]Set Up'!$J$17,(AV11-'[5]Set Up'!$J$16)*'[5]Set Up'!$N$17+'[5]Set Up'!$O$15+'[5]Set Up'!$O$16,(AV11-'[5]Set Up'!$J$17)*'[5]Set Up'!$N$18 + SUM('[5]Set Up'!$O$15:'[5]Set Up'!$O$17)))))</f>
        <v>284.53916200059319</v>
      </c>
      <c r="AW15" s="30">
        <f>IF(AW11="","",IF(AW11&lt;'[5]Set Up'!$J$15,AW11*'[5]Set Up'!$N$15,IF(AW11&lt;'[5]Set Up'!$J$16,(AW11-'[5]Set Up'!$J$15)*'[5]Set Up'!$N$16+'[5]Set Up'!$O$15,IF(AW11&lt;'[5]Set Up'!$J$17,(AW11-'[5]Set Up'!$J$16)*'[5]Set Up'!$N$17+'[5]Set Up'!$O$15+'[5]Set Up'!$O$16,(AW11-'[5]Set Up'!$J$17)*'[5]Set Up'!$N$18 + SUM('[5]Set Up'!$O$15:'[5]Set Up'!$O$17)))))</f>
        <v>281.52300950042968</v>
      </c>
      <c r="AX15" s="30">
        <f>IF(AX11="","",IF(AX11&lt;'[5]Set Up'!$J$15,AX11*'[5]Set Up'!$N$15,IF(AX11&lt;'[5]Set Up'!$J$16,(AX11-'[5]Set Up'!$J$15)*'[5]Set Up'!$N$16+'[5]Set Up'!$O$15,IF(AX11&lt;'[5]Set Up'!$J$17,(AX11-'[5]Set Up'!$J$16)*'[5]Set Up'!$N$17+'[5]Set Up'!$O$15+'[5]Set Up'!$O$16,(AX11-'[5]Set Up'!$J$17)*'[5]Set Up'!$N$18 + SUM('[5]Set Up'!$O$15:'[5]Set Up'!$O$17)))))</f>
        <v>278.52178844828677</v>
      </c>
      <c r="AY15" s="30">
        <f>IF(AY11="","",IF(AY11&lt;'[5]Set Up'!$J$15,AY11*'[5]Set Up'!$N$15,IF(AY11&lt;'[5]Set Up'!$J$16,(AY11-'[5]Set Up'!$J$15)*'[5]Set Up'!$N$16+'[5]Set Up'!$O$15,IF(AY11&lt;'[5]Set Up'!$J$17,(AY11-'[5]Set Up'!$J$16)*'[5]Set Up'!$N$17+'[5]Set Up'!$O$15+'[5]Set Up'!$O$16,(AY11-'[5]Set Up'!$J$17)*'[5]Set Up'!$N$18 + SUM('[5]Set Up'!$O$15:'[5]Set Up'!$O$17)))))</f>
        <v>275.50563594812331</v>
      </c>
      <c r="AZ15" s="30">
        <f>IF(AZ11="","",IF(AZ11&lt;'[5]Set Up'!$J$15,AZ11*'[5]Set Up'!$N$15,IF(AZ11&lt;'[5]Set Up'!$J$16,(AZ11-'[5]Set Up'!$J$15)*'[5]Set Up'!$N$16+'[5]Set Up'!$O$15,IF(AZ11&lt;'[5]Set Up'!$J$17,(AZ11-'[5]Set Up'!$J$16)*'[5]Set Up'!$N$17+'[5]Set Up'!$O$15+'[5]Set Up'!$O$16,(AZ11-'[5]Set Up'!$J$17)*'[5]Set Up'!$N$18 + SUM('[5]Set Up'!$O$15:'[5]Set Up'!$O$17)))))</f>
        <v>272.5044148959804</v>
      </c>
      <c r="BA15" s="30">
        <f>IF(BA11="","",IF(BA11&lt;'[5]Set Up'!$J$15,BA11*'[5]Set Up'!$N$15,IF(BA11&lt;'[5]Set Up'!$J$16,(BA11-'[5]Set Up'!$J$15)*'[5]Set Up'!$N$16+'[5]Set Up'!$O$15,IF(BA11&lt;'[5]Set Up'!$J$17,(BA11-'[5]Set Up'!$J$16)*'[5]Set Up'!$N$17+'[5]Set Up'!$O$15+'[5]Set Up'!$O$16,(BA11-'[5]Set Up'!$J$17)*'[5]Set Up'!$N$18 + SUM('[5]Set Up'!$O$15:'[5]Set Up'!$O$17)))))</f>
        <v>269.48826239581689</v>
      </c>
      <c r="BB15" s="30">
        <f>IF(BB11="","",IF(BB11&lt;'[5]Set Up'!$J$15,BB11*'[5]Set Up'!$N$15,IF(BB11&lt;'[5]Set Up'!$J$16,(BB11-'[5]Set Up'!$J$15)*'[5]Set Up'!$N$16+'[5]Set Up'!$O$15,IF(BB11&lt;'[5]Set Up'!$J$17,(BB11-'[5]Set Up'!$J$16)*'[5]Set Up'!$N$17+'[5]Set Up'!$O$15+'[5]Set Up'!$O$16,(BB11-'[5]Set Up'!$J$17)*'[5]Set Up'!$N$18 + SUM('[5]Set Up'!$O$15:'[5]Set Up'!$O$17)))))</f>
        <v>266.48704134367404</v>
      </c>
      <c r="BC15" s="30">
        <f>IF(BC11="","",IF(BC11&lt;'[5]Set Up'!$J$15,BC11*'[5]Set Up'!$N$15,IF(BC11&lt;'[5]Set Up'!$J$16,(BC11-'[5]Set Up'!$J$15)*'[5]Set Up'!$N$16+'[5]Set Up'!$O$15,IF(BC11&lt;'[5]Set Up'!$J$17,(BC11-'[5]Set Up'!$J$16)*'[5]Set Up'!$N$17+'[5]Set Up'!$O$15+'[5]Set Up'!$O$16,(BC11-'[5]Set Up'!$J$17)*'[5]Set Up'!$N$18 + SUM('[5]Set Up'!$O$15:'[5]Set Up'!$O$17)))))</f>
        <v>263.47088884351052</v>
      </c>
      <c r="BD15" s="30">
        <f>IF(BD11="","",IF(BD11&lt;'[5]Set Up'!$J$15,BD11*'[5]Set Up'!$N$15,IF(BD11&lt;'[5]Set Up'!$J$16,(BD11-'[5]Set Up'!$J$15)*'[5]Set Up'!$N$16+'[5]Set Up'!$O$15,IF(BD11&lt;'[5]Set Up'!$J$17,(BD11-'[5]Set Up'!$J$16)*'[5]Set Up'!$N$17+'[5]Set Up'!$O$15+'[5]Set Up'!$O$16,(BD11-'[5]Set Up'!$J$17)*'[5]Set Up'!$N$18 + SUM('[5]Set Up'!$O$15:'[5]Set Up'!$O$17)))))</f>
        <v>0</v>
      </c>
      <c r="BE15" s="30">
        <f>IF(BE11="","",IF(BE11&lt;'[5]Set Up'!$J$15,BE11*'[5]Set Up'!$N$15,IF(BE11&lt;'[5]Set Up'!$J$16,(BE11-'[5]Set Up'!$J$15)*'[5]Set Up'!$N$16+'[5]Set Up'!$O$15,IF(BE11&lt;'[5]Set Up'!$J$17,(BE11-'[5]Set Up'!$J$16)*'[5]Set Up'!$N$17+'[5]Set Up'!$O$15+'[5]Set Up'!$O$16,(BE11-'[5]Set Up'!$J$17)*'[5]Set Up'!$N$18 + SUM('[5]Set Up'!$O$15:'[5]Set Up'!$O$17)))))</f>
        <v>0</v>
      </c>
      <c r="BF15" s="30">
        <f>IF(BF11="","",IF(BF11&lt;'[5]Set Up'!$J$15,BF11*'[5]Set Up'!$N$15,IF(BF11&lt;'[5]Set Up'!$J$16,(BF11-'[5]Set Up'!$J$15)*'[5]Set Up'!$N$16+'[5]Set Up'!$O$15,IF(BF11&lt;'[5]Set Up'!$J$17,(BF11-'[5]Set Up'!$J$16)*'[5]Set Up'!$N$17+'[5]Set Up'!$O$15+'[5]Set Up'!$O$16,(BF11-'[5]Set Up'!$J$17)*'[5]Set Up'!$N$18 + SUM('[5]Set Up'!$O$15:'[5]Set Up'!$O$17)))))</f>
        <v>0</v>
      </c>
      <c r="BG15" s="30">
        <f>IF(BG11="","",IF(BG11&lt;'[5]Set Up'!$J$15,BG11*'[5]Set Up'!$N$15,IF(BG11&lt;'[5]Set Up'!$J$16,(BG11-'[5]Set Up'!$J$15)*'[5]Set Up'!$N$16+'[5]Set Up'!$O$15,IF(BG11&lt;'[5]Set Up'!$J$17,(BG11-'[5]Set Up'!$J$16)*'[5]Set Up'!$N$17+'[5]Set Up'!$O$15+'[5]Set Up'!$O$16,(BG11-'[5]Set Up'!$J$17)*'[5]Set Up'!$N$18 + SUM('[5]Set Up'!$O$15:'[5]Set Up'!$O$17)))))</f>
        <v>0</v>
      </c>
      <c r="BH15" s="30">
        <f>IF(BH11="","",IF(BH11&lt;'[5]Set Up'!$J$15,BH11*'[5]Set Up'!$N$15,IF(BH11&lt;'[5]Set Up'!$J$16,(BH11-'[5]Set Up'!$J$15)*'[5]Set Up'!$N$16+'[5]Set Up'!$O$15,IF(BH11&lt;'[5]Set Up'!$J$17,(BH11-'[5]Set Up'!$J$16)*'[5]Set Up'!$N$17+'[5]Set Up'!$O$15+'[5]Set Up'!$O$16,(BH11-'[5]Set Up'!$J$17)*'[5]Set Up'!$N$18 + SUM('[5]Set Up'!$O$15:'[5]Set Up'!$O$17)))))</f>
        <v>0</v>
      </c>
      <c r="BI15" s="30">
        <f>IF(BI11="","",IF(BI11&lt;'[5]Set Up'!$J$15,BI11*'[5]Set Up'!$N$15,IF(BI11&lt;'[5]Set Up'!$J$16,(BI11-'[5]Set Up'!$J$15)*'[5]Set Up'!$N$16+'[5]Set Up'!$O$15,IF(BI11&lt;'[5]Set Up'!$J$17,(BI11-'[5]Set Up'!$J$16)*'[5]Set Up'!$N$17+'[5]Set Up'!$O$15+'[5]Set Up'!$O$16,(BI11-'[5]Set Up'!$J$17)*'[5]Set Up'!$N$18 + SUM('[5]Set Up'!$O$15:'[5]Set Up'!$O$17)))))</f>
        <v>0</v>
      </c>
      <c r="BJ15" s="30">
        <f>IF(BJ11="","",IF(BJ11&lt;'[5]Set Up'!$J$15,BJ11*'[5]Set Up'!$N$15,IF(BJ11&lt;'[5]Set Up'!$J$16,(BJ11-'[5]Set Up'!$J$15)*'[5]Set Up'!$N$16+'[5]Set Up'!$O$15,IF(BJ11&lt;'[5]Set Up'!$J$17,(BJ11-'[5]Set Up'!$J$16)*'[5]Set Up'!$N$17+'[5]Set Up'!$O$15+'[5]Set Up'!$O$16,(BJ11-'[5]Set Up'!$J$17)*'[5]Set Up'!$N$18 + SUM('[5]Set Up'!$O$15:'[5]Set Up'!$O$17)))))</f>
        <v>0</v>
      </c>
      <c r="BK15" s="30">
        <f>IF(BK11="","",IF(BK11&lt;'[5]Set Up'!$J$15,BK11*'[5]Set Up'!$N$15,IF(BK11&lt;'[5]Set Up'!$J$16,(BK11-'[5]Set Up'!$J$15)*'[5]Set Up'!$N$16+'[5]Set Up'!$O$15,IF(BK11&lt;'[5]Set Up'!$J$17,(BK11-'[5]Set Up'!$J$16)*'[5]Set Up'!$N$17+'[5]Set Up'!$O$15+'[5]Set Up'!$O$16,(BK11-'[5]Set Up'!$J$17)*'[5]Set Up'!$N$18 + SUM('[5]Set Up'!$O$15:'[5]Set Up'!$O$17)))))</f>
        <v>0</v>
      </c>
      <c r="BL15" s="30">
        <f>IF(BL11="","",IF(BL11&lt;'[5]Set Up'!$J$15,BL11*'[5]Set Up'!$N$15,IF(BL11&lt;'[5]Set Up'!$J$16,(BL11-'[5]Set Up'!$J$15)*'[5]Set Up'!$N$16+'[5]Set Up'!$O$15,IF(BL11&lt;'[5]Set Up'!$J$17,(BL11-'[5]Set Up'!$J$16)*'[5]Set Up'!$N$17+'[5]Set Up'!$O$15+'[5]Set Up'!$O$16,(BL11-'[5]Set Up'!$J$17)*'[5]Set Up'!$N$18 + SUM('[5]Set Up'!$O$15:'[5]Set Up'!$O$17)))))</f>
        <v>0</v>
      </c>
      <c r="BM15" s="30">
        <f>IF(BM11="","",IF(BM11&lt;'[5]Set Up'!$J$15,BM11*'[5]Set Up'!$N$15,IF(BM11&lt;'[5]Set Up'!$J$16,(BM11-'[5]Set Up'!$J$15)*'[5]Set Up'!$N$16+'[5]Set Up'!$O$15,IF(BM11&lt;'[5]Set Up'!$J$17,(BM11-'[5]Set Up'!$J$16)*'[5]Set Up'!$N$17+'[5]Set Up'!$O$15+'[5]Set Up'!$O$16,(BM11-'[5]Set Up'!$J$17)*'[5]Set Up'!$N$18 + SUM('[5]Set Up'!$O$15:'[5]Set Up'!$O$17)))))</f>
        <v>0</v>
      </c>
      <c r="BN15" s="30">
        <f>IF(BN11="","",IF(BN11&lt;'[5]Set Up'!$J$15,BN11*'[5]Set Up'!$N$15,IF(BN11&lt;'[5]Set Up'!$J$16,(BN11-'[5]Set Up'!$J$15)*'[5]Set Up'!$N$16+'[5]Set Up'!$O$15,IF(BN11&lt;'[5]Set Up'!$J$17,(BN11-'[5]Set Up'!$J$16)*'[5]Set Up'!$N$17+'[5]Set Up'!$O$15+'[5]Set Up'!$O$16,(BN11-'[5]Set Up'!$J$17)*'[5]Set Up'!$N$18 + SUM('[5]Set Up'!$O$15:'[5]Set Up'!$O$17)))))</f>
        <v>0</v>
      </c>
      <c r="BO15" s="30">
        <f>IF(BO11="","",IF(BO11&lt;'[5]Set Up'!$J$15,BO11*'[5]Set Up'!$N$15,IF(BO11&lt;'[5]Set Up'!$J$16,(BO11-'[5]Set Up'!$J$15)*'[5]Set Up'!$N$16+'[5]Set Up'!$O$15,IF(BO11&lt;'[5]Set Up'!$J$17,(BO11-'[5]Set Up'!$J$16)*'[5]Set Up'!$N$17+'[5]Set Up'!$O$15+'[5]Set Up'!$O$16,(BO11-'[5]Set Up'!$J$17)*'[5]Set Up'!$N$18 + SUM('[5]Set Up'!$O$15:'[5]Set Up'!$O$17)))))</f>
        <v>0</v>
      </c>
      <c r="BP15" s="30">
        <f>IF(BP11="","",IF(BP11&lt;'[5]Set Up'!$J$15,BP11*'[5]Set Up'!$N$15,IF(BP11&lt;'[5]Set Up'!$J$16,(BP11-'[5]Set Up'!$J$15)*'[5]Set Up'!$N$16+'[5]Set Up'!$O$15,IF(BP11&lt;'[5]Set Up'!$J$17,(BP11-'[5]Set Up'!$J$16)*'[5]Set Up'!$N$17+'[5]Set Up'!$O$15+'[5]Set Up'!$O$16,(BP11-'[5]Set Up'!$J$17)*'[5]Set Up'!$N$18 + SUM('[5]Set Up'!$O$15:'[5]Set Up'!$O$17)))))</f>
        <v>0</v>
      </c>
      <c r="BQ15" s="30">
        <f>IF(BQ11="","",IF(BQ11&lt;'[5]Set Up'!$J$15,BQ11*'[5]Set Up'!$N$15,IF(BQ11&lt;'[5]Set Up'!$J$16,(BQ11-'[5]Set Up'!$J$15)*'[5]Set Up'!$N$16+'[5]Set Up'!$O$15,IF(BQ11&lt;'[5]Set Up'!$J$17,(BQ11-'[5]Set Up'!$J$16)*'[5]Set Up'!$N$17+'[5]Set Up'!$O$15+'[5]Set Up'!$O$16,(BQ11-'[5]Set Up'!$J$17)*'[5]Set Up'!$N$18 + SUM('[5]Set Up'!$O$15:'[5]Set Up'!$O$17)))))</f>
        <v>0</v>
      </c>
      <c r="BR15" s="30">
        <f>IF(BR11="","",IF(BR11&lt;'[5]Set Up'!$J$15,BR11*'[5]Set Up'!$N$15,IF(BR11&lt;'[5]Set Up'!$J$16,(BR11-'[5]Set Up'!$J$15)*'[5]Set Up'!$N$16+'[5]Set Up'!$O$15,IF(BR11&lt;'[5]Set Up'!$J$17,(BR11-'[5]Set Up'!$J$16)*'[5]Set Up'!$N$17+'[5]Set Up'!$O$15+'[5]Set Up'!$O$16,(BR11-'[5]Set Up'!$J$17)*'[5]Set Up'!$N$18 + SUM('[5]Set Up'!$O$15:'[5]Set Up'!$O$17)))))</f>
        <v>0</v>
      </c>
      <c r="BS15" s="30">
        <f>IF(BS11="","",IF(BS11&lt;'[5]Set Up'!$J$15,BS11*'[5]Set Up'!$N$15,IF(BS11&lt;'[5]Set Up'!$J$16,(BS11-'[5]Set Up'!$J$15)*'[5]Set Up'!$N$16+'[5]Set Up'!$O$15,IF(BS11&lt;'[5]Set Up'!$J$17,(BS11-'[5]Set Up'!$J$16)*'[5]Set Up'!$N$17+'[5]Set Up'!$O$15+'[5]Set Up'!$O$16,(BS11-'[5]Set Up'!$J$17)*'[5]Set Up'!$N$18 + SUM('[5]Set Up'!$O$15:'[5]Set Up'!$O$17)))))</f>
        <v>0</v>
      </c>
      <c r="BT15" s="30">
        <f>IF(BT11="","",IF(BT11&lt;'[5]Set Up'!$J$15,BT11*'[5]Set Up'!$N$15,IF(BT11&lt;'[5]Set Up'!$J$16,(BT11-'[5]Set Up'!$J$15)*'[5]Set Up'!$N$16+'[5]Set Up'!$O$15,IF(BT11&lt;'[5]Set Up'!$J$17,(BT11-'[5]Set Up'!$J$16)*'[5]Set Up'!$N$17+'[5]Set Up'!$O$15+'[5]Set Up'!$O$16,(BT11-'[5]Set Up'!$J$17)*'[5]Set Up'!$N$18 + SUM('[5]Set Up'!$O$15:'[5]Set Up'!$O$17)))))</f>
        <v>0</v>
      </c>
      <c r="BU15" s="30">
        <f>IF(BU11="","",IF(BU11&lt;'[5]Set Up'!$J$15,BU11*'[5]Set Up'!$N$15,IF(BU11&lt;'[5]Set Up'!$J$16,(BU11-'[5]Set Up'!$J$15)*'[5]Set Up'!$N$16+'[5]Set Up'!$O$15,IF(BU11&lt;'[5]Set Up'!$J$17,(BU11-'[5]Set Up'!$J$16)*'[5]Set Up'!$N$17+'[5]Set Up'!$O$15+'[5]Set Up'!$O$16,(BU11-'[5]Set Up'!$J$17)*'[5]Set Up'!$N$18 + SUM('[5]Set Up'!$O$15:'[5]Set Up'!$O$17)))))</f>
        <v>0</v>
      </c>
      <c r="BV15" s="30">
        <f>IF(BV11="","",IF(BV11&lt;'[5]Set Up'!$J$15,BV11*'[5]Set Up'!$N$15,IF(BV11&lt;'[5]Set Up'!$J$16,(BV11-'[5]Set Up'!$J$15)*'[5]Set Up'!$N$16+'[5]Set Up'!$O$15,IF(BV11&lt;'[5]Set Up'!$J$17,(BV11-'[5]Set Up'!$J$16)*'[5]Set Up'!$N$17+'[5]Set Up'!$O$15+'[5]Set Up'!$O$16,(BV11-'[5]Set Up'!$J$17)*'[5]Set Up'!$N$18 + SUM('[5]Set Up'!$O$15:'[5]Set Up'!$O$17)))))</f>
        <v>0</v>
      </c>
      <c r="BW15" s="30">
        <f>IF(BW11="","",IF(BW11&lt;'[5]Set Up'!$J$15,BW11*'[5]Set Up'!$N$15,IF(BW11&lt;'[5]Set Up'!$J$16,(BW11-'[5]Set Up'!$J$15)*'[5]Set Up'!$N$16+'[5]Set Up'!$O$15,IF(BW11&lt;'[5]Set Up'!$J$17,(BW11-'[5]Set Up'!$J$16)*'[5]Set Up'!$N$17+'[5]Set Up'!$O$15+'[5]Set Up'!$O$16,(BW11-'[5]Set Up'!$J$17)*'[5]Set Up'!$N$18 + SUM('[5]Set Up'!$O$15:'[5]Set Up'!$O$17)))))</f>
        <v>0</v>
      </c>
      <c r="BX15" s="30">
        <f>IF(BX11="","",IF(BX11&lt;'[5]Set Up'!$J$15,BX11*'[5]Set Up'!$N$15,IF(BX11&lt;'[5]Set Up'!$J$16,(BX11-'[5]Set Up'!$J$15)*'[5]Set Up'!$N$16+'[5]Set Up'!$O$15,IF(BX11&lt;'[5]Set Up'!$J$17,(BX11-'[5]Set Up'!$J$16)*'[5]Set Up'!$N$17+'[5]Set Up'!$O$15+'[5]Set Up'!$O$16,(BX11-'[5]Set Up'!$J$17)*'[5]Set Up'!$N$18 + SUM('[5]Set Up'!$O$15:'[5]Set Up'!$O$17)))))</f>
        <v>0</v>
      </c>
      <c r="BY15" s="30">
        <f>IF(BY11="","",IF(BY11&lt;'[5]Set Up'!$J$15,BY11*'[5]Set Up'!$N$15,IF(BY11&lt;'[5]Set Up'!$J$16,(BY11-'[5]Set Up'!$J$15)*'[5]Set Up'!$N$16+'[5]Set Up'!$O$15,IF(BY11&lt;'[5]Set Up'!$J$17,(BY11-'[5]Set Up'!$J$16)*'[5]Set Up'!$N$17+'[5]Set Up'!$O$15+'[5]Set Up'!$O$16,(BY11-'[5]Set Up'!$J$17)*'[5]Set Up'!$N$18 + SUM('[5]Set Up'!$O$15:'[5]Set Up'!$O$17)))))</f>
        <v>0</v>
      </c>
      <c r="BZ15" s="8"/>
    </row>
    <row r="16" spans="1:78" ht="15" thickBot="1" x14ac:dyDescent="0.4">
      <c r="A16" s="31"/>
      <c r="B16" s="32"/>
      <c r="C16" s="183" t="s">
        <v>23</v>
      </c>
      <c r="D16" s="184"/>
      <c r="E16" s="184"/>
      <c r="F16" s="184"/>
      <c r="G16" s="184"/>
      <c r="H16" s="184"/>
      <c r="I16" s="185"/>
      <c r="J16" s="32"/>
      <c r="K16" s="32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8"/>
    </row>
    <row r="17" spans="1:78" x14ac:dyDescent="0.35">
      <c r="A17" s="34" t="s">
        <v>24</v>
      </c>
      <c r="B17" s="35" t="s">
        <v>11</v>
      </c>
      <c r="C17" s="36">
        <v>43281</v>
      </c>
      <c r="D17" s="36">
        <v>43282</v>
      </c>
      <c r="E17" s="36">
        <v>43282</v>
      </c>
      <c r="F17" s="36">
        <v>43282</v>
      </c>
      <c r="G17" s="36">
        <v>43283</v>
      </c>
      <c r="H17" s="36">
        <v>43283</v>
      </c>
      <c r="I17" s="36">
        <v>43283</v>
      </c>
      <c r="J17" s="36">
        <v>43284</v>
      </c>
      <c r="K17" s="36">
        <v>43284</v>
      </c>
      <c r="L17" s="36">
        <v>43284</v>
      </c>
      <c r="M17" s="36">
        <v>43285</v>
      </c>
      <c r="N17" s="36">
        <v>43285</v>
      </c>
      <c r="O17" s="36">
        <v>43285</v>
      </c>
      <c r="P17" s="36">
        <v>43286</v>
      </c>
      <c r="Q17" s="36">
        <v>43286</v>
      </c>
      <c r="R17" s="36">
        <v>43286</v>
      </c>
      <c r="S17" s="36">
        <v>43287</v>
      </c>
      <c r="T17" s="36">
        <v>43287</v>
      </c>
      <c r="U17" s="36">
        <v>43287</v>
      </c>
      <c r="V17" s="36">
        <v>43287</v>
      </c>
      <c r="W17" s="36">
        <v>43288</v>
      </c>
      <c r="X17" s="36">
        <v>43288</v>
      </c>
      <c r="Y17" s="36">
        <v>43289</v>
      </c>
      <c r="Z17" s="36">
        <v>43289</v>
      </c>
      <c r="AA17" s="36">
        <v>43289</v>
      </c>
      <c r="AB17" s="36">
        <v>43289</v>
      </c>
      <c r="AC17" s="36">
        <v>43290</v>
      </c>
      <c r="AD17" s="36">
        <v>43290</v>
      </c>
      <c r="AE17" s="36">
        <v>43290</v>
      </c>
      <c r="AF17" s="36">
        <v>43291</v>
      </c>
      <c r="AG17" s="36">
        <v>43291</v>
      </c>
      <c r="AH17" s="36">
        <v>43291</v>
      </c>
      <c r="AI17" s="36">
        <v>43292</v>
      </c>
      <c r="AJ17" s="36">
        <v>43292</v>
      </c>
      <c r="AK17" s="36">
        <v>43292</v>
      </c>
      <c r="AL17" s="36">
        <v>43293</v>
      </c>
      <c r="AM17" s="36">
        <v>43293</v>
      </c>
      <c r="AN17" s="36">
        <v>43294</v>
      </c>
      <c r="AO17" s="36">
        <v>43294</v>
      </c>
      <c r="AP17" s="36">
        <v>43294</v>
      </c>
      <c r="AQ17" s="36">
        <v>43294</v>
      </c>
      <c r="AR17" s="36">
        <v>43295</v>
      </c>
      <c r="AS17" s="36">
        <v>43295</v>
      </c>
      <c r="AT17" s="36">
        <v>43295</v>
      </c>
      <c r="AU17" s="36">
        <v>43296</v>
      </c>
      <c r="AV17" s="36">
        <v>43296</v>
      </c>
      <c r="AW17" s="36">
        <v>43296</v>
      </c>
      <c r="AX17" s="36">
        <v>43296</v>
      </c>
      <c r="AY17" s="36">
        <v>43297</v>
      </c>
      <c r="AZ17" s="36">
        <v>43297</v>
      </c>
      <c r="BA17" s="36">
        <v>43297</v>
      </c>
      <c r="BB17" s="36">
        <v>43297</v>
      </c>
      <c r="BC17" s="36">
        <v>43298</v>
      </c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7"/>
    </row>
    <row r="18" spans="1:78" x14ac:dyDescent="0.35">
      <c r="A18" s="38" t="s">
        <v>25</v>
      </c>
      <c r="B18" s="39">
        <f>IF(C18="","",AVERAGE(C18:BY18))</f>
        <v>5109.8113207547167</v>
      </c>
      <c r="C18" s="40">
        <v>4540</v>
      </c>
      <c r="D18" s="40">
        <v>3980</v>
      </c>
      <c r="E18" s="41">
        <v>4480</v>
      </c>
      <c r="F18" s="41">
        <v>5210</v>
      </c>
      <c r="G18" s="41">
        <v>5120</v>
      </c>
      <c r="H18" s="41">
        <v>5110</v>
      </c>
      <c r="I18" s="41">
        <v>4780</v>
      </c>
      <c r="J18" s="41">
        <v>4860</v>
      </c>
      <c r="K18" s="41">
        <v>5300</v>
      </c>
      <c r="L18" s="41">
        <v>5160</v>
      </c>
      <c r="M18" s="41">
        <v>5040</v>
      </c>
      <c r="N18" s="41">
        <v>5270</v>
      </c>
      <c r="O18" s="41">
        <v>5280</v>
      </c>
      <c r="P18" s="41">
        <v>5570</v>
      </c>
      <c r="Q18" s="41">
        <v>5380</v>
      </c>
      <c r="R18" s="41">
        <v>5210</v>
      </c>
      <c r="S18" s="41">
        <v>5380</v>
      </c>
      <c r="T18" s="41">
        <v>5130</v>
      </c>
      <c r="U18" s="41">
        <v>5090</v>
      </c>
      <c r="V18" s="41">
        <v>4800</v>
      </c>
      <c r="W18" s="41">
        <v>4690</v>
      </c>
      <c r="X18" s="41">
        <v>5010</v>
      </c>
      <c r="Y18" s="41">
        <v>5110</v>
      </c>
      <c r="Z18" s="41">
        <v>4970</v>
      </c>
      <c r="AA18" s="41">
        <v>5180</v>
      </c>
      <c r="AB18" s="41">
        <v>5140</v>
      </c>
      <c r="AC18" s="41">
        <v>4940</v>
      </c>
      <c r="AD18" s="41">
        <v>4870</v>
      </c>
      <c r="AE18" s="41">
        <v>4750</v>
      </c>
      <c r="AF18" s="41">
        <v>4780</v>
      </c>
      <c r="AG18" s="41">
        <v>5130</v>
      </c>
      <c r="AH18" s="41">
        <v>5050</v>
      </c>
      <c r="AI18" s="41">
        <v>5280</v>
      </c>
      <c r="AJ18" s="41">
        <v>5230</v>
      </c>
      <c r="AK18" s="41">
        <v>5260</v>
      </c>
      <c r="AL18" s="41">
        <v>5240</v>
      </c>
      <c r="AM18" s="41">
        <v>5080</v>
      </c>
      <c r="AN18" s="41">
        <v>5330</v>
      </c>
      <c r="AO18" s="41">
        <v>5200</v>
      </c>
      <c r="AP18" s="41">
        <v>5240</v>
      </c>
      <c r="AQ18" s="41">
        <v>5240</v>
      </c>
      <c r="AR18" s="41">
        <v>5350</v>
      </c>
      <c r="AS18" s="41">
        <v>5120</v>
      </c>
      <c r="AT18" s="41">
        <v>5270</v>
      </c>
      <c r="AU18" s="41">
        <v>5200</v>
      </c>
      <c r="AV18" s="41">
        <v>5330</v>
      </c>
      <c r="AW18" s="41">
        <v>5340</v>
      </c>
      <c r="AX18" s="41">
        <v>5400</v>
      </c>
      <c r="AY18" s="41">
        <v>5250</v>
      </c>
      <c r="AZ18" s="41">
        <v>5100</v>
      </c>
      <c r="BA18" s="41">
        <v>5360</v>
      </c>
      <c r="BB18" s="41">
        <v>5380</v>
      </c>
      <c r="BC18" s="41">
        <v>5310</v>
      </c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2"/>
    </row>
    <row r="19" spans="1:78" ht="15" thickBot="1" x14ac:dyDescent="0.4">
      <c r="A19" s="43" t="s">
        <v>26</v>
      </c>
      <c r="B19" s="44">
        <f>IF(C19="","",AVERAGE(C19:BY19))</f>
        <v>7892.291666666667</v>
      </c>
      <c r="C19" s="45">
        <v>6430</v>
      </c>
      <c r="D19" s="46">
        <v>6490</v>
      </c>
      <c r="E19" s="46">
        <v>8510</v>
      </c>
      <c r="F19" s="46">
        <v>7060</v>
      </c>
      <c r="G19" s="46">
        <v>7500</v>
      </c>
      <c r="H19" s="46">
        <v>7710</v>
      </c>
      <c r="I19" s="46">
        <v>7370</v>
      </c>
      <c r="J19" s="46">
        <v>7660</v>
      </c>
      <c r="K19" s="46" t="s">
        <v>42</v>
      </c>
      <c r="L19" s="46">
        <v>7920</v>
      </c>
      <c r="M19" s="46" t="s">
        <v>42</v>
      </c>
      <c r="N19" s="46" t="s">
        <v>42</v>
      </c>
      <c r="O19" s="46">
        <v>8080</v>
      </c>
      <c r="P19" s="46">
        <v>8140</v>
      </c>
      <c r="Q19" s="46">
        <v>8120</v>
      </c>
      <c r="R19" s="46">
        <v>7970</v>
      </c>
      <c r="S19" s="46">
        <v>7940</v>
      </c>
      <c r="T19" s="46">
        <v>7580</v>
      </c>
      <c r="U19" s="46">
        <v>7890</v>
      </c>
      <c r="V19" s="46" t="s">
        <v>43</v>
      </c>
      <c r="W19" s="46">
        <v>8220</v>
      </c>
      <c r="X19" s="46">
        <v>8470</v>
      </c>
      <c r="Y19" s="46">
        <v>8070</v>
      </c>
      <c r="Z19" s="46">
        <v>7810</v>
      </c>
      <c r="AA19" s="46">
        <v>8460</v>
      </c>
      <c r="AB19" s="46">
        <v>8350</v>
      </c>
      <c r="AC19" s="46">
        <v>8220</v>
      </c>
      <c r="AD19" s="46">
        <v>8080</v>
      </c>
      <c r="AE19" s="46">
        <v>8000</v>
      </c>
      <c r="AF19" s="46">
        <v>8010</v>
      </c>
      <c r="AG19" s="46">
        <v>8310</v>
      </c>
      <c r="AH19" s="46">
        <v>8110</v>
      </c>
      <c r="AI19" s="46" t="s">
        <v>42</v>
      </c>
      <c r="AJ19" s="46">
        <v>8220</v>
      </c>
      <c r="AK19" s="46">
        <v>8070</v>
      </c>
      <c r="AL19" s="46">
        <v>7980</v>
      </c>
      <c r="AM19" s="46">
        <v>8170</v>
      </c>
      <c r="AN19" s="46">
        <v>8020</v>
      </c>
      <c r="AO19" s="46">
        <v>7810</v>
      </c>
      <c r="AP19" s="46">
        <v>7980</v>
      </c>
      <c r="AQ19" s="46">
        <v>7760</v>
      </c>
      <c r="AR19" s="46">
        <v>8270</v>
      </c>
      <c r="AS19" s="46">
        <v>8200</v>
      </c>
      <c r="AT19" s="46">
        <v>8190</v>
      </c>
      <c r="AU19" s="46">
        <v>8460</v>
      </c>
      <c r="AV19" s="46">
        <v>7540</v>
      </c>
      <c r="AW19" s="46">
        <v>7600</v>
      </c>
      <c r="AX19" s="46">
        <v>7420</v>
      </c>
      <c r="AY19" s="46">
        <v>7790</v>
      </c>
      <c r="AZ19" s="46">
        <v>7540</v>
      </c>
      <c r="BA19" s="46">
        <v>7780</v>
      </c>
      <c r="BB19" s="46">
        <v>7330</v>
      </c>
      <c r="BC19" s="46">
        <v>8220</v>
      </c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7"/>
    </row>
    <row r="20" spans="1:78" x14ac:dyDescent="0.35">
      <c r="A20" s="48" t="s">
        <v>27</v>
      </c>
      <c r="B20" s="49"/>
      <c r="C20" s="50">
        <v>0.65069444444444446</v>
      </c>
      <c r="D20" s="51">
        <v>0.14375000000000002</v>
      </c>
      <c r="E20" s="51">
        <v>0.46736111111111112</v>
      </c>
      <c r="F20" s="51">
        <v>0.81874999999999998</v>
      </c>
      <c r="G20" s="51">
        <v>0.11875000000000001</v>
      </c>
      <c r="H20" s="51">
        <v>0.42569444444444443</v>
      </c>
      <c r="I20" s="51">
        <v>0.77777777777777779</v>
      </c>
      <c r="J20" s="51">
        <v>0.11180555555555556</v>
      </c>
      <c r="K20" s="51">
        <v>0.39166666666666666</v>
      </c>
      <c r="L20" s="51">
        <v>0.71597222222222223</v>
      </c>
      <c r="M20" s="51">
        <v>0.17430555555555557</v>
      </c>
      <c r="N20" s="51">
        <v>0.45347222222222222</v>
      </c>
      <c r="O20" s="51">
        <v>0.75694444444444453</v>
      </c>
      <c r="P20" s="51">
        <v>0.11319444444444444</v>
      </c>
      <c r="Q20" s="51">
        <v>0.40208333333333335</v>
      </c>
      <c r="R20" s="51">
        <v>0.74722222222222223</v>
      </c>
      <c r="S20" s="51">
        <v>3.7499999999999999E-2</v>
      </c>
      <c r="T20" s="51">
        <v>0.3354166666666667</v>
      </c>
      <c r="U20" s="51">
        <v>0.66180555555555554</v>
      </c>
      <c r="V20" s="51">
        <v>0.96319444444444446</v>
      </c>
      <c r="W20" s="51">
        <v>0.27986111111111112</v>
      </c>
      <c r="X20" s="51">
        <v>0.78333333333333333</v>
      </c>
      <c r="Y20" s="51">
        <v>7.1527777777777787E-2</v>
      </c>
      <c r="Z20" s="51">
        <v>0.37083333333333335</v>
      </c>
      <c r="AA20" s="51">
        <v>0.68125000000000002</v>
      </c>
      <c r="AB20" s="51">
        <v>0.96597222222222223</v>
      </c>
      <c r="AC20" s="51">
        <v>0.27847222222222223</v>
      </c>
      <c r="AD20" s="51">
        <v>0.59583333333333333</v>
      </c>
      <c r="AE20" s="51">
        <v>0.93125000000000002</v>
      </c>
      <c r="AF20" s="51">
        <v>0.32777777777777778</v>
      </c>
      <c r="AG20" s="51">
        <v>0.58611111111111114</v>
      </c>
      <c r="AH20" s="51">
        <v>0.88194444444444453</v>
      </c>
      <c r="AI20" s="51">
        <v>0.4236111111111111</v>
      </c>
      <c r="AJ20" s="51">
        <v>0.72499999999999998</v>
      </c>
      <c r="AK20" s="51">
        <v>0.99375000000000002</v>
      </c>
      <c r="AL20" s="51">
        <v>0.25625000000000003</v>
      </c>
      <c r="AM20" s="51">
        <v>0.59791666666666665</v>
      </c>
      <c r="AN20" s="51">
        <v>0.12986111111111112</v>
      </c>
      <c r="AO20" s="51">
        <v>0.37361111111111112</v>
      </c>
      <c r="AP20" s="51">
        <v>0.64236111111111105</v>
      </c>
      <c r="AQ20" s="51">
        <v>0.98333333333333339</v>
      </c>
      <c r="AR20" s="51">
        <v>0.22013888888888888</v>
      </c>
      <c r="AS20" s="51">
        <v>0.58750000000000002</v>
      </c>
      <c r="AT20" s="51">
        <v>0.8569444444444444</v>
      </c>
      <c r="AU20" s="51">
        <v>0.12222222222222223</v>
      </c>
      <c r="AV20" s="51">
        <v>0.37777777777777777</v>
      </c>
      <c r="AW20" s="51">
        <v>0.63888888888888895</v>
      </c>
      <c r="AX20" s="51">
        <v>0.86736111111111114</v>
      </c>
      <c r="AY20" s="51">
        <v>0.11388888888888889</v>
      </c>
      <c r="AZ20" s="51">
        <v>0.4152777777777778</v>
      </c>
      <c r="BA20" s="51">
        <v>0.67222222222222217</v>
      </c>
      <c r="BB20" s="51">
        <v>0.88194444444444453</v>
      </c>
      <c r="BC20" s="51">
        <v>0.11180555555555556</v>
      </c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52"/>
    </row>
    <row r="21" spans="1:78" x14ac:dyDescent="0.35">
      <c r="A21" s="53" t="s">
        <v>28</v>
      </c>
      <c r="B21" s="54"/>
      <c r="C21" s="55">
        <v>0.82013888888888886</v>
      </c>
      <c r="D21" s="54">
        <v>0.28333333333333333</v>
      </c>
      <c r="E21" s="54">
        <v>0.63263888888888886</v>
      </c>
      <c r="F21" s="54">
        <v>0.94652777777777775</v>
      </c>
      <c r="G21" s="54">
        <v>0.24791666666666667</v>
      </c>
      <c r="H21" s="54">
        <v>0.5541666666666667</v>
      </c>
      <c r="I21" s="54">
        <v>0.90833333333333333</v>
      </c>
      <c r="J21" s="54">
        <v>0.23611111111111113</v>
      </c>
      <c r="K21" s="54">
        <v>0.52152777777777781</v>
      </c>
      <c r="L21" s="54">
        <v>0.94236111111111109</v>
      </c>
      <c r="M21" s="54">
        <v>0.31041666666666667</v>
      </c>
      <c r="N21" s="54">
        <v>0.58611111111111114</v>
      </c>
      <c r="O21" s="54">
        <v>0.89027777777777783</v>
      </c>
      <c r="P21" s="54">
        <v>0.24305555555555555</v>
      </c>
      <c r="Q21" s="54">
        <v>0.53541666666666665</v>
      </c>
      <c r="R21" s="54">
        <v>0.87777777777777777</v>
      </c>
      <c r="S21" s="54">
        <v>0.16805555555555554</v>
      </c>
      <c r="T21" s="54">
        <v>0.47222222222222227</v>
      </c>
      <c r="U21" s="54">
        <v>0.78819444444444453</v>
      </c>
      <c r="V21" s="54">
        <v>9.7222222222222224E-2</v>
      </c>
      <c r="W21" s="54">
        <v>0.55694444444444446</v>
      </c>
      <c r="X21" s="54">
        <v>0.90763888888888899</v>
      </c>
      <c r="Y21" s="54">
        <v>0.19722222222222222</v>
      </c>
      <c r="Z21" s="54">
        <v>0.4916666666666667</v>
      </c>
      <c r="AA21" s="54">
        <v>0.80555555555555547</v>
      </c>
      <c r="AB21" s="54">
        <v>9.2361111111111116E-2</v>
      </c>
      <c r="AC21" s="54">
        <v>0.40069444444444446</v>
      </c>
      <c r="AD21" s="54">
        <v>0.72499999999999998</v>
      </c>
      <c r="AE21" s="54">
        <v>0.16319444444444445</v>
      </c>
      <c r="AF21" s="54">
        <v>0.44791666666666669</v>
      </c>
      <c r="AG21" s="54">
        <v>0.72291666666666676</v>
      </c>
      <c r="AH21" s="54">
        <v>0.25555555555555559</v>
      </c>
      <c r="AI21" s="54">
        <v>0.54791666666666672</v>
      </c>
      <c r="AJ21" s="54">
        <v>0.85833333333333339</v>
      </c>
      <c r="AK21" s="54">
        <v>0.11944444444444445</v>
      </c>
      <c r="AL21" s="54">
        <v>0.37777777777777777</v>
      </c>
      <c r="AM21" s="54">
        <v>0.80555555555555547</v>
      </c>
      <c r="AN21" s="54">
        <v>0.25555555555555559</v>
      </c>
      <c r="AO21" s="54">
        <v>0.49652777777777773</v>
      </c>
      <c r="AP21" s="54">
        <v>0.76250000000000007</v>
      </c>
      <c r="AQ21" s="54">
        <v>0.10833333333333334</v>
      </c>
      <c r="AR21" s="54">
        <v>0.34652777777777777</v>
      </c>
      <c r="AS21" s="54">
        <v>0.72152777777777777</v>
      </c>
      <c r="AT21" s="54">
        <v>0.98541666666666661</v>
      </c>
      <c r="AU21" s="54">
        <v>0.24791666666666667</v>
      </c>
      <c r="AV21" s="54">
        <v>0.49722222222222223</v>
      </c>
      <c r="AW21" s="54">
        <v>0.75902777777777775</v>
      </c>
      <c r="AX21" s="54">
        <v>0.98888888888888893</v>
      </c>
      <c r="AY21" s="54">
        <v>0.23402777777777781</v>
      </c>
      <c r="AZ21" s="54">
        <v>0.53402777777777777</v>
      </c>
      <c r="BA21" s="54">
        <v>0.79166666666666663</v>
      </c>
      <c r="BB21" s="54">
        <v>6.9444444444444447E-4</v>
      </c>
      <c r="BC21" s="54">
        <v>0.22708333333333333</v>
      </c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2"/>
    </row>
    <row r="22" spans="1:78" ht="15" thickBot="1" x14ac:dyDescent="0.4">
      <c r="A22" s="56" t="s">
        <v>29</v>
      </c>
      <c r="B22" s="57">
        <f t="shared" ref="B22:B31" si="0">IF(C22="","",AVERAGE(C22:BY22))</f>
        <v>0.14115566037735849</v>
      </c>
      <c r="C22" s="58">
        <v>0.1694444444444444</v>
      </c>
      <c r="D22" s="59">
        <v>0.13958333333333331</v>
      </c>
      <c r="E22" s="59">
        <v>0.16527777777777775</v>
      </c>
      <c r="F22" s="59">
        <v>0.12777777777777777</v>
      </c>
      <c r="G22" s="59">
        <v>0.12916666666666665</v>
      </c>
      <c r="H22" s="59">
        <v>0.12847222222222227</v>
      </c>
      <c r="I22" s="59">
        <v>0.13055555555555554</v>
      </c>
      <c r="J22" s="59">
        <v>0.12430555555555557</v>
      </c>
      <c r="K22" s="59">
        <v>0.12986111111111115</v>
      </c>
      <c r="L22" s="59">
        <v>0.22638888888888886</v>
      </c>
      <c r="M22" s="59">
        <v>0.1361111111111111</v>
      </c>
      <c r="N22" s="59">
        <v>0.13263888888888892</v>
      </c>
      <c r="O22" s="59">
        <v>0.1333333333333333</v>
      </c>
      <c r="P22" s="59">
        <v>0.12986111111111109</v>
      </c>
      <c r="Q22" s="59">
        <v>0.1333333333333333</v>
      </c>
      <c r="R22" s="59">
        <v>0.13055555555555554</v>
      </c>
      <c r="S22" s="59">
        <v>0.13055555555555554</v>
      </c>
      <c r="T22" s="59">
        <v>0.13680555555555557</v>
      </c>
      <c r="U22" s="59">
        <v>0.12638888888888899</v>
      </c>
      <c r="V22" s="59">
        <v>0.13402777777777775</v>
      </c>
      <c r="W22" s="59">
        <v>0.27708333333333335</v>
      </c>
      <c r="X22" s="59">
        <v>0.12430555555555567</v>
      </c>
      <c r="Y22" s="59">
        <v>0.12569444444444444</v>
      </c>
      <c r="Z22" s="59">
        <v>0.12083333333333335</v>
      </c>
      <c r="AA22" s="59">
        <v>0.12430555555555545</v>
      </c>
      <c r="AB22" s="59">
        <v>0.12638888888888888</v>
      </c>
      <c r="AC22" s="59">
        <v>0.12222222222222223</v>
      </c>
      <c r="AD22" s="59">
        <v>0.12916666666666665</v>
      </c>
      <c r="AE22" s="59">
        <v>0.2319444444444444</v>
      </c>
      <c r="AF22" s="59">
        <v>0.12013888888888891</v>
      </c>
      <c r="AG22" s="59">
        <v>0.13680555555555562</v>
      </c>
      <c r="AH22" s="59">
        <v>0.37361111111111112</v>
      </c>
      <c r="AI22" s="59">
        <v>0.12430555555555561</v>
      </c>
      <c r="AJ22" s="59">
        <v>0.13333333333333341</v>
      </c>
      <c r="AK22" s="59">
        <v>0.12569444444444444</v>
      </c>
      <c r="AL22" s="59">
        <v>0.12152777777777773</v>
      </c>
      <c r="AM22" s="59">
        <v>0.20763888888888882</v>
      </c>
      <c r="AN22" s="59">
        <v>0.12569444444444447</v>
      </c>
      <c r="AO22" s="59">
        <v>0.12291666666666662</v>
      </c>
      <c r="AP22" s="59">
        <v>0.12013888888888902</v>
      </c>
      <c r="AQ22" s="59">
        <v>0.125</v>
      </c>
      <c r="AR22" s="59">
        <v>0.12638888888888888</v>
      </c>
      <c r="AS22" s="59">
        <v>0.13402777777777775</v>
      </c>
      <c r="AT22" s="59">
        <v>0.12847222222222221</v>
      </c>
      <c r="AU22" s="59">
        <v>0.12569444444444444</v>
      </c>
      <c r="AV22" s="59">
        <v>0.11944444444444446</v>
      </c>
      <c r="AW22" s="59">
        <v>0.1201388888888888</v>
      </c>
      <c r="AX22" s="59">
        <v>0.12152777777777779</v>
      </c>
      <c r="AY22" s="59">
        <v>0.12013888888888892</v>
      </c>
      <c r="AZ22" s="59">
        <v>0.11874999999999997</v>
      </c>
      <c r="BA22" s="59">
        <v>0.11944444444444446</v>
      </c>
      <c r="BB22" s="59">
        <v>0.11874999999999991</v>
      </c>
      <c r="BC22" s="59">
        <v>0.11527777777777777</v>
      </c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2"/>
    </row>
    <row r="23" spans="1:78" x14ac:dyDescent="0.35">
      <c r="A23" s="60" t="s">
        <v>30</v>
      </c>
      <c r="B23" s="61">
        <f t="shared" si="0"/>
        <v>68.43886792452831</v>
      </c>
      <c r="C23" s="62">
        <v>62.3</v>
      </c>
      <c r="D23" s="63">
        <v>62.9</v>
      </c>
      <c r="E23" s="63">
        <v>63.9</v>
      </c>
      <c r="F23" s="63">
        <v>68</v>
      </c>
      <c r="G23" s="63">
        <v>67.5</v>
      </c>
      <c r="H23" s="63">
        <v>66.7</v>
      </c>
      <c r="I23" s="63">
        <v>70</v>
      </c>
      <c r="J23" s="63">
        <v>70.400000000000006</v>
      </c>
      <c r="K23" s="63">
        <v>69</v>
      </c>
      <c r="L23" s="63">
        <v>70.5</v>
      </c>
      <c r="M23" s="63">
        <v>67.3</v>
      </c>
      <c r="N23" s="63">
        <v>67</v>
      </c>
      <c r="O23" s="63">
        <v>65.459999999999994</v>
      </c>
      <c r="P23" s="63">
        <v>68.3</v>
      </c>
      <c r="Q23" s="63">
        <v>69.5</v>
      </c>
      <c r="R23" s="63">
        <v>68.7</v>
      </c>
      <c r="S23" s="63">
        <v>69.7</v>
      </c>
      <c r="T23" s="63">
        <v>68.099999999999994</v>
      </c>
      <c r="U23" s="63">
        <v>69.400000000000006</v>
      </c>
      <c r="V23" s="63">
        <v>68</v>
      </c>
      <c r="W23" s="63">
        <v>66.099999999999994</v>
      </c>
      <c r="X23" s="63">
        <v>70.3</v>
      </c>
      <c r="Y23" s="63">
        <v>69.400000000000006</v>
      </c>
      <c r="Z23" s="63">
        <v>70.400000000000006</v>
      </c>
      <c r="AA23" s="63">
        <v>70</v>
      </c>
      <c r="AB23" s="63">
        <v>69.8</v>
      </c>
      <c r="AC23" s="63">
        <v>70</v>
      </c>
      <c r="AD23" s="63">
        <v>69.5</v>
      </c>
      <c r="AE23" s="63">
        <v>62.5</v>
      </c>
      <c r="AF23" s="63">
        <v>70.3</v>
      </c>
      <c r="AG23" s="63">
        <v>63.9</v>
      </c>
      <c r="AH23" s="63">
        <v>69.400000000000006</v>
      </c>
      <c r="AI23" s="63">
        <v>70</v>
      </c>
      <c r="AJ23" s="63">
        <v>66</v>
      </c>
      <c r="AK23" s="63">
        <v>68</v>
      </c>
      <c r="AL23" s="63">
        <v>70.2</v>
      </c>
      <c r="AM23" s="63">
        <v>68</v>
      </c>
      <c r="AN23" s="63">
        <v>66.3</v>
      </c>
      <c r="AO23" s="63">
        <v>70</v>
      </c>
      <c r="AP23" s="63">
        <v>70.400000000000006</v>
      </c>
      <c r="AQ23" s="63">
        <v>70.2</v>
      </c>
      <c r="AR23" s="63">
        <v>69.2</v>
      </c>
      <c r="AS23" s="63">
        <v>67.400000000000006</v>
      </c>
      <c r="AT23" s="63">
        <v>69.400000000000006</v>
      </c>
      <c r="AU23" s="63">
        <v>68</v>
      </c>
      <c r="AV23" s="63">
        <v>70.099999999999994</v>
      </c>
      <c r="AW23" s="63">
        <v>70.3</v>
      </c>
      <c r="AX23" s="63">
        <v>69.8</v>
      </c>
      <c r="AY23" s="63">
        <v>69.3</v>
      </c>
      <c r="AZ23" s="63">
        <v>70</v>
      </c>
      <c r="BA23" s="63">
        <v>70.400000000000006</v>
      </c>
      <c r="BB23" s="63">
        <v>70</v>
      </c>
      <c r="BC23" s="63">
        <v>70</v>
      </c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4"/>
    </row>
    <row r="24" spans="1:78" x14ac:dyDescent="0.35">
      <c r="A24" s="65" t="s">
        <v>31</v>
      </c>
      <c r="B24" s="66">
        <f t="shared" si="0"/>
        <v>11127.075471698114</v>
      </c>
      <c r="C24" s="67">
        <v>10963</v>
      </c>
      <c r="D24" s="68">
        <v>10492</v>
      </c>
      <c r="E24" s="68">
        <v>11289</v>
      </c>
      <c r="F24" s="68">
        <v>11272</v>
      </c>
      <c r="G24" s="68">
        <v>11071</v>
      </c>
      <c r="H24" s="68">
        <v>11035</v>
      </c>
      <c r="I24" s="68">
        <v>11269</v>
      </c>
      <c r="J24" s="68">
        <v>11247</v>
      </c>
      <c r="K24" s="68">
        <v>11484</v>
      </c>
      <c r="L24" s="68">
        <v>11092</v>
      </c>
      <c r="M24" s="68">
        <v>11048</v>
      </c>
      <c r="N24" s="68">
        <v>11468</v>
      </c>
      <c r="O24" s="68">
        <v>11373</v>
      </c>
      <c r="P24" s="68">
        <v>11427</v>
      </c>
      <c r="Q24" s="68">
        <v>11490</v>
      </c>
      <c r="R24" s="68">
        <v>11442</v>
      </c>
      <c r="S24" s="68">
        <v>11327</v>
      </c>
      <c r="T24" s="68">
        <v>11274</v>
      </c>
      <c r="U24" s="68">
        <v>11360</v>
      </c>
      <c r="V24" s="68">
        <v>11124</v>
      </c>
      <c r="W24" s="68">
        <v>11152</v>
      </c>
      <c r="X24" s="68">
        <v>11373</v>
      </c>
      <c r="Y24" s="68">
        <v>11419</v>
      </c>
      <c r="Z24" s="68">
        <v>11336</v>
      </c>
      <c r="AA24" s="68">
        <v>11419</v>
      </c>
      <c r="AB24" s="68">
        <v>11349</v>
      </c>
      <c r="AC24" s="68">
        <v>11243</v>
      </c>
      <c r="AD24" s="68">
        <v>11399</v>
      </c>
      <c r="AE24" s="68">
        <v>10884</v>
      </c>
      <c r="AF24" s="68">
        <v>11025</v>
      </c>
      <c r="AG24" s="68">
        <v>10796</v>
      </c>
      <c r="AH24" s="68">
        <v>11217</v>
      </c>
      <c r="AI24" s="68">
        <v>11421</v>
      </c>
      <c r="AJ24" s="68">
        <v>11165</v>
      </c>
      <c r="AK24" s="68">
        <v>11331</v>
      </c>
      <c r="AL24" s="68">
        <v>11263</v>
      </c>
      <c r="AM24" s="68">
        <v>11298</v>
      </c>
      <c r="AN24" s="68">
        <v>11113</v>
      </c>
      <c r="AO24" s="68">
        <v>11330</v>
      </c>
      <c r="AP24" s="68">
        <v>11002</v>
      </c>
      <c r="AQ24" s="68">
        <v>10237</v>
      </c>
      <c r="AR24" s="68">
        <v>11152</v>
      </c>
      <c r="AS24" s="68">
        <v>10825</v>
      </c>
      <c r="AT24" s="68">
        <v>10960</v>
      </c>
      <c r="AU24" s="68">
        <v>10628</v>
      </c>
      <c r="AV24" s="68">
        <v>11149</v>
      </c>
      <c r="AW24" s="68">
        <v>11130</v>
      </c>
      <c r="AX24" s="68">
        <v>10951</v>
      </c>
      <c r="AY24" s="68">
        <v>10842</v>
      </c>
      <c r="AZ24" s="68">
        <v>11093</v>
      </c>
      <c r="BA24" s="68">
        <v>10871</v>
      </c>
      <c r="BB24" s="68">
        <v>10268</v>
      </c>
      <c r="BC24" s="68">
        <v>10547</v>
      </c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8"/>
      <c r="BY24" s="68"/>
      <c r="BZ24" s="69"/>
    </row>
    <row r="25" spans="1:78" x14ac:dyDescent="0.35">
      <c r="A25" s="70" t="s">
        <v>32</v>
      </c>
      <c r="B25" s="71">
        <f t="shared" si="0"/>
        <v>70.405660377358501</v>
      </c>
      <c r="C25" s="72">
        <v>67</v>
      </c>
      <c r="D25" s="73">
        <v>70.099999999999994</v>
      </c>
      <c r="E25" s="73">
        <v>64.8</v>
      </c>
      <c r="F25" s="73">
        <v>70.5</v>
      </c>
      <c r="G25" s="73">
        <v>70.8</v>
      </c>
      <c r="H25" s="73">
        <v>70.400000000000006</v>
      </c>
      <c r="I25" s="73">
        <v>70.8</v>
      </c>
      <c r="J25" s="73">
        <v>71</v>
      </c>
      <c r="K25" s="73">
        <v>70</v>
      </c>
      <c r="L25" s="73">
        <v>71</v>
      </c>
      <c r="M25" s="73">
        <v>70.5</v>
      </c>
      <c r="N25" s="73">
        <v>67.599999999999994</v>
      </c>
      <c r="O25" s="73">
        <v>66</v>
      </c>
      <c r="P25" s="73">
        <v>68.900000000000006</v>
      </c>
      <c r="Q25" s="73">
        <v>70.599999999999994</v>
      </c>
      <c r="R25" s="73">
        <v>70.7</v>
      </c>
      <c r="S25" s="73">
        <v>70.8</v>
      </c>
      <c r="T25" s="73">
        <v>71.400000000000006</v>
      </c>
      <c r="U25" s="73">
        <v>71</v>
      </c>
      <c r="V25" s="73">
        <v>70.599999999999994</v>
      </c>
      <c r="W25" s="73">
        <v>72.099999999999994</v>
      </c>
      <c r="X25" s="73">
        <v>71</v>
      </c>
      <c r="Y25" s="73">
        <v>71.599999999999994</v>
      </c>
      <c r="Z25" s="73">
        <v>71.099999999999994</v>
      </c>
      <c r="AA25" s="73">
        <v>71.400000000000006</v>
      </c>
      <c r="AB25" s="73">
        <v>70.7</v>
      </c>
      <c r="AC25" s="73">
        <v>70.3</v>
      </c>
      <c r="AD25" s="73">
        <v>71</v>
      </c>
      <c r="AE25" s="73">
        <v>68.5</v>
      </c>
      <c r="AF25" s="73">
        <v>71.2</v>
      </c>
      <c r="AG25" s="73">
        <v>70</v>
      </c>
      <c r="AH25" s="73">
        <v>71.400000000000006</v>
      </c>
      <c r="AI25" s="73">
        <v>71.8</v>
      </c>
      <c r="AJ25" s="73">
        <v>69</v>
      </c>
      <c r="AK25" s="73">
        <v>70</v>
      </c>
      <c r="AL25" s="73">
        <v>71.900000000000006</v>
      </c>
      <c r="AM25" s="73">
        <v>70</v>
      </c>
      <c r="AN25" s="73">
        <v>70</v>
      </c>
      <c r="AO25" s="73">
        <v>71.3</v>
      </c>
      <c r="AP25" s="73">
        <v>71.8</v>
      </c>
      <c r="AQ25" s="73">
        <v>70.8</v>
      </c>
      <c r="AR25" s="73">
        <v>70.900000000000006</v>
      </c>
      <c r="AS25" s="73">
        <v>70.8</v>
      </c>
      <c r="AT25" s="73">
        <v>70.3</v>
      </c>
      <c r="AU25" s="73">
        <v>70.599999999999994</v>
      </c>
      <c r="AV25" s="73">
        <v>71.400000000000006</v>
      </c>
      <c r="AW25" s="73">
        <v>71.599999999999994</v>
      </c>
      <c r="AX25" s="73">
        <v>71.3</v>
      </c>
      <c r="AY25" s="73">
        <v>69.900000000000006</v>
      </c>
      <c r="AZ25" s="73">
        <v>70.900000000000006</v>
      </c>
      <c r="BA25" s="73">
        <v>71.099999999999994</v>
      </c>
      <c r="BB25" s="73">
        <v>70.7</v>
      </c>
      <c r="BC25" s="73">
        <v>70.599999999999994</v>
      </c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64"/>
    </row>
    <row r="26" spans="1:78" ht="15" thickBot="1" x14ac:dyDescent="0.4">
      <c r="A26" s="74" t="s">
        <v>33</v>
      </c>
      <c r="B26" s="75">
        <f t="shared" si="0"/>
        <v>11680</v>
      </c>
      <c r="C26" s="76">
        <v>11490</v>
      </c>
      <c r="D26" s="77">
        <v>11510</v>
      </c>
      <c r="E26" s="77">
        <v>11610</v>
      </c>
      <c r="F26" s="77">
        <v>11580</v>
      </c>
      <c r="G26" s="77">
        <v>11660</v>
      </c>
      <c r="H26" s="77">
        <v>11720</v>
      </c>
      <c r="I26" s="77">
        <v>11600</v>
      </c>
      <c r="J26" s="77">
        <v>11630</v>
      </c>
      <c r="K26" s="77">
        <v>11720</v>
      </c>
      <c r="L26" s="77">
        <v>11520</v>
      </c>
      <c r="M26" s="77">
        <v>11710</v>
      </c>
      <c r="N26" s="77">
        <v>11870</v>
      </c>
      <c r="O26" s="77">
        <v>11830</v>
      </c>
      <c r="P26" s="77">
        <v>11800</v>
      </c>
      <c r="Q26" s="77">
        <v>11690</v>
      </c>
      <c r="R26" s="77">
        <v>11710</v>
      </c>
      <c r="S26" s="77">
        <v>11710</v>
      </c>
      <c r="T26" s="77">
        <v>11820</v>
      </c>
      <c r="U26" s="77">
        <v>11910</v>
      </c>
      <c r="V26" s="77">
        <v>11660</v>
      </c>
      <c r="W26" s="77">
        <v>11960</v>
      </c>
      <c r="X26" s="77">
        <v>11750</v>
      </c>
      <c r="Y26" s="77">
        <v>11680</v>
      </c>
      <c r="Z26" s="77">
        <v>11780</v>
      </c>
      <c r="AA26" s="77">
        <v>11740</v>
      </c>
      <c r="AB26" s="77">
        <v>11710</v>
      </c>
      <c r="AC26" s="77">
        <v>11810</v>
      </c>
      <c r="AD26" s="77">
        <v>11950</v>
      </c>
      <c r="AE26" s="77">
        <v>11660</v>
      </c>
      <c r="AF26" s="77">
        <v>12090</v>
      </c>
      <c r="AG26" s="77">
        <v>11570</v>
      </c>
      <c r="AH26" s="77">
        <v>11570</v>
      </c>
      <c r="AI26" s="77">
        <v>11870</v>
      </c>
      <c r="AJ26" s="77">
        <v>11600</v>
      </c>
      <c r="AK26" s="77">
        <v>11660</v>
      </c>
      <c r="AL26" s="77">
        <v>11810</v>
      </c>
      <c r="AM26" s="77">
        <v>11600</v>
      </c>
      <c r="AN26" s="77">
        <v>11530</v>
      </c>
      <c r="AO26" s="77">
        <v>12190</v>
      </c>
      <c r="AP26" s="77">
        <v>11660</v>
      </c>
      <c r="AQ26" s="77">
        <v>11590</v>
      </c>
      <c r="AR26" s="77">
        <v>11820</v>
      </c>
      <c r="AS26" s="77">
        <v>11550</v>
      </c>
      <c r="AT26" s="77">
        <v>11820</v>
      </c>
      <c r="AU26" s="77">
        <v>11510</v>
      </c>
      <c r="AV26" s="77">
        <v>11560</v>
      </c>
      <c r="AW26" s="77">
        <v>11750</v>
      </c>
      <c r="AX26" s="77">
        <v>11610</v>
      </c>
      <c r="AY26" s="77">
        <v>11210</v>
      </c>
      <c r="AZ26" s="77">
        <v>11690</v>
      </c>
      <c r="BA26" s="77">
        <v>11320</v>
      </c>
      <c r="BB26" s="77">
        <v>10980</v>
      </c>
      <c r="BC26" s="77">
        <v>11690</v>
      </c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77"/>
      <c r="BX26" s="77"/>
      <c r="BY26" s="77"/>
      <c r="BZ26" s="64"/>
    </row>
    <row r="27" spans="1:78" x14ac:dyDescent="0.35">
      <c r="A27" s="78" t="s">
        <v>34</v>
      </c>
      <c r="B27" s="79">
        <f t="shared" si="0"/>
        <v>6067.566037735849</v>
      </c>
      <c r="C27" s="80">
        <v>6070</v>
      </c>
      <c r="D27" s="81">
        <v>5680</v>
      </c>
      <c r="E27" s="81">
        <v>5840</v>
      </c>
      <c r="F27" s="81">
        <v>5990</v>
      </c>
      <c r="G27" s="81">
        <v>5896</v>
      </c>
      <c r="H27" s="81">
        <v>5744</v>
      </c>
      <c r="I27" s="81">
        <v>6030</v>
      </c>
      <c r="J27" s="81">
        <v>5850</v>
      </c>
      <c r="K27" s="81">
        <v>5947</v>
      </c>
      <c r="L27" s="81">
        <v>6180</v>
      </c>
      <c r="M27" s="81">
        <v>6068</v>
      </c>
      <c r="N27" s="81">
        <v>6175</v>
      </c>
      <c r="O27" s="81">
        <v>6240</v>
      </c>
      <c r="P27" s="81">
        <v>6126</v>
      </c>
      <c r="Q27" s="81">
        <v>6189</v>
      </c>
      <c r="R27" s="81">
        <v>6180</v>
      </c>
      <c r="S27" s="81">
        <v>6080</v>
      </c>
      <c r="T27" s="81">
        <v>6120</v>
      </c>
      <c r="U27" s="81">
        <v>6050</v>
      </c>
      <c r="V27" s="81">
        <v>6100</v>
      </c>
      <c r="W27" s="81">
        <v>6106</v>
      </c>
      <c r="X27" s="81">
        <v>6160</v>
      </c>
      <c r="Y27" s="81">
        <v>6260</v>
      </c>
      <c r="Z27" s="81">
        <v>6234</v>
      </c>
      <c r="AA27" s="81">
        <v>6240</v>
      </c>
      <c r="AB27" s="81">
        <v>6100</v>
      </c>
      <c r="AC27" s="81">
        <v>6084</v>
      </c>
      <c r="AD27" s="81">
        <v>5990</v>
      </c>
      <c r="AE27" s="81">
        <v>6110</v>
      </c>
      <c r="AF27" s="81">
        <v>6225</v>
      </c>
      <c r="AG27" s="81">
        <v>6080</v>
      </c>
      <c r="AH27" s="81">
        <v>6168</v>
      </c>
      <c r="AI27" s="81">
        <v>6171</v>
      </c>
      <c r="AJ27" s="81">
        <v>6110</v>
      </c>
      <c r="AK27" s="81">
        <v>6240</v>
      </c>
      <c r="AL27" s="81">
        <v>6111</v>
      </c>
      <c r="AM27" s="81">
        <v>6140</v>
      </c>
      <c r="AN27" s="81">
        <v>6022</v>
      </c>
      <c r="AO27" s="81">
        <v>6070</v>
      </c>
      <c r="AP27" s="81">
        <v>6116</v>
      </c>
      <c r="AQ27" s="81">
        <v>6080</v>
      </c>
      <c r="AR27" s="81">
        <v>6075</v>
      </c>
      <c r="AS27" s="81">
        <v>6097</v>
      </c>
      <c r="AT27" s="81">
        <v>5991</v>
      </c>
      <c r="AU27" s="81">
        <v>6037</v>
      </c>
      <c r="AV27" s="81">
        <v>6071</v>
      </c>
      <c r="AW27" s="81">
        <v>6104</v>
      </c>
      <c r="AX27" s="81">
        <v>5926</v>
      </c>
      <c r="AY27" s="81">
        <v>5948</v>
      </c>
      <c r="AZ27" s="81">
        <v>6039</v>
      </c>
      <c r="BA27" s="81">
        <v>5980</v>
      </c>
      <c r="BB27" s="81">
        <v>5951</v>
      </c>
      <c r="BC27" s="81">
        <v>5990</v>
      </c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64"/>
    </row>
    <row r="28" spans="1:78" x14ac:dyDescent="0.35">
      <c r="A28" s="82" t="s">
        <v>35</v>
      </c>
      <c r="B28" s="83">
        <f t="shared" si="0"/>
        <v>0.92975356392811659</v>
      </c>
      <c r="C28" s="84">
        <v>0.92645450837058096</v>
      </c>
      <c r="D28" s="84">
        <v>0.89539868333333328</v>
      </c>
      <c r="E28" s="84">
        <v>0.90880659959276755</v>
      </c>
      <c r="F28" s="84">
        <v>0.92106331112649664</v>
      </c>
      <c r="G28" s="84">
        <v>0.91340671749613089</v>
      </c>
      <c r="H28" s="84">
        <v>0.90102584268958208</v>
      </c>
      <c r="I28" s="84">
        <v>0.92432143607558837</v>
      </c>
      <c r="J28" s="84">
        <v>0.90965987380467528</v>
      </c>
      <c r="K28" s="84">
        <v>0.91752137398599121</v>
      </c>
      <c r="L28" s="84">
        <v>0.93653940463468266</v>
      </c>
      <c r="M28" s="84">
        <v>0.92741665477722557</v>
      </c>
      <c r="N28" s="84">
        <v>0.93609117362762662</v>
      </c>
      <c r="O28" s="84">
        <v>0.94142659205832036</v>
      </c>
      <c r="P28" s="84">
        <v>0.93218158289345066</v>
      </c>
      <c r="Q28" s="84">
        <v>0.93743678271816167</v>
      </c>
      <c r="R28" s="84">
        <v>0.93670346568076257</v>
      </c>
      <c r="S28" s="84">
        <v>0.92851513715170275</v>
      </c>
      <c r="T28" s="84">
        <v>0.93201791969351167</v>
      </c>
      <c r="U28" s="84">
        <v>0.92683515059159527</v>
      </c>
      <c r="V28" s="84">
        <v>0.93128093570145343</v>
      </c>
      <c r="W28" s="84">
        <v>0.93185233750408369</v>
      </c>
      <c r="X28" s="84">
        <v>0.93642707385620927</v>
      </c>
      <c r="Y28" s="84">
        <v>0.94463879605359913</v>
      </c>
      <c r="Z28" s="84">
        <v>0.94259768788918852</v>
      </c>
      <c r="AA28" s="84">
        <v>0.94325474293305001</v>
      </c>
      <c r="AB28" s="84">
        <v>0.93193260776778408</v>
      </c>
      <c r="AC28" s="84">
        <v>0.93070571432777227</v>
      </c>
      <c r="AD28" s="84">
        <v>0.92309857325372147</v>
      </c>
      <c r="AE28" s="84">
        <v>0.93303638053669313</v>
      </c>
      <c r="AF28" s="84">
        <v>0.94256990196399348</v>
      </c>
      <c r="AG28" s="84">
        <v>0.93090776966844047</v>
      </c>
      <c r="AH28" s="84">
        <v>0.93827743592662349</v>
      </c>
      <c r="AI28" s="84">
        <v>0.93873013064066846</v>
      </c>
      <c r="AJ28" s="84">
        <v>0.93401982628904001</v>
      </c>
      <c r="AK28" s="84">
        <v>0.94488617889125792</v>
      </c>
      <c r="AL28" s="84">
        <v>0.93438941496062999</v>
      </c>
      <c r="AM28" s="84">
        <v>0.93697464115040618</v>
      </c>
      <c r="AN28" s="84">
        <v>0.9276573755789127</v>
      </c>
      <c r="AO28" s="84">
        <v>0.93213156198109337</v>
      </c>
      <c r="AP28" s="84">
        <v>0.9362437425927449</v>
      </c>
      <c r="AQ28" s="84">
        <v>0.93332362780519906</v>
      </c>
      <c r="AR28" s="84">
        <v>0.93311795112336426</v>
      </c>
      <c r="AS28" s="84">
        <v>0.93513505916351058</v>
      </c>
      <c r="AT28" s="84">
        <v>0.92669233997034339</v>
      </c>
      <c r="AU28" s="84">
        <v>0.9304817789686135</v>
      </c>
      <c r="AV28" s="84">
        <v>0.93287101044530418</v>
      </c>
      <c r="AW28" s="84">
        <v>0.93550458596823294</v>
      </c>
      <c r="AX28" s="84">
        <v>0.92097602459664141</v>
      </c>
      <c r="AY28" s="84">
        <v>0.92298863141727738</v>
      </c>
      <c r="AZ28" s="84">
        <v>0.93060555799011535</v>
      </c>
      <c r="BA28" s="84">
        <v>0.92590794640738294</v>
      </c>
      <c r="BB28" s="84">
        <v>0.92384181767810025</v>
      </c>
      <c r="BC28" s="84">
        <v>0.92705751688654348</v>
      </c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  <c r="BS28" s="84"/>
      <c r="BT28" s="84"/>
      <c r="BU28" s="84"/>
      <c r="BV28" s="84"/>
      <c r="BW28" s="84"/>
      <c r="BX28" s="84"/>
      <c r="BY28" s="84"/>
      <c r="BZ28" s="64"/>
    </row>
    <row r="29" spans="1:78" x14ac:dyDescent="0.35">
      <c r="A29" s="85" t="s">
        <v>36</v>
      </c>
      <c r="B29" s="86">
        <f t="shared" si="0"/>
        <v>55</v>
      </c>
      <c r="C29" s="87">
        <v>55</v>
      </c>
      <c r="D29" s="88">
        <v>55</v>
      </c>
      <c r="E29" s="88">
        <v>55</v>
      </c>
      <c r="F29" s="88">
        <v>55</v>
      </c>
      <c r="G29" s="88">
        <v>55</v>
      </c>
      <c r="H29" s="88">
        <v>55</v>
      </c>
      <c r="I29" s="88">
        <v>55</v>
      </c>
      <c r="J29" s="88">
        <v>55</v>
      </c>
      <c r="K29" s="88">
        <v>55</v>
      </c>
      <c r="L29" s="88">
        <v>55</v>
      </c>
      <c r="M29" s="88">
        <v>55</v>
      </c>
      <c r="N29" s="88">
        <v>55</v>
      </c>
      <c r="O29" s="88">
        <v>55</v>
      </c>
      <c r="P29" s="88">
        <v>55</v>
      </c>
      <c r="Q29" s="88">
        <v>55</v>
      </c>
      <c r="R29" s="88">
        <v>55</v>
      </c>
      <c r="S29" s="88">
        <v>55</v>
      </c>
      <c r="T29" s="88">
        <v>55</v>
      </c>
      <c r="U29" s="88">
        <v>55</v>
      </c>
      <c r="V29" s="88">
        <v>55</v>
      </c>
      <c r="W29" s="88">
        <v>55</v>
      </c>
      <c r="X29" s="88">
        <v>55</v>
      </c>
      <c r="Y29" s="88">
        <v>55</v>
      </c>
      <c r="Z29" s="88">
        <v>55</v>
      </c>
      <c r="AA29" s="88">
        <v>55</v>
      </c>
      <c r="AB29" s="88">
        <v>55</v>
      </c>
      <c r="AC29" s="88">
        <v>55</v>
      </c>
      <c r="AD29" s="88">
        <v>55</v>
      </c>
      <c r="AE29" s="88">
        <v>55</v>
      </c>
      <c r="AF29" s="88">
        <v>55</v>
      </c>
      <c r="AG29" s="88">
        <v>55</v>
      </c>
      <c r="AH29" s="88">
        <v>55</v>
      </c>
      <c r="AI29" s="88">
        <v>55</v>
      </c>
      <c r="AJ29" s="88">
        <v>55</v>
      </c>
      <c r="AK29" s="88">
        <v>55</v>
      </c>
      <c r="AL29" s="88">
        <v>55</v>
      </c>
      <c r="AM29" s="88">
        <v>55</v>
      </c>
      <c r="AN29" s="88">
        <v>55</v>
      </c>
      <c r="AO29" s="88">
        <v>55</v>
      </c>
      <c r="AP29" s="88">
        <v>55</v>
      </c>
      <c r="AQ29" s="88">
        <v>55</v>
      </c>
      <c r="AR29" s="88">
        <v>55</v>
      </c>
      <c r="AS29" s="88">
        <v>55</v>
      </c>
      <c r="AT29" s="88">
        <v>55</v>
      </c>
      <c r="AU29" s="88">
        <v>55</v>
      </c>
      <c r="AV29" s="88">
        <v>55</v>
      </c>
      <c r="AW29" s="88">
        <v>55</v>
      </c>
      <c r="AX29" s="88">
        <v>55</v>
      </c>
      <c r="AY29" s="88">
        <v>55</v>
      </c>
      <c r="AZ29" s="88">
        <v>55</v>
      </c>
      <c r="BA29" s="88">
        <v>55</v>
      </c>
      <c r="BB29" s="88">
        <v>55</v>
      </c>
      <c r="BC29" s="88">
        <v>55</v>
      </c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88"/>
      <c r="BT29" s="88"/>
      <c r="BU29" s="88"/>
      <c r="BV29" s="88"/>
      <c r="BW29" s="88"/>
      <c r="BX29" s="88"/>
      <c r="BY29" s="88"/>
      <c r="BZ29" s="64"/>
    </row>
    <row r="30" spans="1:78" x14ac:dyDescent="0.35">
      <c r="A30" s="89" t="s">
        <v>37</v>
      </c>
      <c r="B30" s="90">
        <f t="shared" si="0"/>
        <v>18667.369903810584</v>
      </c>
      <c r="C30" s="91">
        <v>16740.071078431374</v>
      </c>
      <c r="D30" s="92">
        <v>16175.166666666666</v>
      </c>
      <c r="E30" s="92">
        <v>17680.566176470587</v>
      </c>
      <c r="F30" s="92">
        <v>18786.666666666668</v>
      </c>
      <c r="G30" s="92">
        <v>18315.992647058825</v>
      </c>
      <c r="H30" s="92">
        <v>18040.061274509804</v>
      </c>
      <c r="I30" s="92">
        <v>19334.068627450983</v>
      </c>
      <c r="J30" s="92">
        <v>19406.588235294119</v>
      </c>
      <c r="K30" s="92">
        <v>19421.470588235294</v>
      </c>
      <c r="L30" s="92">
        <v>19166.323529411766</v>
      </c>
      <c r="M30" s="92">
        <v>18223.784313725493</v>
      </c>
      <c r="N30" s="92">
        <v>18832.254901960787</v>
      </c>
      <c r="O30" s="92">
        <v>18246.974999999999</v>
      </c>
      <c r="P30" s="92">
        <v>19129.022058823532</v>
      </c>
      <c r="Q30" s="92">
        <v>19572.426470588238</v>
      </c>
      <c r="R30" s="92">
        <v>19266.308823529413</v>
      </c>
      <c r="S30" s="92">
        <v>19350.291666666668</v>
      </c>
      <c r="T30" s="92">
        <v>18817.632352941175</v>
      </c>
      <c r="U30" s="92">
        <v>19323.137254901965</v>
      </c>
      <c r="V30" s="92">
        <v>18540</v>
      </c>
      <c r="W30" s="92">
        <v>18067.333333333332</v>
      </c>
      <c r="X30" s="92">
        <v>19596.125000000004</v>
      </c>
      <c r="Y30" s="92">
        <v>19423.49509803922</v>
      </c>
      <c r="Z30" s="92">
        <v>19560.156862745102</v>
      </c>
      <c r="AA30" s="92">
        <v>19591.421568627451</v>
      </c>
      <c r="AB30" s="92">
        <v>19415.691176470587</v>
      </c>
      <c r="AC30" s="92">
        <v>19289.460784313727</v>
      </c>
      <c r="AD30" s="92">
        <v>19417.414215686276</v>
      </c>
      <c r="AE30" s="92">
        <v>16672.794117647059</v>
      </c>
      <c r="AF30" s="92">
        <v>18996.507352941178</v>
      </c>
      <c r="AG30" s="92">
        <v>16908.441176470591</v>
      </c>
      <c r="AH30" s="92">
        <v>19079.897058823532</v>
      </c>
      <c r="AI30" s="92">
        <v>19594.852941176472</v>
      </c>
      <c r="AJ30" s="92">
        <v>18061.029411764706</v>
      </c>
      <c r="AK30" s="92">
        <v>18885</v>
      </c>
      <c r="AL30" s="92">
        <v>19378.985294117647</v>
      </c>
      <c r="AM30" s="92">
        <v>18830</v>
      </c>
      <c r="AN30" s="92">
        <v>18058.625000000004</v>
      </c>
      <c r="AO30" s="92">
        <v>19438.725490196081</v>
      </c>
      <c r="AP30" s="92">
        <v>18983.843137254906</v>
      </c>
      <c r="AQ30" s="92">
        <v>17613.661764705885</v>
      </c>
      <c r="AR30" s="92">
        <v>18914.666666666668</v>
      </c>
      <c r="AS30" s="92">
        <v>17882.475490196084</v>
      </c>
      <c r="AT30" s="92">
        <v>18642.74509803922</v>
      </c>
      <c r="AU30" s="92">
        <v>17713.333333333336</v>
      </c>
      <c r="AV30" s="92">
        <v>19155.512254901962</v>
      </c>
      <c r="AW30" s="92">
        <v>19177.426470588238</v>
      </c>
      <c r="AX30" s="92">
        <v>18734.799019607843</v>
      </c>
      <c r="AY30" s="92">
        <v>18415.455882352941</v>
      </c>
      <c r="AZ30" s="92">
        <v>19032.107843137255</v>
      </c>
      <c r="BA30" s="92">
        <v>18757.803921568629</v>
      </c>
      <c r="BB30" s="92">
        <v>17616.666666666668</v>
      </c>
      <c r="BC30" s="92">
        <v>18095.343137254902</v>
      </c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64"/>
    </row>
    <row r="31" spans="1:78" ht="15" thickBot="1" x14ac:dyDescent="0.4">
      <c r="A31" s="93" t="s">
        <v>38</v>
      </c>
      <c r="B31" s="94" t="str">
        <f t="shared" si="0"/>
        <v/>
      </c>
      <c r="C31" s="95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7"/>
      <c r="BB31" s="97"/>
      <c r="BC31" s="97"/>
      <c r="BD31" s="97"/>
      <c r="BE31" s="97"/>
      <c r="BF31" s="97"/>
      <c r="BG31" s="97"/>
      <c r="BH31" s="97"/>
      <c r="BI31" s="97"/>
      <c r="BJ31" s="97"/>
      <c r="BK31" s="97"/>
      <c r="BL31" s="97"/>
      <c r="BM31" s="97"/>
      <c r="BN31" s="97"/>
      <c r="BO31" s="97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8"/>
    </row>
    <row r="32" spans="1:78" x14ac:dyDescent="0.35">
      <c r="A32" s="99" t="str">
        <f>IF('[5]Set Up'!E41=0,"",'[5]Set Up'!E41&amp;", bbl")</f>
        <v>15% HCl Acid, bbl</v>
      </c>
      <c r="B32" s="100">
        <f>IF(BZ32=0,"",AVERAGE(C32:BY32))</f>
        <v>15.517520215633423</v>
      </c>
      <c r="C32" s="101">
        <v>28.714285714285715</v>
      </c>
      <c r="D32" s="102">
        <v>17.023809523809526</v>
      </c>
      <c r="E32" s="102">
        <v>16.214285714285715</v>
      </c>
      <c r="F32" s="102">
        <v>14.261904761904763</v>
      </c>
      <c r="G32" s="102">
        <v>15.523809523809524</v>
      </c>
      <c r="H32" s="102">
        <v>13.19047619047619</v>
      </c>
      <c r="I32" s="102">
        <v>13.69047619047619</v>
      </c>
      <c r="J32" s="102">
        <v>14.19047619047619</v>
      </c>
      <c r="K32" s="102">
        <v>14.5</v>
      </c>
      <c r="L32" s="102">
        <v>14</v>
      </c>
      <c r="M32" s="102">
        <v>15.071428571428571</v>
      </c>
      <c r="N32" s="102">
        <v>15.142857142857142</v>
      </c>
      <c r="O32" s="102">
        <v>15.071428571428571</v>
      </c>
      <c r="P32" s="102">
        <v>14.952380952380953</v>
      </c>
      <c r="Q32" s="102">
        <v>29.142857142857142</v>
      </c>
      <c r="R32" s="102">
        <v>27.642857142857142</v>
      </c>
      <c r="S32" s="102">
        <v>13</v>
      </c>
      <c r="T32" s="102">
        <v>14.285714285714286</v>
      </c>
      <c r="U32" s="102">
        <v>14.261904761904763</v>
      </c>
      <c r="V32" s="102">
        <v>14.880952380952381</v>
      </c>
      <c r="W32" s="102">
        <v>15.023809523809524</v>
      </c>
      <c r="X32" s="102">
        <v>15.071428571428571</v>
      </c>
      <c r="Y32" s="102">
        <v>15.071428571428571</v>
      </c>
      <c r="Z32" s="102">
        <v>15.023809523809524</v>
      </c>
      <c r="AA32" s="102">
        <v>14.880952380952381</v>
      </c>
      <c r="AB32" s="102">
        <v>14.19047619047619</v>
      </c>
      <c r="AC32" s="102">
        <v>13.69047619047619</v>
      </c>
      <c r="AD32" s="102">
        <v>16.333333333333332</v>
      </c>
      <c r="AE32" s="102">
        <v>15.333333333333334</v>
      </c>
      <c r="AF32" s="102">
        <v>14.880952380952381</v>
      </c>
      <c r="AG32" s="102">
        <v>14.880952380952381</v>
      </c>
      <c r="AH32" s="102">
        <v>15.071428571428571</v>
      </c>
      <c r="AI32" s="102">
        <v>15.071428571428571</v>
      </c>
      <c r="AJ32" s="102">
        <v>15.071428571428571</v>
      </c>
      <c r="AK32" s="102">
        <v>14.880952380952381</v>
      </c>
      <c r="AL32" s="102">
        <v>14.380952380952381</v>
      </c>
      <c r="AM32" s="102">
        <v>13.952380952380953</v>
      </c>
      <c r="AN32" s="102">
        <v>13.452380952380953</v>
      </c>
      <c r="AO32" s="102">
        <v>14.19047619047619</v>
      </c>
      <c r="AP32" s="102">
        <v>13.69047619047619</v>
      </c>
      <c r="AQ32" s="102">
        <v>16.333333333333332</v>
      </c>
      <c r="AR32" s="102">
        <v>15.333333333333334</v>
      </c>
      <c r="AS32" s="102">
        <v>13.952380952380953</v>
      </c>
      <c r="AT32" s="102">
        <v>14.5</v>
      </c>
      <c r="AU32" s="102">
        <v>14.5</v>
      </c>
      <c r="AV32" s="102">
        <v>14.761904761904763</v>
      </c>
      <c r="AW32" s="102">
        <v>15.023809523809524</v>
      </c>
      <c r="AX32" s="102">
        <v>15.071428571428571</v>
      </c>
      <c r="AY32" s="102">
        <v>15.142857142857142</v>
      </c>
      <c r="AZ32" s="102">
        <v>15.071428571428571</v>
      </c>
      <c r="BA32" s="101">
        <v>14.952380952380953</v>
      </c>
      <c r="BB32" s="101">
        <v>14.69047619047619</v>
      </c>
      <c r="BC32" s="101">
        <v>14.19047619047619</v>
      </c>
      <c r="BD32" s="101"/>
      <c r="BE32" s="101"/>
      <c r="BF32" s="101"/>
      <c r="BG32" s="101"/>
      <c r="BH32" s="101"/>
      <c r="BI32" s="101"/>
      <c r="BJ32" s="101"/>
      <c r="BK32" s="101"/>
      <c r="BL32" s="101"/>
      <c r="BM32" s="101"/>
      <c r="BN32" s="101"/>
      <c r="BO32" s="101"/>
      <c r="BP32" s="101"/>
      <c r="BQ32" s="101"/>
      <c r="BR32" s="101"/>
      <c r="BS32" s="101"/>
      <c r="BT32" s="101"/>
      <c r="BU32" s="101"/>
      <c r="BV32" s="101"/>
      <c r="BW32" s="101"/>
      <c r="BX32" s="101"/>
      <c r="BY32" s="101"/>
      <c r="BZ32" s="103">
        <f t="shared" ref="BZ32:BZ58" si="1">SUM(C32:BY32)</f>
        <v>822.42857142857144</v>
      </c>
    </row>
    <row r="33" spans="1:78" x14ac:dyDescent="0.35">
      <c r="A33" s="104" t="str">
        <f>IF('[5]Set Up'!E42=0,"",'[5]Set Up'!E42&amp;", bbl")</f>
        <v>Slickwater, bbl</v>
      </c>
      <c r="B33" s="105">
        <f>IF(BZ33=0,"",AVERAGE(C33:BY33))</f>
        <v>10973.232075471697</v>
      </c>
      <c r="C33" s="106">
        <v>11510.4</v>
      </c>
      <c r="D33" s="107">
        <v>10887.7</v>
      </c>
      <c r="E33" s="107">
        <v>10799.8</v>
      </c>
      <c r="F33" s="107">
        <v>10830</v>
      </c>
      <c r="G33" s="107">
        <v>10996.5</v>
      </c>
      <c r="H33" s="107">
        <v>10907.1</v>
      </c>
      <c r="I33" s="107">
        <v>10864</v>
      </c>
      <c r="J33" s="107">
        <v>10884.499999999998</v>
      </c>
      <c r="K33" s="107">
        <v>10894.8</v>
      </c>
      <c r="L33" s="107">
        <v>10949</v>
      </c>
      <c r="M33" s="107">
        <v>11030.5</v>
      </c>
      <c r="N33" s="107">
        <v>10951.6</v>
      </c>
      <c r="O33" s="107">
        <v>11768</v>
      </c>
      <c r="P33" s="107">
        <v>10816.7</v>
      </c>
      <c r="Q33" s="107">
        <v>10907.499999999998</v>
      </c>
      <c r="R33" s="107">
        <v>10873</v>
      </c>
      <c r="S33" s="107">
        <v>10990</v>
      </c>
      <c r="T33" s="107">
        <v>10904.6</v>
      </c>
      <c r="U33" s="107">
        <v>10927.9</v>
      </c>
      <c r="V33" s="107">
        <v>11130</v>
      </c>
      <c r="W33" s="107">
        <v>11153.699999999999</v>
      </c>
      <c r="X33" s="107">
        <v>10704.7</v>
      </c>
      <c r="Y33" s="107">
        <v>10801.2</v>
      </c>
      <c r="Z33" s="107">
        <v>10748</v>
      </c>
      <c r="AA33" s="107">
        <v>10657</v>
      </c>
      <c r="AB33" s="107">
        <v>10771</v>
      </c>
      <c r="AC33" s="107">
        <v>10786.699999999999</v>
      </c>
      <c r="AD33" s="107">
        <v>11088.5</v>
      </c>
      <c r="AE33" s="107">
        <v>11743</v>
      </c>
      <c r="AF33" s="107">
        <v>10744.300000000001</v>
      </c>
      <c r="AG33" s="107">
        <v>10895.099999999999</v>
      </c>
      <c r="AH33" s="107">
        <v>13462.900000000001</v>
      </c>
      <c r="AI33" s="107">
        <v>10845.900000000001</v>
      </c>
      <c r="AJ33" s="107">
        <v>11105</v>
      </c>
      <c r="AK33" s="107">
        <v>10915</v>
      </c>
      <c r="AL33" s="107">
        <v>10746.500000000002</v>
      </c>
      <c r="AM33" s="107">
        <v>11334.6</v>
      </c>
      <c r="AN33" s="107">
        <v>10575.900000000001</v>
      </c>
      <c r="AO33" s="107">
        <v>10726.299999999997</v>
      </c>
      <c r="AP33" s="107">
        <v>10783.8</v>
      </c>
      <c r="AQ33" s="107">
        <v>11031.6</v>
      </c>
      <c r="AR33" s="107">
        <v>10956.300000000001</v>
      </c>
      <c r="AS33" s="107">
        <v>11398.499999999998</v>
      </c>
      <c r="AT33" s="107">
        <v>11250.099999999999</v>
      </c>
      <c r="AU33" s="107">
        <v>10760.1</v>
      </c>
      <c r="AV33" s="107">
        <v>10831.599999999999</v>
      </c>
      <c r="AW33" s="107">
        <v>10825</v>
      </c>
      <c r="AX33" s="107">
        <v>10853.5</v>
      </c>
      <c r="AY33" s="107">
        <v>10723.9</v>
      </c>
      <c r="AZ33" s="107">
        <v>10659.5</v>
      </c>
      <c r="BA33" s="106">
        <v>10769.400000000001</v>
      </c>
      <c r="BB33" s="106">
        <v>10734.1</v>
      </c>
      <c r="BC33" s="106">
        <v>10375</v>
      </c>
      <c r="BD33" s="106"/>
      <c r="BE33" s="106"/>
      <c r="BF33" s="106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8">
        <f t="shared" si="1"/>
        <v>581581.29999999993</v>
      </c>
    </row>
    <row r="34" spans="1:78" x14ac:dyDescent="0.35">
      <c r="A34" s="99" t="str">
        <f>IF('[5]Set Up'!E43=0,"",'[5]Set Up'!E43&amp;", bbl")</f>
        <v>Pump Down, bbl</v>
      </c>
      <c r="B34" s="109">
        <f>IF(BZ34=0,"",AVERAGE(C34:BY34))</f>
        <v>150.52830188679246</v>
      </c>
      <c r="C34" s="110">
        <v>337</v>
      </c>
      <c r="D34" s="111">
        <v>299</v>
      </c>
      <c r="E34" s="111">
        <v>273</v>
      </c>
      <c r="F34" s="111">
        <v>272</v>
      </c>
      <c r="G34" s="111">
        <v>262</v>
      </c>
      <c r="H34" s="111">
        <v>258</v>
      </c>
      <c r="I34" s="111">
        <v>252</v>
      </c>
      <c r="J34" s="111">
        <v>216</v>
      </c>
      <c r="K34" s="111">
        <v>224</v>
      </c>
      <c r="L34" s="111">
        <v>238</v>
      </c>
      <c r="M34" s="111">
        <v>206</v>
      </c>
      <c r="N34" s="111">
        <v>188</v>
      </c>
      <c r="O34" s="111">
        <v>221</v>
      </c>
      <c r="P34" s="111">
        <v>205</v>
      </c>
      <c r="Q34" s="111">
        <v>188</v>
      </c>
      <c r="R34" s="111">
        <v>212</v>
      </c>
      <c r="S34" s="111">
        <v>222</v>
      </c>
      <c r="T34" s="111">
        <v>210</v>
      </c>
      <c r="U34" s="111">
        <v>188</v>
      </c>
      <c r="V34" s="111">
        <v>190</v>
      </c>
      <c r="W34" s="111">
        <v>166</v>
      </c>
      <c r="X34" s="111">
        <v>196</v>
      </c>
      <c r="Y34" s="111">
        <v>144</v>
      </c>
      <c r="Z34" s="111">
        <v>140</v>
      </c>
      <c r="AA34" s="111">
        <v>170</v>
      </c>
      <c r="AB34" s="111">
        <v>170</v>
      </c>
      <c r="AC34" s="111">
        <v>162</v>
      </c>
      <c r="AD34" s="111">
        <v>154</v>
      </c>
      <c r="AE34" s="111">
        <v>139</v>
      </c>
      <c r="AF34" s="111">
        <v>119</v>
      </c>
      <c r="AG34" s="111">
        <v>121</v>
      </c>
      <c r="AH34" s="111">
        <v>118</v>
      </c>
      <c r="AI34" s="111">
        <v>109</v>
      </c>
      <c r="AJ34" s="111">
        <v>101</v>
      </c>
      <c r="AK34" s="111">
        <v>100</v>
      </c>
      <c r="AL34" s="111">
        <v>98</v>
      </c>
      <c r="AM34" s="111">
        <v>435</v>
      </c>
      <c r="AN34" s="111">
        <v>74</v>
      </c>
      <c r="AO34" s="111">
        <v>70</v>
      </c>
      <c r="AP34" s="111">
        <v>78</v>
      </c>
      <c r="AQ34" s="111">
        <v>57</v>
      </c>
      <c r="AR34" s="111">
        <v>69</v>
      </c>
      <c r="AS34" s="111">
        <v>56</v>
      </c>
      <c r="AT34" s="111">
        <v>46</v>
      </c>
      <c r="AU34" s="111">
        <v>44</v>
      </c>
      <c r="AV34" s="111">
        <v>43</v>
      </c>
      <c r="AW34" s="111">
        <v>31</v>
      </c>
      <c r="AX34" s="111">
        <v>29</v>
      </c>
      <c r="AY34" s="111">
        <v>25</v>
      </c>
      <c r="AZ34" s="111">
        <v>23</v>
      </c>
      <c r="BA34" s="111">
        <v>16</v>
      </c>
      <c r="BB34" s="111">
        <v>14</v>
      </c>
      <c r="BC34" s="111">
        <v>0</v>
      </c>
      <c r="BD34" s="111"/>
      <c r="BE34" s="111"/>
      <c r="BF34" s="111"/>
      <c r="BG34" s="111"/>
      <c r="BH34" s="111"/>
      <c r="BI34" s="111"/>
      <c r="BJ34" s="111"/>
      <c r="BK34" s="111"/>
      <c r="BL34" s="111"/>
      <c r="BM34" s="111"/>
      <c r="BN34" s="111"/>
      <c r="BO34" s="111"/>
      <c r="BP34" s="111"/>
      <c r="BQ34" s="111"/>
      <c r="BR34" s="111"/>
      <c r="BS34" s="111"/>
      <c r="BT34" s="111"/>
      <c r="BU34" s="111"/>
      <c r="BV34" s="111"/>
      <c r="BW34" s="111"/>
      <c r="BX34" s="111"/>
      <c r="BY34" s="111"/>
      <c r="BZ34" s="109">
        <f t="shared" si="1"/>
        <v>7978</v>
      </c>
    </row>
    <row r="35" spans="1:78" x14ac:dyDescent="0.35">
      <c r="A35" s="104" t="str">
        <f>IF('[5]Set Up'!E44=0,"",'[5]Set Up'!E44&amp;", bbl")</f>
        <v/>
      </c>
      <c r="B35" s="105" t="str">
        <f>IF(BZ35=0,"",AVERAGE(C35:BY35))</f>
        <v/>
      </c>
      <c r="C35" s="106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  <c r="AU35" s="107">
        <v>0</v>
      </c>
      <c r="AV35" s="107">
        <v>0</v>
      </c>
      <c r="AW35" s="107">
        <v>0</v>
      </c>
      <c r="AX35" s="107">
        <v>0</v>
      </c>
      <c r="AY35" s="107">
        <v>0</v>
      </c>
      <c r="AZ35" s="107">
        <v>0</v>
      </c>
      <c r="BA35" s="107">
        <v>0</v>
      </c>
      <c r="BB35" s="107">
        <v>0</v>
      </c>
      <c r="BC35" s="107">
        <v>0</v>
      </c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5">
        <f t="shared" si="1"/>
        <v>0</v>
      </c>
    </row>
    <row r="36" spans="1:78" ht="15" thickBot="1" x14ac:dyDescent="0.4">
      <c r="A36" s="112" t="s">
        <v>39</v>
      </c>
      <c r="B36" s="113">
        <f>IF(BZ36=0,"",AVERAGE(C36:BY36))</f>
        <v>11139.277897574126</v>
      </c>
      <c r="C36" s="114">
        <v>11876.114285714286</v>
      </c>
      <c r="D36" s="115">
        <v>11203.72380952381</v>
      </c>
      <c r="E36" s="115">
        <v>11089.014285714286</v>
      </c>
      <c r="F36" s="115">
        <v>11116.261904761905</v>
      </c>
      <c r="G36" s="115">
        <v>11274.023809523809</v>
      </c>
      <c r="H36" s="115">
        <v>11178.290476190477</v>
      </c>
      <c r="I36" s="115">
        <v>11129.690476190477</v>
      </c>
      <c r="J36" s="115">
        <v>11114.690476190475</v>
      </c>
      <c r="K36" s="115">
        <v>11133.3</v>
      </c>
      <c r="L36" s="115">
        <v>11201</v>
      </c>
      <c r="M36" s="115">
        <v>11251.571428571429</v>
      </c>
      <c r="N36" s="115">
        <v>11154.742857142857</v>
      </c>
      <c r="O36" s="115">
        <v>12004.071428571429</v>
      </c>
      <c r="P36" s="115">
        <v>11036.652380952382</v>
      </c>
      <c r="Q36" s="115">
        <v>11124.642857142855</v>
      </c>
      <c r="R36" s="115">
        <v>11112.642857142857</v>
      </c>
      <c r="S36" s="115">
        <v>11225</v>
      </c>
      <c r="T36" s="115">
        <v>11128.885714285714</v>
      </c>
      <c r="U36" s="115">
        <v>11130.161904761904</v>
      </c>
      <c r="V36" s="115">
        <v>11334.880952380952</v>
      </c>
      <c r="W36" s="115">
        <v>11334.723809523808</v>
      </c>
      <c r="X36" s="115">
        <v>10915.77142857143</v>
      </c>
      <c r="Y36" s="115">
        <v>10960.27142857143</v>
      </c>
      <c r="Z36" s="115">
        <v>10903.023809523809</v>
      </c>
      <c r="AA36" s="115">
        <v>10841.880952380952</v>
      </c>
      <c r="AB36" s="115">
        <v>10955.190476190477</v>
      </c>
      <c r="AC36" s="115">
        <v>10962.390476190476</v>
      </c>
      <c r="AD36" s="115">
        <v>11258.833333333334</v>
      </c>
      <c r="AE36" s="115">
        <v>11897.333333333334</v>
      </c>
      <c r="AF36" s="115">
        <v>10878.180952380953</v>
      </c>
      <c r="AG36" s="115">
        <v>11030.980952380951</v>
      </c>
      <c r="AH36" s="115">
        <v>13595.971428571431</v>
      </c>
      <c r="AI36" s="115">
        <v>10969.971428571431</v>
      </c>
      <c r="AJ36" s="115">
        <v>11221.071428571429</v>
      </c>
      <c r="AK36" s="115">
        <v>11029.880952380952</v>
      </c>
      <c r="AL36" s="115">
        <v>10858.880952380954</v>
      </c>
      <c r="AM36" s="115">
        <v>11783.552380952382</v>
      </c>
      <c r="AN36" s="115">
        <v>10663.352380952383</v>
      </c>
      <c r="AO36" s="115">
        <v>10810.490476190475</v>
      </c>
      <c r="AP36" s="115">
        <v>10875.490476190476</v>
      </c>
      <c r="AQ36" s="115">
        <v>11104.933333333334</v>
      </c>
      <c r="AR36" s="115">
        <v>11040.633333333335</v>
      </c>
      <c r="AS36" s="115">
        <v>11468.45238095238</v>
      </c>
      <c r="AT36" s="115">
        <v>11310.599999999999</v>
      </c>
      <c r="AU36" s="115">
        <v>10818.6</v>
      </c>
      <c r="AV36" s="115">
        <v>10889.361904761903</v>
      </c>
      <c r="AW36" s="115">
        <v>10871.023809523809</v>
      </c>
      <c r="AX36" s="115">
        <v>10897.571428571429</v>
      </c>
      <c r="AY36" s="115">
        <v>10764.042857142857</v>
      </c>
      <c r="AZ36" s="115">
        <v>10697.571428571429</v>
      </c>
      <c r="BA36" s="114">
        <v>10800.352380952383</v>
      </c>
      <c r="BB36" s="114">
        <v>10762.790476190477</v>
      </c>
      <c r="BC36" s="114">
        <v>10389.190476190477</v>
      </c>
      <c r="BD36" s="114"/>
      <c r="BE36" s="114"/>
      <c r="BF36" s="114"/>
      <c r="BG36" s="114"/>
      <c r="BH36" s="114"/>
      <c r="BI36" s="114"/>
      <c r="BJ36" s="114"/>
      <c r="BK36" s="114"/>
      <c r="BL36" s="114"/>
      <c r="BM36" s="114"/>
      <c r="BN36" s="114"/>
      <c r="BO36" s="114"/>
      <c r="BP36" s="114"/>
      <c r="BQ36" s="114"/>
      <c r="BR36" s="114"/>
      <c r="BS36" s="114"/>
      <c r="BT36" s="114"/>
      <c r="BU36" s="114"/>
      <c r="BV36" s="114"/>
      <c r="BW36" s="114"/>
      <c r="BX36" s="114"/>
      <c r="BY36" s="114"/>
      <c r="BZ36" s="116">
        <f t="shared" si="1"/>
        <v>590381.72857142868</v>
      </c>
    </row>
    <row r="37" spans="1:78" x14ac:dyDescent="0.35">
      <c r="A37" s="117" t="str">
        <f>IF('[5]Set Up'!E35=0,"",'[5]Set Up'!E35&amp;", lb")</f>
        <v>100 Mesh, lb</v>
      </c>
      <c r="B37" s="118">
        <f t="shared" ref="B37:B58" si="2">IF(C37="","",AVERAGE(C37:BY37))</f>
        <v>501904.90566037735</v>
      </c>
      <c r="C37" s="119">
        <v>504040</v>
      </c>
      <c r="D37" s="120">
        <v>501300</v>
      </c>
      <c r="E37" s="120">
        <v>502480</v>
      </c>
      <c r="F37" s="120">
        <v>496040</v>
      </c>
      <c r="G37" s="120">
        <v>500940</v>
      </c>
      <c r="H37" s="120">
        <v>499260</v>
      </c>
      <c r="I37" s="120">
        <v>502240</v>
      </c>
      <c r="J37" s="120">
        <v>505980</v>
      </c>
      <c r="K37" s="120">
        <v>506560</v>
      </c>
      <c r="L37" s="120">
        <v>502700</v>
      </c>
      <c r="M37" s="120">
        <v>503640</v>
      </c>
      <c r="N37" s="120">
        <v>501960</v>
      </c>
      <c r="O37" s="120">
        <v>500220</v>
      </c>
      <c r="P37" s="120">
        <v>497520</v>
      </c>
      <c r="Q37" s="120">
        <v>502520</v>
      </c>
      <c r="R37" s="120">
        <v>499400</v>
      </c>
      <c r="S37" s="120">
        <v>503240</v>
      </c>
      <c r="T37" s="120">
        <v>492920</v>
      </c>
      <c r="U37" s="120">
        <v>506400</v>
      </c>
      <c r="V37" s="120">
        <v>499820</v>
      </c>
      <c r="W37" s="120">
        <v>501560</v>
      </c>
      <c r="X37" s="120">
        <v>494500</v>
      </c>
      <c r="Y37" s="120">
        <v>499200</v>
      </c>
      <c r="Z37" s="120">
        <v>497380</v>
      </c>
      <c r="AA37" s="120">
        <v>495280</v>
      </c>
      <c r="AB37" s="120">
        <v>493740</v>
      </c>
      <c r="AC37" s="120">
        <v>506240</v>
      </c>
      <c r="AD37" s="120">
        <v>506240</v>
      </c>
      <c r="AE37" s="120">
        <v>504000</v>
      </c>
      <c r="AF37" s="120">
        <v>503760</v>
      </c>
      <c r="AG37" s="120">
        <v>505100</v>
      </c>
      <c r="AH37" s="120">
        <v>500060</v>
      </c>
      <c r="AI37" s="120">
        <v>492200</v>
      </c>
      <c r="AJ37" s="120">
        <v>499860</v>
      </c>
      <c r="AK37" s="120">
        <v>507740</v>
      </c>
      <c r="AL37" s="120">
        <v>496060</v>
      </c>
      <c r="AM37" s="120">
        <v>507000</v>
      </c>
      <c r="AN37" s="120">
        <v>504540</v>
      </c>
      <c r="AO37" s="120">
        <v>496680</v>
      </c>
      <c r="AP37" s="120">
        <v>502020</v>
      </c>
      <c r="AQ37" s="120">
        <v>511440</v>
      </c>
      <c r="AR37" s="120">
        <v>506100</v>
      </c>
      <c r="AS37" s="120">
        <v>502540</v>
      </c>
      <c r="AT37" s="120">
        <v>506800</v>
      </c>
      <c r="AU37" s="120">
        <v>495040</v>
      </c>
      <c r="AV37" s="120">
        <v>513600</v>
      </c>
      <c r="AW37" s="120">
        <v>504180</v>
      </c>
      <c r="AX37" s="120">
        <v>506220</v>
      </c>
      <c r="AY37" s="120">
        <v>508400</v>
      </c>
      <c r="AZ37" s="120">
        <v>502420</v>
      </c>
      <c r="BA37" s="119">
        <v>501020</v>
      </c>
      <c r="BB37" s="119">
        <v>497940</v>
      </c>
      <c r="BC37" s="119">
        <v>502920</v>
      </c>
      <c r="BD37" s="119"/>
      <c r="BE37" s="119"/>
      <c r="BF37" s="119"/>
      <c r="BG37" s="119"/>
      <c r="BH37" s="119"/>
      <c r="BI37" s="119"/>
      <c r="BJ37" s="119"/>
      <c r="BK37" s="119"/>
      <c r="BL37" s="119"/>
      <c r="BM37" s="119"/>
      <c r="BN37" s="119"/>
      <c r="BO37" s="119"/>
      <c r="BP37" s="119"/>
      <c r="BQ37" s="119"/>
      <c r="BR37" s="119"/>
      <c r="BS37" s="119"/>
      <c r="BT37" s="119"/>
      <c r="BU37" s="119"/>
      <c r="BV37" s="119"/>
      <c r="BW37" s="119"/>
      <c r="BX37" s="119"/>
      <c r="BY37" s="119"/>
      <c r="BZ37" s="121">
        <f t="shared" si="1"/>
        <v>26600960</v>
      </c>
    </row>
    <row r="38" spans="1:78" x14ac:dyDescent="0.35">
      <c r="A38" s="122" t="str">
        <f>IF('[5]Set Up'!E36=0,"",'[5]Set Up'!E36&amp;", lb")</f>
        <v/>
      </c>
      <c r="B38" s="105" t="str">
        <f t="shared" si="2"/>
        <v/>
      </c>
      <c r="C38" s="123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  <c r="AZ38" s="124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08">
        <f t="shared" si="1"/>
        <v>0</v>
      </c>
    </row>
    <row r="39" spans="1:78" x14ac:dyDescent="0.35">
      <c r="A39" s="125" t="str">
        <f>IF('[5]Set Up'!E37=0,"",'[5]Set Up'!E37&amp;", lb")</f>
        <v/>
      </c>
      <c r="B39" s="126" t="str">
        <f t="shared" si="2"/>
        <v/>
      </c>
      <c r="C39" s="127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7"/>
      <c r="BB39" s="127"/>
      <c r="BC39" s="127"/>
      <c r="BD39" s="127"/>
      <c r="BE39" s="127"/>
      <c r="BF39" s="127"/>
      <c r="BG39" s="127"/>
      <c r="BH39" s="127"/>
      <c r="BI39" s="127"/>
      <c r="BJ39" s="127"/>
      <c r="BK39" s="127"/>
      <c r="BL39" s="127"/>
      <c r="BM39" s="127"/>
      <c r="BN39" s="127"/>
      <c r="BO39" s="127"/>
      <c r="BP39" s="127"/>
      <c r="BQ39" s="127"/>
      <c r="BR39" s="127"/>
      <c r="BS39" s="127"/>
      <c r="BT39" s="127"/>
      <c r="BU39" s="127"/>
      <c r="BV39" s="127"/>
      <c r="BW39" s="127"/>
      <c r="BX39" s="127"/>
      <c r="BY39" s="127"/>
      <c r="BZ39" s="129">
        <f t="shared" si="1"/>
        <v>0</v>
      </c>
    </row>
    <row r="40" spans="1:78" x14ac:dyDescent="0.35">
      <c r="A40" s="122" t="str">
        <f>IF('[5]Set Up'!E38=0,"",'[5]Set Up'!E38&amp;", lb")</f>
        <v/>
      </c>
      <c r="B40" s="105" t="str">
        <f t="shared" si="2"/>
        <v/>
      </c>
      <c r="C40" s="123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24"/>
      <c r="AX40" s="124"/>
      <c r="AY40" s="124"/>
      <c r="AZ40" s="124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08">
        <f t="shared" si="1"/>
        <v>0</v>
      </c>
    </row>
    <row r="41" spans="1:78" ht="15" thickBot="1" x14ac:dyDescent="0.4">
      <c r="A41" s="130" t="s">
        <v>40</v>
      </c>
      <c r="B41" s="131">
        <f t="shared" si="2"/>
        <v>501904.90566037735</v>
      </c>
      <c r="C41" s="131">
        <v>504040</v>
      </c>
      <c r="D41" s="132">
        <v>501300</v>
      </c>
      <c r="E41" s="132">
        <v>502480</v>
      </c>
      <c r="F41" s="132">
        <v>496040</v>
      </c>
      <c r="G41" s="132">
        <v>500940</v>
      </c>
      <c r="H41" s="132">
        <v>499260</v>
      </c>
      <c r="I41" s="132">
        <v>502240</v>
      </c>
      <c r="J41" s="132">
        <v>505980</v>
      </c>
      <c r="K41" s="132">
        <v>506560</v>
      </c>
      <c r="L41" s="132">
        <v>502700</v>
      </c>
      <c r="M41" s="132">
        <v>503640</v>
      </c>
      <c r="N41" s="132">
        <v>501960</v>
      </c>
      <c r="O41" s="132">
        <v>500220</v>
      </c>
      <c r="P41" s="132">
        <v>497520</v>
      </c>
      <c r="Q41" s="132">
        <v>502520</v>
      </c>
      <c r="R41" s="132">
        <v>499400</v>
      </c>
      <c r="S41" s="132">
        <v>503240</v>
      </c>
      <c r="T41" s="132">
        <v>492920</v>
      </c>
      <c r="U41" s="132">
        <v>506400</v>
      </c>
      <c r="V41" s="132">
        <v>499820</v>
      </c>
      <c r="W41" s="132">
        <v>501560</v>
      </c>
      <c r="X41" s="132">
        <v>494500</v>
      </c>
      <c r="Y41" s="132">
        <v>499200</v>
      </c>
      <c r="Z41" s="132">
        <v>497380</v>
      </c>
      <c r="AA41" s="132">
        <v>495280</v>
      </c>
      <c r="AB41" s="132">
        <v>493740</v>
      </c>
      <c r="AC41" s="132">
        <v>506240</v>
      </c>
      <c r="AD41" s="132">
        <v>506240</v>
      </c>
      <c r="AE41" s="132">
        <v>504000</v>
      </c>
      <c r="AF41" s="132">
        <v>503760</v>
      </c>
      <c r="AG41" s="132">
        <v>505100</v>
      </c>
      <c r="AH41" s="132">
        <v>500060</v>
      </c>
      <c r="AI41" s="132">
        <v>492200</v>
      </c>
      <c r="AJ41" s="132">
        <v>499860</v>
      </c>
      <c r="AK41" s="132">
        <v>507740</v>
      </c>
      <c r="AL41" s="132">
        <v>496060</v>
      </c>
      <c r="AM41" s="132">
        <v>507000</v>
      </c>
      <c r="AN41" s="132">
        <v>504540</v>
      </c>
      <c r="AO41" s="132">
        <v>496680</v>
      </c>
      <c r="AP41" s="132">
        <v>502020</v>
      </c>
      <c r="AQ41" s="132">
        <v>511440</v>
      </c>
      <c r="AR41" s="132">
        <v>506100</v>
      </c>
      <c r="AS41" s="132">
        <v>502540</v>
      </c>
      <c r="AT41" s="132">
        <v>506800</v>
      </c>
      <c r="AU41" s="132">
        <v>495040</v>
      </c>
      <c r="AV41" s="132">
        <v>513600</v>
      </c>
      <c r="AW41" s="132">
        <v>504180</v>
      </c>
      <c r="AX41" s="132">
        <v>506220</v>
      </c>
      <c r="AY41" s="132">
        <v>508400</v>
      </c>
      <c r="AZ41" s="132">
        <v>502420</v>
      </c>
      <c r="BA41" s="132">
        <v>501020</v>
      </c>
      <c r="BB41" s="132">
        <v>497940</v>
      </c>
      <c r="BC41" s="132">
        <v>502920</v>
      </c>
      <c r="BD41" s="132"/>
      <c r="BE41" s="132"/>
      <c r="BF41" s="132"/>
      <c r="BG41" s="132"/>
      <c r="BH41" s="132"/>
      <c r="BI41" s="132"/>
      <c r="BJ41" s="132"/>
      <c r="BK41" s="132"/>
      <c r="BL41" s="132"/>
      <c r="BM41" s="132"/>
      <c r="BN41" s="132"/>
      <c r="BO41" s="132"/>
      <c r="BP41" s="132"/>
      <c r="BQ41" s="132"/>
      <c r="BR41" s="132"/>
      <c r="BS41" s="132"/>
      <c r="BT41" s="132"/>
      <c r="BU41" s="132"/>
      <c r="BV41" s="132"/>
      <c r="BW41" s="132"/>
      <c r="BX41" s="132"/>
      <c r="BY41" s="132"/>
      <c r="BZ41" s="133">
        <f t="shared" si="1"/>
        <v>26600960</v>
      </c>
    </row>
    <row r="42" spans="1:78" x14ac:dyDescent="0.35">
      <c r="A42" s="134" t="str">
        <f>A37</f>
        <v>100 Mesh, lb</v>
      </c>
      <c r="B42" s="135">
        <f t="shared" si="2"/>
        <v>501904.90566037735</v>
      </c>
      <c r="C42" s="136">
        <v>504040</v>
      </c>
      <c r="D42" s="136">
        <v>501300</v>
      </c>
      <c r="E42" s="136">
        <v>502480</v>
      </c>
      <c r="F42" s="136">
        <v>496040</v>
      </c>
      <c r="G42" s="136">
        <v>500940</v>
      </c>
      <c r="H42" s="136">
        <v>499260</v>
      </c>
      <c r="I42" s="136">
        <v>502240</v>
      </c>
      <c r="J42" s="136">
        <v>505980</v>
      </c>
      <c r="K42" s="136">
        <v>506560</v>
      </c>
      <c r="L42" s="136">
        <v>502700</v>
      </c>
      <c r="M42" s="136">
        <v>503640</v>
      </c>
      <c r="N42" s="136">
        <v>501960</v>
      </c>
      <c r="O42" s="136">
        <v>500220</v>
      </c>
      <c r="P42" s="136">
        <v>497520</v>
      </c>
      <c r="Q42" s="136">
        <v>502520</v>
      </c>
      <c r="R42" s="136">
        <v>499400</v>
      </c>
      <c r="S42" s="136">
        <v>503240</v>
      </c>
      <c r="T42" s="136">
        <v>492920</v>
      </c>
      <c r="U42" s="136">
        <v>506400</v>
      </c>
      <c r="V42" s="136">
        <v>499820</v>
      </c>
      <c r="W42" s="136">
        <v>501560</v>
      </c>
      <c r="X42" s="136">
        <v>494500</v>
      </c>
      <c r="Y42" s="136">
        <v>499200</v>
      </c>
      <c r="Z42" s="136">
        <v>497380</v>
      </c>
      <c r="AA42" s="136">
        <v>495280</v>
      </c>
      <c r="AB42" s="136">
        <v>493740</v>
      </c>
      <c r="AC42" s="136">
        <v>506240</v>
      </c>
      <c r="AD42" s="136">
        <v>506240</v>
      </c>
      <c r="AE42" s="136">
        <v>504000</v>
      </c>
      <c r="AF42" s="136">
        <v>503760</v>
      </c>
      <c r="AG42" s="136">
        <v>505100</v>
      </c>
      <c r="AH42" s="136">
        <v>500060</v>
      </c>
      <c r="AI42" s="136">
        <v>492200</v>
      </c>
      <c r="AJ42" s="136">
        <v>499860</v>
      </c>
      <c r="AK42" s="136">
        <v>507740</v>
      </c>
      <c r="AL42" s="136">
        <v>496060</v>
      </c>
      <c r="AM42" s="136">
        <v>507000</v>
      </c>
      <c r="AN42" s="136">
        <v>504540</v>
      </c>
      <c r="AO42" s="136">
        <v>496680</v>
      </c>
      <c r="AP42" s="136">
        <v>502020</v>
      </c>
      <c r="AQ42" s="136">
        <v>511440</v>
      </c>
      <c r="AR42" s="136">
        <v>506100</v>
      </c>
      <c r="AS42" s="136">
        <v>502540</v>
      </c>
      <c r="AT42" s="136">
        <v>506800</v>
      </c>
      <c r="AU42" s="136">
        <v>495040</v>
      </c>
      <c r="AV42" s="136">
        <v>513600</v>
      </c>
      <c r="AW42" s="136">
        <v>504180</v>
      </c>
      <c r="AX42" s="136">
        <v>506220</v>
      </c>
      <c r="AY42" s="136">
        <v>508400</v>
      </c>
      <c r="AZ42" s="136">
        <v>502420</v>
      </c>
      <c r="BA42" s="137">
        <v>501020</v>
      </c>
      <c r="BB42" s="137">
        <v>497940</v>
      </c>
      <c r="BC42" s="137">
        <v>502920</v>
      </c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8">
        <f t="shared" si="1"/>
        <v>26600960</v>
      </c>
    </row>
    <row r="43" spans="1:78" x14ac:dyDescent="0.35">
      <c r="A43" s="122" t="str">
        <f>A38</f>
        <v/>
      </c>
      <c r="B43" s="105" t="str">
        <f t="shared" si="2"/>
        <v/>
      </c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  <c r="AZ43" s="124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08">
        <f t="shared" si="1"/>
        <v>0</v>
      </c>
    </row>
    <row r="44" spans="1:78" x14ac:dyDescent="0.35">
      <c r="A44" s="139" t="str">
        <f>A39</f>
        <v/>
      </c>
      <c r="B44" s="140" t="str">
        <f t="shared" si="2"/>
        <v/>
      </c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  <c r="AO44" s="141"/>
      <c r="AP44" s="141"/>
      <c r="AQ44" s="141"/>
      <c r="AR44" s="141"/>
      <c r="AS44" s="141"/>
      <c r="AT44" s="141"/>
      <c r="AU44" s="141"/>
      <c r="AV44" s="141"/>
      <c r="AW44" s="141"/>
      <c r="AX44" s="141"/>
      <c r="AY44" s="141"/>
      <c r="AZ44" s="141"/>
      <c r="BA44" s="141"/>
      <c r="BB44" s="141"/>
      <c r="BC44" s="141"/>
      <c r="BD44" s="141"/>
      <c r="BE44" s="141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1"/>
      <c r="BQ44" s="141"/>
      <c r="BR44" s="141"/>
      <c r="BS44" s="141"/>
      <c r="BT44" s="141"/>
      <c r="BU44" s="141"/>
      <c r="BV44" s="141"/>
      <c r="BW44" s="141"/>
      <c r="BX44" s="141"/>
      <c r="BY44" s="141"/>
      <c r="BZ44" s="140">
        <f t="shared" si="1"/>
        <v>0</v>
      </c>
    </row>
    <row r="45" spans="1:78" x14ac:dyDescent="0.35">
      <c r="A45" s="142" t="str">
        <f>A40</f>
        <v/>
      </c>
      <c r="B45" s="143" t="str">
        <f t="shared" si="2"/>
        <v/>
      </c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24"/>
      <c r="BL45" s="124"/>
      <c r="BM45" s="124"/>
      <c r="BN45" s="124"/>
      <c r="BO45" s="124"/>
      <c r="BP45" s="124"/>
      <c r="BQ45" s="124"/>
      <c r="BR45" s="124"/>
      <c r="BS45" s="124"/>
      <c r="BT45" s="124"/>
      <c r="BU45" s="124"/>
      <c r="BV45" s="124"/>
      <c r="BW45" s="124"/>
      <c r="BX45" s="124"/>
      <c r="BY45" s="124"/>
      <c r="BZ45" s="105">
        <f t="shared" si="1"/>
        <v>0</v>
      </c>
    </row>
    <row r="46" spans="1:78" ht="15" thickBot="1" x14ac:dyDescent="0.4">
      <c r="A46" s="144" t="s">
        <v>41</v>
      </c>
      <c r="B46" s="145">
        <f t="shared" si="2"/>
        <v>501904.90566037735</v>
      </c>
      <c r="C46" s="146">
        <v>504040</v>
      </c>
      <c r="D46" s="146">
        <v>501300</v>
      </c>
      <c r="E46" s="146">
        <v>502480</v>
      </c>
      <c r="F46" s="146">
        <v>496040</v>
      </c>
      <c r="G46" s="146">
        <v>500940</v>
      </c>
      <c r="H46" s="146">
        <v>499260</v>
      </c>
      <c r="I46" s="146">
        <v>502240</v>
      </c>
      <c r="J46" s="146">
        <v>505980</v>
      </c>
      <c r="K46" s="146">
        <v>506560</v>
      </c>
      <c r="L46" s="146">
        <v>502700</v>
      </c>
      <c r="M46" s="146">
        <v>503640</v>
      </c>
      <c r="N46" s="146">
        <v>501960</v>
      </c>
      <c r="O46" s="146">
        <v>500220</v>
      </c>
      <c r="P46" s="146">
        <v>497520</v>
      </c>
      <c r="Q46" s="146">
        <v>502520</v>
      </c>
      <c r="R46" s="146">
        <v>499400</v>
      </c>
      <c r="S46" s="146">
        <v>503240</v>
      </c>
      <c r="T46" s="146">
        <v>492920</v>
      </c>
      <c r="U46" s="146">
        <v>506400</v>
      </c>
      <c r="V46" s="146">
        <v>499820</v>
      </c>
      <c r="W46" s="146">
        <v>501560</v>
      </c>
      <c r="X46" s="146">
        <v>494500</v>
      </c>
      <c r="Y46" s="146">
        <v>499200</v>
      </c>
      <c r="Z46" s="146">
        <v>497380</v>
      </c>
      <c r="AA46" s="146">
        <v>495280</v>
      </c>
      <c r="AB46" s="146">
        <v>493740</v>
      </c>
      <c r="AC46" s="146">
        <v>506240</v>
      </c>
      <c r="AD46" s="146">
        <v>506240</v>
      </c>
      <c r="AE46" s="146">
        <v>504000</v>
      </c>
      <c r="AF46" s="146">
        <v>503760</v>
      </c>
      <c r="AG46" s="146">
        <v>505100</v>
      </c>
      <c r="AH46" s="146">
        <v>500060</v>
      </c>
      <c r="AI46" s="146">
        <v>492200</v>
      </c>
      <c r="AJ46" s="146">
        <v>499860</v>
      </c>
      <c r="AK46" s="146">
        <v>507740</v>
      </c>
      <c r="AL46" s="146">
        <v>496060</v>
      </c>
      <c r="AM46" s="146">
        <v>507000</v>
      </c>
      <c r="AN46" s="146">
        <v>504540</v>
      </c>
      <c r="AO46" s="146">
        <v>496680</v>
      </c>
      <c r="AP46" s="146">
        <v>502020</v>
      </c>
      <c r="AQ46" s="146">
        <v>511440</v>
      </c>
      <c r="AR46" s="146">
        <v>506100</v>
      </c>
      <c r="AS46" s="146">
        <v>502540</v>
      </c>
      <c r="AT46" s="146">
        <v>506800</v>
      </c>
      <c r="AU46" s="146">
        <v>495040</v>
      </c>
      <c r="AV46" s="146">
        <v>513600</v>
      </c>
      <c r="AW46" s="146">
        <v>504180</v>
      </c>
      <c r="AX46" s="146">
        <v>506220</v>
      </c>
      <c r="AY46" s="146">
        <v>508400</v>
      </c>
      <c r="AZ46" s="146">
        <v>502420</v>
      </c>
      <c r="BA46" s="146">
        <v>501020</v>
      </c>
      <c r="BB46" s="146">
        <v>497940</v>
      </c>
      <c r="BC46" s="146">
        <v>502920</v>
      </c>
      <c r="BD46" s="146"/>
      <c r="BE46" s="146"/>
      <c r="BF46" s="146"/>
      <c r="BG46" s="146"/>
      <c r="BH46" s="146"/>
      <c r="BI46" s="146"/>
      <c r="BJ46" s="146"/>
      <c r="BK46" s="146"/>
      <c r="BL46" s="146"/>
      <c r="BM46" s="146"/>
      <c r="BN46" s="146"/>
      <c r="BO46" s="146"/>
      <c r="BP46" s="146"/>
      <c r="BQ46" s="146"/>
      <c r="BR46" s="146"/>
      <c r="BS46" s="146"/>
      <c r="BT46" s="146"/>
      <c r="BU46" s="146"/>
      <c r="BV46" s="146"/>
      <c r="BW46" s="146"/>
      <c r="BX46" s="146"/>
      <c r="BY46" s="146"/>
      <c r="BZ46" s="145">
        <f t="shared" si="1"/>
        <v>26600960</v>
      </c>
    </row>
    <row r="47" spans="1:78" x14ac:dyDescent="0.35">
      <c r="A47" s="147" t="str">
        <f>'[5]Set Up'!E51</f>
        <v>Plexslick 957, gal</v>
      </c>
      <c r="B47" s="148">
        <f t="shared" si="2"/>
        <v>365.1320754716981</v>
      </c>
      <c r="C47" s="149">
        <v>485</v>
      </c>
      <c r="D47" s="150">
        <v>337</v>
      </c>
      <c r="E47" s="150">
        <v>356</v>
      </c>
      <c r="F47" s="150">
        <v>308</v>
      </c>
      <c r="G47" s="150">
        <v>308</v>
      </c>
      <c r="H47" s="150">
        <v>298</v>
      </c>
      <c r="I47" s="150">
        <v>342</v>
      </c>
      <c r="J47" s="150">
        <v>328</v>
      </c>
      <c r="K47" s="150">
        <v>454</v>
      </c>
      <c r="L47" s="151">
        <v>389</v>
      </c>
      <c r="M47" s="151">
        <v>340</v>
      </c>
      <c r="N47" s="151">
        <v>418</v>
      </c>
      <c r="O47" s="151">
        <v>375</v>
      </c>
      <c r="P47" s="151">
        <v>473</v>
      </c>
      <c r="Q47" s="151">
        <v>449</v>
      </c>
      <c r="R47" s="151">
        <v>453</v>
      </c>
      <c r="S47" s="151">
        <v>383</v>
      </c>
      <c r="T47" s="151">
        <v>427</v>
      </c>
      <c r="U47" s="151">
        <v>454</v>
      </c>
      <c r="V47" s="151">
        <v>390</v>
      </c>
      <c r="W47" s="151">
        <v>401</v>
      </c>
      <c r="X47" s="151">
        <v>423</v>
      </c>
      <c r="Y47" s="151">
        <v>402</v>
      </c>
      <c r="Z47" s="151">
        <v>419</v>
      </c>
      <c r="AA47" s="151">
        <v>403</v>
      </c>
      <c r="AB47" s="151">
        <v>402</v>
      </c>
      <c r="AC47" s="151">
        <v>417</v>
      </c>
      <c r="AD47" s="151">
        <v>418</v>
      </c>
      <c r="AE47" s="151">
        <v>356</v>
      </c>
      <c r="AF47" s="151">
        <v>364</v>
      </c>
      <c r="AG47" s="151">
        <v>378</v>
      </c>
      <c r="AH47" s="151">
        <v>493</v>
      </c>
      <c r="AI47" s="151">
        <v>338</v>
      </c>
      <c r="AJ47" s="151">
        <v>386</v>
      </c>
      <c r="AK47" s="151">
        <v>319</v>
      </c>
      <c r="AL47" s="151">
        <v>377</v>
      </c>
      <c r="AM47" s="151">
        <v>456</v>
      </c>
      <c r="AN47" s="151">
        <v>296</v>
      </c>
      <c r="AO47" s="151">
        <v>308</v>
      </c>
      <c r="AP47" s="151">
        <v>358</v>
      </c>
      <c r="AQ47" s="151">
        <v>417</v>
      </c>
      <c r="AR47" s="151">
        <v>376</v>
      </c>
      <c r="AS47" s="151">
        <v>340</v>
      </c>
      <c r="AT47" s="151">
        <v>322</v>
      </c>
      <c r="AU47" s="151">
        <v>322</v>
      </c>
      <c r="AV47" s="151">
        <v>259</v>
      </c>
      <c r="AW47" s="151">
        <v>285</v>
      </c>
      <c r="AX47" s="151">
        <v>272</v>
      </c>
      <c r="AY47" s="151">
        <v>273</v>
      </c>
      <c r="AZ47" s="151">
        <v>241</v>
      </c>
      <c r="BA47" s="152">
        <v>277</v>
      </c>
      <c r="BB47" s="152">
        <v>241</v>
      </c>
      <c r="BC47" s="152">
        <v>246</v>
      </c>
      <c r="BD47" s="152"/>
      <c r="BE47" s="152"/>
      <c r="BF47" s="152"/>
      <c r="BG47" s="152"/>
      <c r="BH47" s="152"/>
      <c r="BI47" s="152"/>
      <c r="BJ47" s="152"/>
      <c r="BK47" s="152"/>
      <c r="BL47" s="152"/>
      <c r="BM47" s="152"/>
      <c r="BN47" s="152"/>
      <c r="BO47" s="152"/>
      <c r="BP47" s="152"/>
      <c r="BQ47" s="152"/>
      <c r="BR47" s="152"/>
      <c r="BS47" s="152"/>
      <c r="BT47" s="152"/>
      <c r="BU47" s="152"/>
      <c r="BV47" s="152"/>
      <c r="BW47" s="152"/>
      <c r="BX47" s="152"/>
      <c r="BY47" s="152"/>
      <c r="BZ47" s="153">
        <f t="shared" si="1"/>
        <v>19352</v>
      </c>
    </row>
    <row r="48" spans="1:78" x14ac:dyDescent="0.35">
      <c r="A48" s="154" t="str">
        <f>'[5]Set Up'!E52</f>
        <v>Chemplex 4-N-1, gal</v>
      </c>
      <c r="B48" s="155">
        <f t="shared" si="2"/>
        <v>4.132075471698113</v>
      </c>
      <c r="C48" s="156">
        <v>7</v>
      </c>
      <c r="D48" s="157">
        <v>4</v>
      </c>
      <c r="E48" s="157">
        <v>4</v>
      </c>
      <c r="F48" s="157">
        <v>4</v>
      </c>
      <c r="G48" s="157">
        <v>4</v>
      </c>
      <c r="H48" s="157">
        <v>4</v>
      </c>
      <c r="I48" s="157">
        <v>4</v>
      </c>
      <c r="J48" s="157">
        <v>4</v>
      </c>
      <c r="K48" s="157">
        <v>4</v>
      </c>
      <c r="L48" s="107">
        <v>4</v>
      </c>
      <c r="M48" s="107">
        <v>4</v>
      </c>
      <c r="N48" s="107">
        <v>4</v>
      </c>
      <c r="O48" s="107">
        <v>4</v>
      </c>
      <c r="P48" s="107">
        <v>4</v>
      </c>
      <c r="Q48" s="107">
        <v>7</v>
      </c>
      <c r="R48" s="107">
        <v>7</v>
      </c>
      <c r="S48" s="107">
        <v>3</v>
      </c>
      <c r="T48" s="107">
        <v>4</v>
      </c>
      <c r="U48" s="107">
        <v>4</v>
      </c>
      <c r="V48" s="107">
        <v>4</v>
      </c>
      <c r="W48" s="107">
        <v>4</v>
      </c>
      <c r="X48" s="107">
        <v>4</v>
      </c>
      <c r="Y48" s="107">
        <v>4</v>
      </c>
      <c r="Z48" s="107">
        <v>4</v>
      </c>
      <c r="AA48" s="107">
        <v>4</v>
      </c>
      <c r="AB48" s="107">
        <v>4</v>
      </c>
      <c r="AC48" s="107">
        <v>4</v>
      </c>
      <c r="AD48" s="107">
        <v>4</v>
      </c>
      <c r="AE48" s="107">
        <v>4</v>
      </c>
      <c r="AF48" s="107">
        <v>4</v>
      </c>
      <c r="AG48" s="107">
        <v>4</v>
      </c>
      <c r="AH48" s="107">
        <v>4</v>
      </c>
      <c r="AI48" s="107">
        <v>4</v>
      </c>
      <c r="AJ48" s="107">
        <v>4</v>
      </c>
      <c r="AK48" s="107">
        <v>4</v>
      </c>
      <c r="AL48" s="107">
        <v>4</v>
      </c>
      <c r="AM48" s="107">
        <v>4</v>
      </c>
      <c r="AN48" s="107">
        <v>4</v>
      </c>
      <c r="AO48" s="107">
        <v>4</v>
      </c>
      <c r="AP48" s="107">
        <v>3</v>
      </c>
      <c r="AQ48" s="107">
        <v>4</v>
      </c>
      <c r="AR48" s="107">
        <v>4</v>
      </c>
      <c r="AS48" s="107">
        <v>4</v>
      </c>
      <c r="AT48" s="107">
        <v>4</v>
      </c>
      <c r="AU48" s="107">
        <v>4</v>
      </c>
      <c r="AV48" s="107">
        <v>4</v>
      </c>
      <c r="AW48" s="107">
        <v>4</v>
      </c>
      <c r="AX48" s="107">
        <v>4</v>
      </c>
      <c r="AY48" s="107">
        <v>4</v>
      </c>
      <c r="AZ48" s="107">
        <v>4</v>
      </c>
      <c r="BA48" s="106">
        <v>4</v>
      </c>
      <c r="BB48" s="106">
        <v>4</v>
      </c>
      <c r="BC48" s="106">
        <v>4</v>
      </c>
      <c r="BD48" s="106"/>
      <c r="BE48" s="106"/>
      <c r="BF48" s="106"/>
      <c r="BG48" s="106"/>
      <c r="BH48" s="106"/>
      <c r="BI48" s="106"/>
      <c r="BJ48" s="106"/>
      <c r="BK48" s="106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58">
        <f t="shared" si="1"/>
        <v>219</v>
      </c>
    </row>
    <row r="49" spans="1:78" x14ac:dyDescent="0.35">
      <c r="A49" s="147" t="str">
        <f>'[5]Set Up'!E53</f>
        <v>Payzone 845, gal</v>
      </c>
      <c r="B49" s="148">
        <f t="shared" si="2"/>
        <v>92.301886792452834</v>
      </c>
      <c r="C49" s="159">
        <v>97</v>
      </c>
      <c r="D49" s="160">
        <v>92</v>
      </c>
      <c r="E49" s="160">
        <v>90</v>
      </c>
      <c r="F49" s="160">
        <v>90</v>
      </c>
      <c r="G49" s="160">
        <v>92</v>
      </c>
      <c r="H49" s="160">
        <v>92</v>
      </c>
      <c r="I49" s="160">
        <v>92</v>
      </c>
      <c r="J49" s="160">
        <v>92</v>
      </c>
      <c r="K49" s="160">
        <v>92</v>
      </c>
      <c r="L49" s="161">
        <v>92</v>
      </c>
      <c r="M49" s="161">
        <v>93</v>
      </c>
      <c r="N49" s="161">
        <v>92</v>
      </c>
      <c r="O49" s="161">
        <v>100</v>
      </c>
      <c r="P49" s="161">
        <v>91</v>
      </c>
      <c r="Q49" s="161">
        <v>92</v>
      </c>
      <c r="R49" s="161">
        <v>92</v>
      </c>
      <c r="S49" s="161">
        <v>92</v>
      </c>
      <c r="T49" s="161">
        <v>92</v>
      </c>
      <c r="U49" s="161">
        <v>92</v>
      </c>
      <c r="V49" s="161">
        <v>95</v>
      </c>
      <c r="W49" s="161">
        <v>94</v>
      </c>
      <c r="X49" s="161">
        <v>92</v>
      </c>
      <c r="Y49" s="161">
        <v>92</v>
      </c>
      <c r="Z49" s="161">
        <v>90</v>
      </c>
      <c r="AA49" s="161">
        <v>89</v>
      </c>
      <c r="AB49" s="161">
        <v>90</v>
      </c>
      <c r="AC49" s="161">
        <v>90</v>
      </c>
      <c r="AD49" s="161">
        <v>93</v>
      </c>
      <c r="AE49" s="161">
        <v>100</v>
      </c>
      <c r="AF49" s="161">
        <v>90</v>
      </c>
      <c r="AG49" s="161">
        <v>92</v>
      </c>
      <c r="AH49" s="161">
        <v>114</v>
      </c>
      <c r="AI49" s="161">
        <v>91</v>
      </c>
      <c r="AJ49" s="161">
        <v>94</v>
      </c>
      <c r="AK49" s="161">
        <v>91</v>
      </c>
      <c r="AL49" s="161">
        <v>90</v>
      </c>
      <c r="AM49" s="161">
        <v>95</v>
      </c>
      <c r="AN49" s="161">
        <v>89</v>
      </c>
      <c r="AO49" s="161">
        <v>90</v>
      </c>
      <c r="AP49" s="161">
        <v>90</v>
      </c>
      <c r="AQ49" s="161">
        <v>92</v>
      </c>
      <c r="AR49" s="161">
        <v>92</v>
      </c>
      <c r="AS49" s="161">
        <v>96</v>
      </c>
      <c r="AT49" s="161">
        <v>94</v>
      </c>
      <c r="AU49" s="161">
        <v>92</v>
      </c>
      <c r="AV49" s="161">
        <v>92</v>
      </c>
      <c r="AW49" s="161">
        <v>90</v>
      </c>
      <c r="AX49" s="161">
        <v>91</v>
      </c>
      <c r="AY49" s="161">
        <v>89</v>
      </c>
      <c r="AZ49" s="161">
        <v>89</v>
      </c>
      <c r="BA49" s="162">
        <v>90</v>
      </c>
      <c r="BB49" s="162">
        <v>90</v>
      </c>
      <c r="BC49" s="162">
        <v>87</v>
      </c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3">
        <f t="shared" si="1"/>
        <v>4892</v>
      </c>
    </row>
    <row r="50" spans="1:78" x14ac:dyDescent="0.35">
      <c r="A50" s="154" t="str">
        <f>'[5]Set Up'!E54</f>
        <v>Payzone 850, gal</v>
      </c>
      <c r="B50" s="155">
        <f t="shared" si="2"/>
        <v>34.471698113207545</v>
      </c>
      <c r="C50" s="156">
        <v>36</v>
      </c>
      <c r="D50" s="157">
        <v>34</v>
      </c>
      <c r="E50" s="157">
        <v>34</v>
      </c>
      <c r="F50" s="157">
        <v>34</v>
      </c>
      <c r="G50" s="157">
        <v>35</v>
      </c>
      <c r="H50" s="157">
        <v>34</v>
      </c>
      <c r="I50" s="157">
        <v>34</v>
      </c>
      <c r="J50" s="157">
        <v>34</v>
      </c>
      <c r="K50" s="157">
        <v>34</v>
      </c>
      <c r="L50" s="157">
        <v>34</v>
      </c>
      <c r="M50" s="157">
        <v>35</v>
      </c>
      <c r="N50" s="157">
        <v>35</v>
      </c>
      <c r="O50" s="157">
        <v>37</v>
      </c>
      <c r="P50" s="157">
        <v>34</v>
      </c>
      <c r="Q50" s="157">
        <v>34</v>
      </c>
      <c r="R50" s="157">
        <v>34</v>
      </c>
      <c r="S50" s="157">
        <v>34</v>
      </c>
      <c r="T50" s="107">
        <v>34</v>
      </c>
      <c r="U50" s="107">
        <v>34</v>
      </c>
      <c r="V50" s="107">
        <v>35</v>
      </c>
      <c r="W50" s="107">
        <v>35</v>
      </c>
      <c r="X50" s="107">
        <v>34</v>
      </c>
      <c r="Y50" s="107">
        <v>34</v>
      </c>
      <c r="Z50" s="107">
        <v>34</v>
      </c>
      <c r="AA50" s="107">
        <v>34</v>
      </c>
      <c r="AB50" s="107">
        <v>34</v>
      </c>
      <c r="AC50" s="107">
        <v>34</v>
      </c>
      <c r="AD50" s="107">
        <v>35</v>
      </c>
      <c r="AE50" s="107">
        <v>37</v>
      </c>
      <c r="AF50" s="107">
        <v>34</v>
      </c>
      <c r="AG50" s="107">
        <v>34</v>
      </c>
      <c r="AH50" s="107">
        <v>43</v>
      </c>
      <c r="AI50" s="107">
        <v>34</v>
      </c>
      <c r="AJ50" s="107">
        <v>35</v>
      </c>
      <c r="AK50" s="107">
        <v>34</v>
      </c>
      <c r="AL50" s="107">
        <v>34</v>
      </c>
      <c r="AM50" s="107">
        <v>36</v>
      </c>
      <c r="AN50" s="107">
        <v>33</v>
      </c>
      <c r="AO50" s="107">
        <v>34</v>
      </c>
      <c r="AP50" s="107">
        <v>34</v>
      </c>
      <c r="AQ50" s="107">
        <v>34</v>
      </c>
      <c r="AR50" s="107">
        <v>34</v>
      </c>
      <c r="AS50" s="107">
        <v>36</v>
      </c>
      <c r="AT50" s="107">
        <v>35</v>
      </c>
      <c r="AU50" s="107">
        <v>34</v>
      </c>
      <c r="AV50" s="107">
        <v>34</v>
      </c>
      <c r="AW50" s="107">
        <v>34</v>
      </c>
      <c r="AX50" s="107">
        <v>34</v>
      </c>
      <c r="AY50" s="107">
        <v>33</v>
      </c>
      <c r="AZ50" s="107">
        <v>33</v>
      </c>
      <c r="BA50" s="106">
        <v>34</v>
      </c>
      <c r="BB50" s="106">
        <v>34</v>
      </c>
      <c r="BC50" s="106">
        <v>33</v>
      </c>
      <c r="BD50" s="106"/>
      <c r="BE50" s="106"/>
      <c r="BF50" s="106"/>
      <c r="BG50" s="106"/>
      <c r="BH50" s="106"/>
      <c r="BI50" s="106"/>
      <c r="BJ50" s="106"/>
      <c r="BK50" s="106"/>
      <c r="BL50" s="106"/>
      <c r="BM50" s="106"/>
      <c r="BN50" s="106"/>
      <c r="BO50" s="106"/>
      <c r="BP50" s="106"/>
      <c r="BQ50" s="106"/>
      <c r="BR50" s="106"/>
      <c r="BS50" s="106"/>
      <c r="BT50" s="106"/>
      <c r="BU50" s="106"/>
      <c r="BV50" s="106"/>
      <c r="BW50" s="106"/>
      <c r="BX50" s="106"/>
      <c r="BY50" s="106"/>
      <c r="BZ50" s="158">
        <f t="shared" si="1"/>
        <v>1827</v>
      </c>
    </row>
    <row r="51" spans="1:78" x14ac:dyDescent="0.35">
      <c r="A51" s="147" t="str">
        <f>'[5]Set Up'!E55</f>
        <v>Payzone 217, gal</v>
      </c>
      <c r="B51" s="148">
        <f t="shared" si="2"/>
        <v>92.301886792452834</v>
      </c>
      <c r="C51" s="159">
        <v>97</v>
      </c>
      <c r="D51" s="160">
        <v>92</v>
      </c>
      <c r="E51" s="160">
        <v>90</v>
      </c>
      <c r="F51" s="160">
        <v>90</v>
      </c>
      <c r="G51" s="160">
        <v>92</v>
      </c>
      <c r="H51" s="160">
        <v>92</v>
      </c>
      <c r="I51" s="160">
        <v>92</v>
      </c>
      <c r="J51" s="160">
        <v>92</v>
      </c>
      <c r="K51" s="160">
        <v>92</v>
      </c>
      <c r="L51" s="161">
        <v>92</v>
      </c>
      <c r="M51" s="161">
        <v>93</v>
      </c>
      <c r="N51" s="161">
        <v>92</v>
      </c>
      <c r="O51" s="161">
        <v>100</v>
      </c>
      <c r="P51" s="161">
        <v>91</v>
      </c>
      <c r="Q51" s="161">
        <v>92</v>
      </c>
      <c r="R51" s="161">
        <v>92</v>
      </c>
      <c r="S51" s="161">
        <v>92</v>
      </c>
      <c r="T51" s="161">
        <v>92</v>
      </c>
      <c r="U51" s="161">
        <v>92</v>
      </c>
      <c r="V51" s="161">
        <v>95</v>
      </c>
      <c r="W51" s="161">
        <v>94</v>
      </c>
      <c r="X51" s="161">
        <v>92</v>
      </c>
      <c r="Y51" s="161">
        <v>92</v>
      </c>
      <c r="Z51" s="161">
        <v>90</v>
      </c>
      <c r="AA51" s="161">
        <v>89</v>
      </c>
      <c r="AB51" s="161">
        <v>90</v>
      </c>
      <c r="AC51" s="161">
        <v>90</v>
      </c>
      <c r="AD51" s="161">
        <v>93</v>
      </c>
      <c r="AE51" s="161">
        <v>100</v>
      </c>
      <c r="AF51" s="161">
        <v>90</v>
      </c>
      <c r="AG51" s="161">
        <v>92</v>
      </c>
      <c r="AH51" s="161">
        <v>114</v>
      </c>
      <c r="AI51" s="161">
        <v>91</v>
      </c>
      <c r="AJ51" s="161">
        <v>94</v>
      </c>
      <c r="AK51" s="161">
        <v>91</v>
      </c>
      <c r="AL51" s="161">
        <v>90</v>
      </c>
      <c r="AM51" s="161">
        <v>95</v>
      </c>
      <c r="AN51" s="161">
        <v>89</v>
      </c>
      <c r="AO51" s="161">
        <v>90</v>
      </c>
      <c r="AP51" s="161">
        <v>90</v>
      </c>
      <c r="AQ51" s="161">
        <v>92</v>
      </c>
      <c r="AR51" s="161">
        <v>92</v>
      </c>
      <c r="AS51" s="161">
        <v>96</v>
      </c>
      <c r="AT51" s="161">
        <v>94</v>
      </c>
      <c r="AU51" s="161">
        <v>92</v>
      </c>
      <c r="AV51" s="161">
        <v>92</v>
      </c>
      <c r="AW51" s="161">
        <v>90</v>
      </c>
      <c r="AX51" s="161">
        <v>91</v>
      </c>
      <c r="AY51" s="161">
        <v>89</v>
      </c>
      <c r="AZ51" s="161">
        <v>89</v>
      </c>
      <c r="BA51" s="162">
        <v>90</v>
      </c>
      <c r="BB51" s="162">
        <v>90</v>
      </c>
      <c r="BC51" s="162">
        <v>87</v>
      </c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3">
        <f t="shared" si="1"/>
        <v>4892</v>
      </c>
    </row>
    <row r="52" spans="1:78" x14ac:dyDescent="0.35">
      <c r="A52" s="154" t="str">
        <f>'[5]Set Up'!E56</f>
        <v>Stim741 Gel, gal</v>
      </c>
      <c r="B52" s="155">
        <f t="shared" si="2"/>
        <v>11.60377358490566</v>
      </c>
      <c r="C52" s="156">
        <v>20</v>
      </c>
      <c r="D52" s="157">
        <v>20</v>
      </c>
      <c r="E52" s="157">
        <v>20</v>
      </c>
      <c r="F52" s="157">
        <v>20</v>
      </c>
      <c r="G52" s="157">
        <v>10</v>
      </c>
      <c r="H52" s="157">
        <v>10</v>
      </c>
      <c r="I52" s="157">
        <v>10</v>
      </c>
      <c r="J52" s="157">
        <v>10</v>
      </c>
      <c r="K52" s="157">
        <v>10</v>
      </c>
      <c r="L52" s="107">
        <v>10</v>
      </c>
      <c r="M52" s="107">
        <v>10</v>
      </c>
      <c r="N52" s="107">
        <v>10</v>
      </c>
      <c r="O52" s="107">
        <v>30</v>
      </c>
      <c r="P52" s="107">
        <v>10</v>
      </c>
      <c r="Q52" s="107">
        <v>10</v>
      </c>
      <c r="R52" s="107">
        <v>10</v>
      </c>
      <c r="S52" s="107">
        <v>10</v>
      </c>
      <c r="T52" s="107">
        <v>10</v>
      </c>
      <c r="U52" s="107">
        <v>10</v>
      </c>
      <c r="V52" s="107">
        <v>10</v>
      </c>
      <c r="W52" s="107">
        <v>10</v>
      </c>
      <c r="X52" s="107">
        <v>10</v>
      </c>
      <c r="Y52" s="107">
        <v>10</v>
      </c>
      <c r="Z52" s="107">
        <v>10</v>
      </c>
      <c r="AA52" s="107">
        <v>10</v>
      </c>
      <c r="AB52" s="107">
        <v>10</v>
      </c>
      <c r="AC52" s="107">
        <v>10</v>
      </c>
      <c r="AD52" s="107">
        <v>10</v>
      </c>
      <c r="AE52" s="107">
        <v>20</v>
      </c>
      <c r="AF52" s="107">
        <v>10</v>
      </c>
      <c r="AG52" s="107">
        <v>10</v>
      </c>
      <c r="AH52" s="107">
        <v>25</v>
      </c>
      <c r="AI52" s="107">
        <v>10</v>
      </c>
      <c r="AJ52" s="107">
        <v>20</v>
      </c>
      <c r="AK52" s="107">
        <v>10</v>
      </c>
      <c r="AL52" s="107">
        <v>10</v>
      </c>
      <c r="AM52" s="107">
        <v>10</v>
      </c>
      <c r="AN52" s="107">
        <v>10</v>
      </c>
      <c r="AO52" s="107">
        <v>10</v>
      </c>
      <c r="AP52" s="107">
        <v>10</v>
      </c>
      <c r="AQ52" s="107">
        <v>10</v>
      </c>
      <c r="AR52" s="107">
        <v>10</v>
      </c>
      <c r="AS52" s="107">
        <v>10</v>
      </c>
      <c r="AT52" s="107">
        <v>10</v>
      </c>
      <c r="AU52" s="107">
        <v>10</v>
      </c>
      <c r="AV52" s="107">
        <v>10</v>
      </c>
      <c r="AW52" s="107">
        <v>10</v>
      </c>
      <c r="AX52" s="107">
        <v>10</v>
      </c>
      <c r="AY52" s="107">
        <v>10</v>
      </c>
      <c r="AZ52" s="107">
        <v>10</v>
      </c>
      <c r="BA52" s="106">
        <v>10</v>
      </c>
      <c r="BB52" s="106">
        <v>10</v>
      </c>
      <c r="BC52" s="106">
        <v>0</v>
      </c>
      <c r="BD52" s="106"/>
      <c r="BE52" s="106"/>
      <c r="BF52" s="106"/>
      <c r="BG52" s="106"/>
      <c r="BH52" s="106"/>
      <c r="BI52" s="106"/>
      <c r="BJ52" s="106"/>
      <c r="BK52" s="106"/>
      <c r="BL52" s="106"/>
      <c r="BM52" s="106"/>
      <c r="BN52" s="106"/>
      <c r="BO52" s="106"/>
      <c r="BP52" s="106"/>
      <c r="BQ52" s="106"/>
      <c r="BR52" s="106"/>
      <c r="BS52" s="106"/>
      <c r="BT52" s="106"/>
      <c r="BU52" s="106"/>
      <c r="BV52" s="106"/>
      <c r="BW52" s="106"/>
      <c r="BX52" s="106"/>
      <c r="BY52" s="106"/>
      <c r="BZ52" s="158">
        <f t="shared" si="1"/>
        <v>615</v>
      </c>
    </row>
    <row r="53" spans="1:78" x14ac:dyDescent="0.35">
      <c r="A53" s="147">
        <f>'[5]Set Up'!E57</f>
        <v>0</v>
      </c>
      <c r="B53" s="148" t="str">
        <f t="shared" si="2"/>
        <v/>
      </c>
      <c r="C53" s="159"/>
      <c r="D53" s="160"/>
      <c r="E53" s="160"/>
      <c r="F53" s="160"/>
      <c r="G53" s="160"/>
      <c r="H53" s="160"/>
      <c r="I53" s="160"/>
      <c r="J53" s="160"/>
      <c r="K53" s="160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  <c r="AF53" s="161"/>
      <c r="AG53" s="161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1"/>
      <c r="AS53" s="161"/>
      <c r="AT53" s="161"/>
      <c r="AU53" s="161"/>
      <c r="AV53" s="161"/>
      <c r="AW53" s="161"/>
      <c r="AX53" s="161"/>
      <c r="AY53" s="161"/>
      <c r="AZ53" s="161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3">
        <f t="shared" si="1"/>
        <v>0</v>
      </c>
    </row>
    <row r="54" spans="1:78" x14ac:dyDescent="0.35">
      <c r="A54" s="154">
        <f>'[5]Set Up'!E58</f>
        <v>0</v>
      </c>
      <c r="B54" s="155" t="str">
        <f t="shared" si="2"/>
        <v/>
      </c>
      <c r="C54" s="156"/>
      <c r="D54" s="157"/>
      <c r="E54" s="157"/>
      <c r="F54" s="157"/>
      <c r="G54" s="157"/>
      <c r="H54" s="157"/>
      <c r="I54" s="157"/>
      <c r="J54" s="157"/>
      <c r="K54" s="15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6"/>
      <c r="BB54" s="106"/>
      <c r="BC54" s="106"/>
      <c r="BD54" s="106"/>
      <c r="BE54" s="106"/>
      <c r="BF54" s="106"/>
      <c r="BG54" s="106"/>
      <c r="BH54" s="106"/>
      <c r="BI54" s="106"/>
      <c r="BJ54" s="106"/>
      <c r="BK54" s="106"/>
      <c r="BL54" s="106"/>
      <c r="BM54" s="106"/>
      <c r="BN54" s="106"/>
      <c r="BO54" s="106"/>
      <c r="BP54" s="106"/>
      <c r="BQ54" s="106"/>
      <c r="BR54" s="106"/>
      <c r="BS54" s="106"/>
      <c r="BT54" s="106"/>
      <c r="BU54" s="106"/>
      <c r="BV54" s="106"/>
      <c r="BW54" s="106"/>
      <c r="BX54" s="106"/>
      <c r="BY54" s="106"/>
      <c r="BZ54" s="158">
        <f t="shared" si="1"/>
        <v>0</v>
      </c>
    </row>
    <row r="55" spans="1:78" x14ac:dyDescent="0.35">
      <c r="A55" s="147">
        <f>'[5]Set Up'!E59</f>
        <v>0</v>
      </c>
      <c r="B55" s="148" t="str">
        <f t="shared" si="2"/>
        <v/>
      </c>
      <c r="C55" s="159"/>
      <c r="D55" s="160"/>
      <c r="E55" s="160"/>
      <c r="F55" s="160"/>
      <c r="G55" s="160"/>
      <c r="H55" s="160"/>
      <c r="I55" s="160"/>
      <c r="J55" s="160"/>
      <c r="K55" s="160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1"/>
      <c r="AU55" s="161"/>
      <c r="AV55" s="161"/>
      <c r="AW55" s="161"/>
      <c r="AX55" s="161"/>
      <c r="AY55" s="161"/>
      <c r="AZ55" s="161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3">
        <f t="shared" si="1"/>
        <v>0</v>
      </c>
    </row>
    <row r="56" spans="1:78" x14ac:dyDescent="0.35">
      <c r="A56" s="154">
        <f>'[5]Set Up'!E60</f>
        <v>0</v>
      </c>
      <c r="B56" s="155" t="str">
        <f t="shared" si="2"/>
        <v/>
      </c>
      <c r="C56" s="156"/>
      <c r="D56" s="157"/>
      <c r="E56" s="157"/>
      <c r="F56" s="157"/>
      <c r="G56" s="157"/>
      <c r="H56" s="157"/>
      <c r="I56" s="157"/>
      <c r="J56" s="157"/>
      <c r="K56" s="15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6"/>
      <c r="BB56" s="106"/>
      <c r="BC56" s="106"/>
      <c r="BD56" s="106"/>
      <c r="BE56" s="106"/>
      <c r="BF56" s="106"/>
      <c r="BG56" s="106"/>
      <c r="BH56" s="106"/>
      <c r="BI56" s="106"/>
      <c r="BJ56" s="106"/>
      <c r="BK56" s="106"/>
      <c r="BL56" s="106"/>
      <c r="BM56" s="106"/>
      <c r="BN56" s="106"/>
      <c r="BO56" s="106"/>
      <c r="BP56" s="106"/>
      <c r="BQ56" s="106"/>
      <c r="BR56" s="106"/>
      <c r="BS56" s="106"/>
      <c r="BT56" s="106"/>
      <c r="BU56" s="106"/>
      <c r="BV56" s="106"/>
      <c r="BW56" s="106"/>
      <c r="BX56" s="106"/>
      <c r="BY56" s="106"/>
      <c r="BZ56" s="158">
        <f t="shared" si="1"/>
        <v>0</v>
      </c>
    </row>
    <row r="57" spans="1:78" x14ac:dyDescent="0.35">
      <c r="A57" s="164">
        <f>'[5]Set Up'!E61</f>
        <v>0</v>
      </c>
      <c r="B57" s="165" t="str">
        <f t="shared" si="2"/>
        <v/>
      </c>
      <c r="C57" s="159"/>
      <c r="D57" s="160"/>
      <c r="E57" s="160"/>
      <c r="F57" s="160"/>
      <c r="G57" s="160"/>
      <c r="H57" s="160"/>
      <c r="I57" s="160"/>
      <c r="J57" s="160"/>
      <c r="K57" s="160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3">
        <f t="shared" si="1"/>
        <v>0</v>
      </c>
    </row>
    <row r="58" spans="1:78" x14ac:dyDescent="0.35">
      <c r="A58" s="166" t="str">
        <f>'[5]Set Up'!E62</f>
        <v>15% HCl Acid, gal</v>
      </c>
      <c r="B58" s="167">
        <f t="shared" si="2"/>
        <v>651.7358490566038</v>
      </c>
      <c r="C58" s="156">
        <v>1206</v>
      </c>
      <c r="D58" s="157">
        <v>715</v>
      </c>
      <c r="E58" s="157">
        <v>681</v>
      </c>
      <c r="F58" s="157">
        <v>599</v>
      </c>
      <c r="G58" s="157">
        <v>652</v>
      </c>
      <c r="H58" s="157">
        <v>554</v>
      </c>
      <c r="I58" s="157">
        <v>575</v>
      </c>
      <c r="J58" s="157">
        <v>596</v>
      </c>
      <c r="K58" s="157">
        <v>609</v>
      </c>
      <c r="L58" s="107">
        <v>588</v>
      </c>
      <c r="M58" s="107">
        <v>633</v>
      </c>
      <c r="N58" s="107">
        <v>636</v>
      </c>
      <c r="O58" s="107">
        <v>633</v>
      </c>
      <c r="P58" s="107">
        <v>628</v>
      </c>
      <c r="Q58" s="107">
        <v>1224</v>
      </c>
      <c r="R58" s="107">
        <v>1161</v>
      </c>
      <c r="S58" s="107">
        <v>546</v>
      </c>
      <c r="T58" s="107">
        <v>600</v>
      </c>
      <c r="U58" s="107">
        <v>599</v>
      </c>
      <c r="V58" s="107">
        <v>625</v>
      </c>
      <c r="W58" s="107">
        <v>631</v>
      </c>
      <c r="X58" s="107">
        <v>633</v>
      </c>
      <c r="Y58" s="107">
        <v>633</v>
      </c>
      <c r="Z58" s="107">
        <v>631</v>
      </c>
      <c r="AA58" s="107">
        <v>625</v>
      </c>
      <c r="AB58" s="107">
        <v>596</v>
      </c>
      <c r="AC58" s="107">
        <v>575</v>
      </c>
      <c r="AD58" s="107">
        <v>686</v>
      </c>
      <c r="AE58" s="107">
        <v>644</v>
      </c>
      <c r="AF58" s="107">
        <v>625</v>
      </c>
      <c r="AG58" s="107">
        <v>625</v>
      </c>
      <c r="AH58" s="107">
        <v>633</v>
      </c>
      <c r="AI58" s="107">
        <v>633</v>
      </c>
      <c r="AJ58" s="107">
        <v>633</v>
      </c>
      <c r="AK58" s="107">
        <v>625</v>
      </c>
      <c r="AL58" s="107">
        <v>604</v>
      </c>
      <c r="AM58" s="107">
        <v>586</v>
      </c>
      <c r="AN58" s="107">
        <v>565</v>
      </c>
      <c r="AO58" s="107">
        <v>596</v>
      </c>
      <c r="AP58" s="107">
        <v>575</v>
      </c>
      <c r="AQ58" s="107">
        <v>686</v>
      </c>
      <c r="AR58" s="107">
        <v>644</v>
      </c>
      <c r="AS58" s="107">
        <v>586</v>
      </c>
      <c r="AT58" s="107">
        <v>609</v>
      </c>
      <c r="AU58" s="107">
        <v>609</v>
      </c>
      <c r="AV58" s="107">
        <v>620</v>
      </c>
      <c r="AW58" s="107">
        <v>631</v>
      </c>
      <c r="AX58" s="107">
        <v>633</v>
      </c>
      <c r="AY58" s="107">
        <v>636</v>
      </c>
      <c r="AZ58" s="107">
        <v>633</v>
      </c>
      <c r="BA58" s="107">
        <v>628</v>
      </c>
      <c r="BB58" s="107">
        <v>617</v>
      </c>
      <c r="BC58" s="107">
        <v>596</v>
      </c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90">
        <f t="shared" si="1"/>
        <v>34542</v>
      </c>
    </row>
  </sheetData>
  <mergeCells count="17">
    <mergeCell ref="A1:D1"/>
    <mergeCell ref="E1:K1"/>
    <mergeCell ref="L1:V6"/>
    <mergeCell ref="B2:D2"/>
    <mergeCell ref="F2:G2"/>
    <mergeCell ref="B3:D3"/>
    <mergeCell ref="F3:G3"/>
    <mergeCell ref="B4:D4"/>
    <mergeCell ref="F4:G4"/>
    <mergeCell ref="B5:D5"/>
    <mergeCell ref="C16:I16"/>
    <mergeCell ref="F5:G5"/>
    <mergeCell ref="B6:E6"/>
    <mergeCell ref="F6:H6"/>
    <mergeCell ref="I6:K6"/>
    <mergeCell ref="B8:B12"/>
    <mergeCell ref="B13:B1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Z58"/>
  <sheetViews>
    <sheetView topLeftCell="A16" workbookViewId="0">
      <selection sqref="A1:XFD1048576"/>
    </sheetView>
  </sheetViews>
  <sheetFormatPr defaultRowHeight="14.5" x14ac:dyDescent="0.35"/>
  <cols>
    <col min="1" max="1" width="21.1796875" bestFit="1" customWidth="1"/>
    <col min="2" max="2" width="17.81640625" bestFit="1" customWidth="1"/>
    <col min="3" max="4" width="8.81640625" bestFit="1" customWidth="1"/>
    <col min="5" max="5" width="9.54296875" bestFit="1" customWidth="1"/>
    <col min="6" max="6" width="8.81640625" bestFit="1" customWidth="1"/>
    <col min="7" max="7" width="7.453125" bestFit="1" customWidth="1"/>
    <col min="8" max="8" width="8.81640625" bestFit="1" customWidth="1"/>
    <col min="9" max="9" width="7.453125" bestFit="1" customWidth="1"/>
    <col min="10" max="10" width="8" bestFit="1" customWidth="1"/>
    <col min="11" max="36" width="7.453125" bestFit="1" customWidth="1"/>
    <col min="37" max="77" width="3.1796875" bestFit="1" customWidth="1"/>
    <col min="78" max="78" width="9.81640625" bestFit="1" customWidth="1"/>
  </cols>
  <sheetData>
    <row r="1" spans="1:78" ht="24" thickTop="1" x14ac:dyDescent="0.35">
      <c r="A1" s="198"/>
      <c r="B1" s="199"/>
      <c r="C1" s="199"/>
      <c r="D1" s="199"/>
      <c r="E1" s="200" t="s">
        <v>0</v>
      </c>
      <c r="F1" s="199"/>
      <c r="G1" s="199"/>
      <c r="H1" s="199"/>
      <c r="I1" s="199"/>
      <c r="J1" s="199"/>
      <c r="K1" s="201"/>
      <c r="L1" s="202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69"/>
    </row>
    <row r="2" spans="1:78" x14ac:dyDescent="0.35">
      <c r="A2" s="3" t="s">
        <v>1</v>
      </c>
      <c r="B2" s="188" t="str">
        <f>'[6]Set Up'!E5</f>
        <v>Anadarko Petroleum Corporation</v>
      </c>
      <c r="C2" s="207"/>
      <c r="D2" s="208"/>
      <c r="E2" s="4" t="s">
        <v>2</v>
      </c>
      <c r="F2" s="209" t="str">
        <f>'[6]Set Up'!E9</f>
        <v>Upper Delta Target</v>
      </c>
      <c r="G2" s="210"/>
      <c r="H2" s="5">
        <f>'[6]Set Up'!K15</f>
        <v>12533</v>
      </c>
      <c r="I2" s="6" t="str">
        <f>'[6]Set Up'!E15</f>
        <v>5-1/2"</v>
      </c>
      <c r="J2" s="7">
        <f>'[6]Set Up'!F15</f>
        <v>23</v>
      </c>
      <c r="K2" s="6" t="str">
        <f>'[6]Set Up'!H15</f>
        <v>P-110</v>
      </c>
      <c r="L2" s="204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70"/>
    </row>
    <row r="3" spans="1:78" x14ac:dyDescent="0.35">
      <c r="A3" s="3" t="s">
        <v>3</v>
      </c>
      <c r="B3" s="188" t="str">
        <f>'[6]Set Up'!E7</f>
        <v>Silvertip 76-7 Unit A 6H</v>
      </c>
      <c r="C3" s="207"/>
      <c r="D3" s="208"/>
      <c r="E3" s="4" t="s">
        <v>4</v>
      </c>
      <c r="F3" s="209" t="str">
        <f>'[6]Set Up'!J7</f>
        <v>2136272.CMP</v>
      </c>
      <c r="G3" s="210"/>
      <c r="H3" s="5">
        <f>'[6]Set Up'!K16</f>
        <v>10955</v>
      </c>
      <c r="I3" s="6" t="str">
        <f>'[6]Set Up'!E16</f>
        <v>4-1/2"</v>
      </c>
      <c r="J3" s="7">
        <f>'[6]Set Up'!F16</f>
        <v>13.5</v>
      </c>
      <c r="K3" s="6" t="str">
        <f>'[6]Set Up'!H16</f>
        <v>P-110</v>
      </c>
      <c r="L3" s="204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70"/>
    </row>
    <row r="4" spans="1:78" x14ac:dyDescent="0.35">
      <c r="A4" s="3" t="s">
        <v>5</v>
      </c>
      <c r="B4" s="188" t="str">
        <f>'[6]Set Up'!E6</f>
        <v>Allie Lay</v>
      </c>
      <c r="C4" s="207"/>
      <c r="D4" s="208"/>
      <c r="E4" s="4" t="s">
        <v>6</v>
      </c>
      <c r="F4" s="211">
        <f>'[6]Set Up'!R2</f>
        <v>12500</v>
      </c>
      <c r="G4" s="212"/>
      <c r="H4" s="5" t="str">
        <f>'[6]Set Up'!K17</f>
        <v/>
      </c>
      <c r="I4" s="6" t="str">
        <f>'[6]Set Up'!E17</f>
        <v/>
      </c>
      <c r="J4" s="7" t="str">
        <f>'[6]Set Up'!F17</f>
        <v/>
      </c>
      <c r="K4" s="6" t="str">
        <f>'[6]Set Up'!H17</f>
        <v/>
      </c>
      <c r="L4" s="204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69"/>
    </row>
    <row r="5" spans="1:78" x14ac:dyDescent="0.35">
      <c r="A5" s="3" t="s">
        <v>7</v>
      </c>
      <c r="B5" s="188" t="str">
        <f>'[6]Set Up'!E8</f>
        <v>Loving County, TX</v>
      </c>
      <c r="C5" s="207"/>
      <c r="D5" s="208"/>
      <c r="E5" s="10" t="s">
        <v>8</v>
      </c>
      <c r="F5" s="186" t="str">
        <f>'[6]Set Up'!R11</f>
        <v>34-Stage SW Plug &amp; Perf</v>
      </c>
      <c r="G5" s="187"/>
      <c r="H5" s="5" t="str">
        <f>'[6]Set Up'!K18</f>
        <v/>
      </c>
      <c r="I5" s="6" t="str">
        <f>'[6]Set Up'!E18</f>
        <v/>
      </c>
      <c r="J5" s="7" t="str">
        <f>'[6]Set Up'!F18</f>
        <v/>
      </c>
      <c r="K5" s="6" t="str">
        <f>'[6]Set Up'!H18</f>
        <v/>
      </c>
      <c r="L5" s="204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70"/>
    </row>
    <row r="6" spans="1:78" x14ac:dyDescent="0.35">
      <c r="A6" s="3" t="s">
        <v>9</v>
      </c>
      <c r="B6" s="188" t="str">
        <f>'[6]Set Up'!E10</f>
        <v>PumpCo 2</v>
      </c>
      <c r="C6" s="189"/>
      <c r="D6" s="189"/>
      <c r="E6" s="190"/>
      <c r="F6" s="191" t="str">
        <f>'[6]Set Up'!E11</f>
        <v>Odessa</v>
      </c>
      <c r="G6" s="192"/>
      <c r="H6" s="193"/>
      <c r="I6" s="191" t="str">
        <f>'[6]Set Up'!E12</f>
        <v>John Hutton/Otom Betancort</v>
      </c>
      <c r="J6" s="192"/>
      <c r="K6" s="193"/>
      <c r="L6" s="205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70"/>
    </row>
    <row r="7" spans="1:78" ht="15" thickBot="1" x14ac:dyDescent="0.4">
      <c r="A7" s="14" t="s">
        <v>10</v>
      </c>
      <c r="B7" s="15" t="s">
        <v>11</v>
      </c>
      <c r="C7" s="15">
        <v>1</v>
      </c>
      <c r="D7" s="15">
        <v>2</v>
      </c>
      <c r="E7" s="15">
        <v>3</v>
      </c>
      <c r="F7" s="16">
        <v>4</v>
      </c>
      <c r="G7" s="15">
        <v>5</v>
      </c>
      <c r="H7" s="15">
        <v>6</v>
      </c>
      <c r="I7" s="15">
        <v>7</v>
      </c>
      <c r="J7" s="15">
        <v>8</v>
      </c>
      <c r="K7" s="15">
        <v>9</v>
      </c>
      <c r="L7" s="15">
        <v>10</v>
      </c>
      <c r="M7" s="15">
        <v>11</v>
      </c>
      <c r="N7" s="15">
        <v>12</v>
      </c>
      <c r="O7" s="15">
        <v>13</v>
      </c>
      <c r="P7" s="15">
        <v>14</v>
      </c>
      <c r="Q7" s="15">
        <v>15</v>
      </c>
      <c r="R7" s="15">
        <v>16</v>
      </c>
      <c r="S7" s="15">
        <v>17</v>
      </c>
      <c r="T7" s="15">
        <v>18</v>
      </c>
      <c r="U7" s="15">
        <v>19</v>
      </c>
      <c r="V7" s="15">
        <v>20</v>
      </c>
      <c r="W7" s="15">
        <v>21</v>
      </c>
      <c r="X7" s="15">
        <v>22</v>
      </c>
      <c r="Y7" s="15">
        <v>23</v>
      </c>
      <c r="Z7" s="15">
        <v>24</v>
      </c>
      <c r="AA7" s="15">
        <v>25</v>
      </c>
      <c r="AB7" s="15">
        <v>26</v>
      </c>
      <c r="AC7" s="15">
        <v>27</v>
      </c>
      <c r="AD7" s="15">
        <v>28</v>
      </c>
      <c r="AE7" s="15">
        <v>29</v>
      </c>
      <c r="AF7" s="15">
        <v>30</v>
      </c>
      <c r="AG7" s="15">
        <v>31</v>
      </c>
      <c r="AH7" s="15">
        <v>32</v>
      </c>
      <c r="AI7" s="15">
        <v>33</v>
      </c>
      <c r="AJ7" s="15">
        <v>34</v>
      </c>
      <c r="AK7" s="15">
        <v>35</v>
      </c>
      <c r="AL7" s="15">
        <v>36</v>
      </c>
      <c r="AM7" s="15">
        <v>37</v>
      </c>
      <c r="AN7" s="15">
        <v>38</v>
      </c>
      <c r="AO7" s="15">
        <v>39</v>
      </c>
      <c r="AP7" s="15">
        <v>40</v>
      </c>
      <c r="AQ7" s="15">
        <v>41</v>
      </c>
      <c r="AR7" s="15">
        <v>42</v>
      </c>
      <c r="AS7" s="15">
        <v>43</v>
      </c>
      <c r="AT7" s="15">
        <v>44</v>
      </c>
      <c r="AU7" s="15">
        <v>45</v>
      </c>
      <c r="AV7" s="15">
        <v>46</v>
      </c>
      <c r="AW7" s="15">
        <v>47</v>
      </c>
      <c r="AX7" s="15">
        <v>48</v>
      </c>
      <c r="AY7" s="15">
        <v>49</v>
      </c>
      <c r="AZ7" s="15">
        <v>50</v>
      </c>
      <c r="BA7" s="15">
        <v>51</v>
      </c>
      <c r="BB7" s="15">
        <v>52</v>
      </c>
      <c r="BC7" s="15">
        <v>53</v>
      </c>
      <c r="BD7" s="15">
        <v>54</v>
      </c>
      <c r="BE7" s="15">
        <v>55</v>
      </c>
      <c r="BF7" s="15">
        <v>56</v>
      </c>
      <c r="BG7" s="15">
        <v>57</v>
      </c>
      <c r="BH7" s="15">
        <v>58</v>
      </c>
      <c r="BI7" s="15">
        <v>59</v>
      </c>
      <c r="BJ7" s="15">
        <v>60</v>
      </c>
      <c r="BK7" s="15">
        <v>61</v>
      </c>
      <c r="BL7" s="15">
        <v>62</v>
      </c>
      <c r="BM7" s="15">
        <v>63</v>
      </c>
      <c r="BN7" s="15">
        <v>64</v>
      </c>
      <c r="BO7" s="15">
        <v>65</v>
      </c>
      <c r="BP7" s="15">
        <v>66</v>
      </c>
      <c r="BQ7" s="15">
        <v>67</v>
      </c>
      <c r="BR7" s="15">
        <v>68</v>
      </c>
      <c r="BS7" s="15">
        <v>69</v>
      </c>
      <c r="BT7" s="15">
        <v>70</v>
      </c>
      <c r="BU7" s="15">
        <v>71</v>
      </c>
      <c r="BV7" s="15">
        <v>72</v>
      </c>
      <c r="BW7" s="15">
        <v>73</v>
      </c>
      <c r="BX7" s="15">
        <v>74</v>
      </c>
      <c r="BY7" s="15">
        <v>75</v>
      </c>
      <c r="BZ7" s="17" t="s">
        <v>12</v>
      </c>
    </row>
    <row r="8" spans="1:78" x14ac:dyDescent="0.35">
      <c r="A8" s="18" t="s">
        <v>13</v>
      </c>
      <c r="B8" s="194" t="s">
        <v>14</v>
      </c>
      <c r="C8" s="19">
        <f>'[6]Set Up'!$U$2</f>
        <v>22448</v>
      </c>
      <c r="D8" s="19">
        <f>'[6]Set Up'!$U$3</f>
        <v>21436</v>
      </c>
      <c r="E8" s="19">
        <f>'[6]Set Up'!$U$4</f>
        <v>20930</v>
      </c>
      <c r="F8" s="19">
        <f>'[6]Set Up'!$U$5</f>
        <v>20424</v>
      </c>
      <c r="G8" s="19">
        <f>'[6]Set Up'!$U$6</f>
        <v>19413</v>
      </c>
      <c r="H8" s="19">
        <f>'[6]Set Up'!$U$7</f>
        <v>18401</v>
      </c>
      <c r="I8" s="19">
        <f>'[6]Set Up'!$U$8</f>
        <v>18201</v>
      </c>
      <c r="J8" s="19">
        <f>'[6]Set Up'!$U$9</f>
        <v>18003</v>
      </c>
      <c r="K8" s="19">
        <f>'[6]Set Up'!$U$10</f>
        <v>17804</v>
      </c>
      <c r="L8" s="19">
        <f>'[6]Set Up'!$U$11</f>
        <v>17605</v>
      </c>
      <c r="M8" s="19">
        <f>'[6]Set Up'!$U$12</f>
        <v>17406</v>
      </c>
      <c r="N8" s="19">
        <f>'[6]Set Up'!$U$13</f>
        <v>17208</v>
      </c>
      <c r="O8" s="19">
        <f>'[6]Set Up'!$U$14</f>
        <v>17009</v>
      </c>
      <c r="P8" s="19">
        <f>'[6]Set Up'!$U$15</f>
        <v>16810</v>
      </c>
      <c r="Q8" s="19">
        <f>'[6]Set Up'!$U$16</f>
        <v>16611</v>
      </c>
      <c r="R8" s="19">
        <f>'[6]Set Up'!$U$17</f>
        <v>16413</v>
      </c>
      <c r="S8" s="19">
        <f>'[6]Set Up'!$U$18</f>
        <v>16214</v>
      </c>
      <c r="T8" s="19">
        <f>'[6]Set Up'!$U$19</f>
        <v>16018</v>
      </c>
      <c r="U8" s="19">
        <f>'[6]Set Up'!$U$20</f>
        <v>15816</v>
      </c>
      <c r="V8" s="19">
        <f>'[6]Set Up'!$U$21</f>
        <v>15618</v>
      </c>
      <c r="W8" s="19">
        <f>'[6]Set Up'!$U$22</f>
        <v>15419</v>
      </c>
      <c r="X8" s="19">
        <f>'[6]Set Up'!$U$23</f>
        <v>15220</v>
      </c>
      <c r="Y8" s="19">
        <f>'[6]Set Up'!$U$24</f>
        <v>15021</v>
      </c>
      <c r="Z8" s="19">
        <f>'[6]Set Up'!$U$25</f>
        <v>14823</v>
      </c>
      <c r="AA8" s="19">
        <f>'[6]Set Up'!$U$26</f>
        <v>14624</v>
      </c>
      <c r="AB8" s="19">
        <f>'[6]Set Up'!$U$27</f>
        <v>14425</v>
      </c>
      <c r="AC8" s="19">
        <f>'[6]Set Up'!$U$28</f>
        <v>14226</v>
      </c>
      <c r="AD8" s="19">
        <f>'[6]Set Up'!$U$29</f>
        <v>14028</v>
      </c>
      <c r="AE8" s="19">
        <f>'[6]Set Up'!$U$30</f>
        <v>13829</v>
      </c>
      <c r="AF8" s="19">
        <f>'[6]Set Up'!$U$31</f>
        <v>13630</v>
      </c>
      <c r="AG8" s="19">
        <f>'[6]Set Up'!$U$32</f>
        <v>13431</v>
      </c>
      <c r="AH8" s="19">
        <f>'[6]Set Up'!$U$33</f>
        <v>13233</v>
      </c>
      <c r="AI8" s="19">
        <f>'[6]Set Up'!$U$34</f>
        <v>13034</v>
      </c>
      <c r="AJ8" s="19">
        <f>'[6]Set Up'!$U$35</f>
        <v>12835</v>
      </c>
      <c r="AK8" s="19">
        <f>'[6]Set Up'!$U$36</f>
        <v>0</v>
      </c>
      <c r="AL8" s="19">
        <f>'[6]Set Up'!$U$37</f>
        <v>0</v>
      </c>
      <c r="AM8" s="19">
        <f>'[6]Set Up'!$U$38</f>
        <v>0</v>
      </c>
      <c r="AN8" s="19">
        <f>'[6]Set Up'!$U$39</f>
        <v>0</v>
      </c>
      <c r="AO8" s="19">
        <f>'[6]Set Up'!$U$40</f>
        <v>0</v>
      </c>
      <c r="AP8" s="19">
        <f>'[6]Set Up'!$U$41</f>
        <v>0</v>
      </c>
      <c r="AQ8" s="19">
        <f>'[6]Set Up'!$U$42</f>
        <v>0</v>
      </c>
      <c r="AR8" s="19">
        <f>'[6]Set Up'!$U$43</f>
        <v>0</v>
      </c>
      <c r="AS8" s="19">
        <f>'[6]Set Up'!$U$44</f>
        <v>0</v>
      </c>
      <c r="AT8" s="19">
        <f>'[6]Set Up'!$U$45</f>
        <v>0</v>
      </c>
      <c r="AU8" s="19">
        <f>'[6]Set Up'!$U$46</f>
        <v>0</v>
      </c>
      <c r="AV8" s="19">
        <f>'[6]Set Up'!$U$47</f>
        <v>0</v>
      </c>
      <c r="AW8" s="19">
        <f>'[6]Set Up'!$U$48</f>
        <v>0</v>
      </c>
      <c r="AX8" s="19">
        <f>'[6]Set Up'!$U$49</f>
        <v>0</v>
      </c>
      <c r="AY8" s="19">
        <f>'[6]Set Up'!$U$50</f>
        <v>0</v>
      </c>
      <c r="AZ8" s="19">
        <f>'[6]Set Up'!$U$51</f>
        <v>0</v>
      </c>
      <c r="BA8" s="19">
        <f>'[6]Set Up'!$U$52</f>
        <v>0</v>
      </c>
      <c r="BB8" s="19">
        <f>'[6]Set Up'!$U$53</f>
        <v>0</v>
      </c>
      <c r="BC8" s="19">
        <f>'[6]Set Up'!$U$54</f>
        <v>0</v>
      </c>
      <c r="BD8" s="19">
        <f>'[6]Set Up'!$U$55</f>
        <v>0</v>
      </c>
      <c r="BE8" s="19">
        <f>'[6]Set Up'!$U$56</f>
        <v>0</v>
      </c>
      <c r="BF8" s="19">
        <f>'[6]Set Up'!$U$57</f>
        <v>0</v>
      </c>
      <c r="BG8" s="19">
        <f>'[6]Set Up'!$U$58</f>
        <v>0</v>
      </c>
      <c r="BH8" s="19">
        <f>'[6]Set Up'!$U$59</f>
        <v>0</v>
      </c>
      <c r="BI8" s="19">
        <f>'[6]Set Up'!$U$60</f>
        <v>0</v>
      </c>
      <c r="BJ8" s="19">
        <f>'[6]Set Up'!$U$61</f>
        <v>0</v>
      </c>
      <c r="BK8" s="19">
        <f>'[6]Set Up'!$U$62</f>
        <v>0</v>
      </c>
      <c r="BL8" s="19">
        <f>'[6]Set Up'!$U$63</f>
        <v>0</v>
      </c>
      <c r="BM8" s="19">
        <f>'[6]Set Up'!$U$64</f>
        <v>0</v>
      </c>
      <c r="BN8" s="19">
        <f>'[6]Set Up'!$U$65</f>
        <v>0</v>
      </c>
      <c r="BO8" s="19">
        <f>'[6]Set Up'!$U$66</f>
        <v>0</v>
      </c>
      <c r="BP8" s="19">
        <f>'[6]Set Up'!$U$67</f>
        <v>0</v>
      </c>
      <c r="BQ8" s="19">
        <f>'[6]Set Up'!$U$68</f>
        <v>0</v>
      </c>
      <c r="BR8" s="19">
        <f>'[6]Set Up'!$U$69</f>
        <v>0</v>
      </c>
      <c r="BS8" s="19">
        <f>'[6]Set Up'!$U$70</f>
        <v>0</v>
      </c>
      <c r="BT8" s="19">
        <f>'[6]Set Up'!$U$71</f>
        <v>0</v>
      </c>
      <c r="BU8" s="19">
        <f>'[6]Set Up'!$U$72</f>
        <v>0</v>
      </c>
      <c r="BV8" s="19">
        <f>'[6]Set Up'!$U$73</f>
        <v>0</v>
      </c>
      <c r="BW8" s="19">
        <f>'[6]Set Up'!$U$74</f>
        <v>0</v>
      </c>
      <c r="BX8" s="19">
        <f>'[6]Set Up'!$U$75</f>
        <v>0</v>
      </c>
      <c r="BY8" s="19">
        <f>'[6]Set Up'!$U$76</f>
        <v>0</v>
      </c>
      <c r="BZ8" s="170"/>
    </row>
    <row r="9" spans="1:78" x14ac:dyDescent="0.35">
      <c r="A9" s="20" t="s">
        <v>15</v>
      </c>
      <c r="B9" s="195"/>
      <c r="C9" s="21">
        <f>'[6]Set Up'!$V2</f>
        <v>23427</v>
      </c>
      <c r="D9" s="21">
        <f>'[6]Set Up'!$V3</f>
        <v>22416</v>
      </c>
      <c r="E9" s="21">
        <f>'[6]Set Up'!$V4</f>
        <v>21404</v>
      </c>
      <c r="F9" s="21">
        <f>'[6]Set Up'!$V5</f>
        <v>20989</v>
      </c>
      <c r="G9" s="21">
        <f>'[6]Set Up'!$V6</f>
        <v>20392</v>
      </c>
      <c r="H9" s="21">
        <f>'[6]Set Up'!$V7</f>
        <v>19380</v>
      </c>
      <c r="I9" s="21">
        <f>'[6]Set Up'!$V8</f>
        <v>18361</v>
      </c>
      <c r="J9" s="21">
        <f>'[6]Set Up'!$V9</f>
        <v>18162</v>
      </c>
      <c r="K9" s="21">
        <f>'[6]Set Up'!$V10</f>
        <v>17964</v>
      </c>
      <c r="L9" s="21">
        <f>'[6]Set Up'!$V11</f>
        <v>17765</v>
      </c>
      <c r="M9" s="21">
        <f>'[6]Set Up'!$V12</f>
        <v>17566</v>
      </c>
      <c r="N9" s="21">
        <f>'[6]Set Up'!$V13</f>
        <v>17367</v>
      </c>
      <c r="O9" s="21">
        <f>'[6]Set Up'!$V14</f>
        <v>17169</v>
      </c>
      <c r="P9" s="21">
        <f>'[6]Set Up'!$V15</f>
        <v>16970</v>
      </c>
      <c r="Q9" s="21">
        <f>'[6]Set Up'!$V16</f>
        <v>16771</v>
      </c>
      <c r="R9" s="21">
        <f>'[6]Set Up'!$V17</f>
        <v>16572</v>
      </c>
      <c r="S9" s="21">
        <f>'[6]Set Up'!$V18</f>
        <v>16374</v>
      </c>
      <c r="T9" s="21">
        <f>'[6]Set Up'!$V19</f>
        <v>16175</v>
      </c>
      <c r="U9" s="21">
        <f>'[6]Set Up'!$V20</f>
        <v>15976</v>
      </c>
      <c r="V9" s="21">
        <f>'[6]Set Up'!$V21</f>
        <v>15777</v>
      </c>
      <c r="W9" s="21">
        <f>'[6]Set Up'!$V22</f>
        <v>15579</v>
      </c>
      <c r="X9" s="21">
        <f>'[6]Set Up'!$V23</f>
        <v>15380</v>
      </c>
      <c r="Y9" s="21">
        <f>'[6]Set Up'!$V24</f>
        <v>15181</v>
      </c>
      <c r="Z9" s="21">
        <f>'[6]Set Up'!$V25</f>
        <v>14982</v>
      </c>
      <c r="AA9" s="21">
        <f>'[6]Set Up'!$V26</f>
        <v>14784</v>
      </c>
      <c r="AB9" s="21">
        <f>'[6]Set Up'!$V27</f>
        <v>14585</v>
      </c>
      <c r="AC9" s="21">
        <f>'[6]Set Up'!$V28</f>
        <v>14386</v>
      </c>
      <c r="AD9" s="21">
        <f>'[6]Set Up'!$V29</f>
        <v>14187</v>
      </c>
      <c r="AE9" s="21">
        <f>'[6]Set Up'!$V30</f>
        <v>13989</v>
      </c>
      <c r="AF9" s="21">
        <f>'[6]Set Up'!$V31</f>
        <v>13790</v>
      </c>
      <c r="AG9" s="21">
        <f>'[6]Set Up'!$V32</f>
        <v>13591</v>
      </c>
      <c r="AH9" s="21">
        <f>'[6]Set Up'!$V33</f>
        <v>13392</v>
      </c>
      <c r="AI9" s="21">
        <f>'[6]Set Up'!$V34</f>
        <v>13194</v>
      </c>
      <c r="AJ9" s="21">
        <f>'[6]Set Up'!$V35</f>
        <v>12995</v>
      </c>
      <c r="AK9" s="21">
        <f>'[6]Set Up'!$V36</f>
        <v>0</v>
      </c>
      <c r="AL9" s="21">
        <f>'[6]Set Up'!$V37</f>
        <v>0</v>
      </c>
      <c r="AM9" s="21">
        <f>'[6]Set Up'!$V38</f>
        <v>0</v>
      </c>
      <c r="AN9" s="21">
        <f>'[6]Set Up'!$V39</f>
        <v>0</v>
      </c>
      <c r="AO9" s="21">
        <f>'[6]Set Up'!$V40</f>
        <v>0</v>
      </c>
      <c r="AP9" s="21">
        <f>'[6]Set Up'!$V41</f>
        <v>0</v>
      </c>
      <c r="AQ9" s="21">
        <f>'[6]Set Up'!$V42</f>
        <v>0</v>
      </c>
      <c r="AR9" s="21">
        <f>'[6]Set Up'!$V43</f>
        <v>0</v>
      </c>
      <c r="AS9" s="21">
        <f>'[6]Set Up'!$V44</f>
        <v>0</v>
      </c>
      <c r="AT9" s="21">
        <f>'[6]Set Up'!$V45</f>
        <v>0</v>
      </c>
      <c r="AU9" s="21">
        <f>'[6]Set Up'!$V46</f>
        <v>0</v>
      </c>
      <c r="AV9" s="21">
        <f>'[6]Set Up'!$V47</f>
        <v>0</v>
      </c>
      <c r="AW9" s="21">
        <f>'[6]Set Up'!$V48</f>
        <v>0</v>
      </c>
      <c r="AX9" s="21">
        <f>'[6]Set Up'!$V49</f>
        <v>0</v>
      </c>
      <c r="AY9" s="21">
        <f>'[6]Set Up'!$V50</f>
        <v>0</v>
      </c>
      <c r="AZ9" s="21">
        <f>'[6]Set Up'!$V51</f>
        <v>0</v>
      </c>
      <c r="BA9" s="21">
        <f>'[6]Set Up'!$V52</f>
        <v>0</v>
      </c>
      <c r="BB9" s="21">
        <f>'[6]Set Up'!$V53</f>
        <v>0</v>
      </c>
      <c r="BC9" s="21">
        <f>'[6]Set Up'!$V54</f>
        <v>0</v>
      </c>
      <c r="BD9" s="21">
        <f>'[6]Set Up'!$V55</f>
        <v>0</v>
      </c>
      <c r="BE9" s="21">
        <f>'[6]Set Up'!$V56</f>
        <v>0</v>
      </c>
      <c r="BF9" s="21">
        <f>'[6]Set Up'!$V57</f>
        <v>0</v>
      </c>
      <c r="BG9" s="21">
        <f>'[6]Set Up'!$V58</f>
        <v>0</v>
      </c>
      <c r="BH9" s="21">
        <f>'[6]Set Up'!$V59</f>
        <v>0</v>
      </c>
      <c r="BI9" s="21">
        <f>'[6]Set Up'!$V60</f>
        <v>0</v>
      </c>
      <c r="BJ9" s="21">
        <f>'[6]Set Up'!$V61</f>
        <v>0</v>
      </c>
      <c r="BK9" s="21">
        <f>'[6]Set Up'!$V62</f>
        <v>0</v>
      </c>
      <c r="BL9" s="21">
        <f>'[6]Set Up'!$V63</f>
        <v>0</v>
      </c>
      <c r="BM9" s="21">
        <f>'[6]Set Up'!$V64</f>
        <v>0</v>
      </c>
      <c r="BN9" s="21">
        <f>'[6]Set Up'!$V65</f>
        <v>0</v>
      </c>
      <c r="BO9" s="21">
        <f>'[6]Set Up'!$V66</f>
        <v>0</v>
      </c>
      <c r="BP9" s="21">
        <f>'[6]Set Up'!$V67</f>
        <v>0</v>
      </c>
      <c r="BQ9" s="21">
        <f>'[6]Set Up'!$V68</f>
        <v>0</v>
      </c>
      <c r="BR9" s="21">
        <f>'[6]Set Up'!$V69</f>
        <v>0</v>
      </c>
      <c r="BS9" s="21">
        <f>'[6]Set Up'!$V70</f>
        <v>0</v>
      </c>
      <c r="BT9" s="21">
        <f>'[6]Set Up'!$V71</f>
        <v>0</v>
      </c>
      <c r="BU9" s="21">
        <f>'[6]Set Up'!$V72</f>
        <v>0</v>
      </c>
      <c r="BV9" s="21">
        <f>'[6]Set Up'!$V73</f>
        <v>0</v>
      </c>
      <c r="BW9" s="21">
        <f>'[6]Set Up'!$V74</f>
        <v>0</v>
      </c>
      <c r="BX9" s="21">
        <f>'[6]Set Up'!$V75</f>
        <v>0</v>
      </c>
      <c r="BY9" s="21">
        <f>'[6]Set Up'!$V76</f>
        <v>0</v>
      </c>
      <c r="BZ9" s="170"/>
    </row>
    <row r="10" spans="1:78" ht="15" thickBot="1" x14ac:dyDescent="0.4">
      <c r="A10" s="22" t="s">
        <v>16</v>
      </c>
      <c r="B10" s="195"/>
      <c r="C10" s="23">
        <f>'[6]Set Up'!$W2</f>
        <v>120</v>
      </c>
      <c r="D10" s="23">
        <f>'[6]Set Up'!$W3</f>
        <v>120</v>
      </c>
      <c r="E10" s="23">
        <f>'[6]Set Up'!$W4</f>
        <v>60</v>
      </c>
      <c r="F10" s="23">
        <f>'[6]Set Up'!$W5</f>
        <v>60</v>
      </c>
      <c r="G10" s="23">
        <f>'[6]Set Up'!$W6</f>
        <v>120</v>
      </c>
      <c r="H10" s="23">
        <f>'[6]Set Up'!$W7</f>
        <v>120</v>
      </c>
      <c r="I10" s="23">
        <f>'[6]Set Up'!$W8</f>
        <v>24</v>
      </c>
      <c r="J10" s="23">
        <f>'[6]Set Up'!$W9</f>
        <v>24</v>
      </c>
      <c r="K10" s="23">
        <f>'[6]Set Up'!$W10</f>
        <v>24</v>
      </c>
      <c r="L10" s="23">
        <f>'[6]Set Up'!$W11</f>
        <v>24</v>
      </c>
      <c r="M10" s="23">
        <f>'[6]Set Up'!$W12</f>
        <v>24</v>
      </c>
      <c r="N10" s="23">
        <f>'[6]Set Up'!$W13</f>
        <v>24</v>
      </c>
      <c r="O10" s="23">
        <f>'[6]Set Up'!$W14</f>
        <v>24</v>
      </c>
      <c r="P10" s="23">
        <f>'[6]Set Up'!$W15</f>
        <v>24</v>
      </c>
      <c r="Q10" s="23">
        <f>'[6]Set Up'!$W16</f>
        <v>24</v>
      </c>
      <c r="R10" s="23">
        <f>'[6]Set Up'!$W17</f>
        <v>24</v>
      </c>
      <c r="S10" s="23">
        <f>'[6]Set Up'!$W18</f>
        <v>24</v>
      </c>
      <c r="T10" s="23">
        <f>'[6]Set Up'!$W19</f>
        <v>24</v>
      </c>
      <c r="U10" s="23">
        <f>'[6]Set Up'!$W20</f>
        <v>24</v>
      </c>
      <c r="V10" s="23">
        <f>'[6]Set Up'!$W21</f>
        <v>24</v>
      </c>
      <c r="W10" s="23">
        <f>'[6]Set Up'!$W22</f>
        <v>24</v>
      </c>
      <c r="X10" s="23">
        <f>'[6]Set Up'!$W23</f>
        <v>24</v>
      </c>
      <c r="Y10" s="23">
        <f>'[6]Set Up'!$W24</f>
        <v>20</v>
      </c>
      <c r="Z10" s="23">
        <f>'[6]Set Up'!$W25</f>
        <v>24</v>
      </c>
      <c r="AA10" s="23">
        <f>'[6]Set Up'!$W26</f>
        <v>24</v>
      </c>
      <c r="AB10" s="23">
        <f>'[6]Set Up'!$W27</f>
        <v>24</v>
      </c>
      <c r="AC10" s="23">
        <f>'[6]Set Up'!$W28</f>
        <v>20</v>
      </c>
      <c r="AD10" s="23">
        <f>'[6]Set Up'!$W29</f>
        <v>24</v>
      </c>
      <c r="AE10" s="23">
        <f>'[6]Set Up'!$W30</f>
        <v>24</v>
      </c>
      <c r="AF10" s="23">
        <f>'[6]Set Up'!$W31</f>
        <v>24</v>
      </c>
      <c r="AG10" s="23">
        <f>'[6]Set Up'!$W32</f>
        <v>24</v>
      </c>
      <c r="AH10" s="23">
        <f>'[6]Set Up'!$W33</f>
        <v>24</v>
      </c>
      <c r="AI10" s="23">
        <f>'[6]Set Up'!$W34</f>
        <v>24</v>
      </c>
      <c r="AJ10" s="23">
        <f>'[6]Set Up'!$W35</f>
        <v>24</v>
      </c>
      <c r="AK10" s="23">
        <f>'[6]Set Up'!$W36</f>
        <v>0</v>
      </c>
      <c r="AL10" s="23">
        <f>'[6]Set Up'!$W37</f>
        <v>0</v>
      </c>
      <c r="AM10" s="23">
        <f>'[6]Set Up'!$W38</f>
        <v>0</v>
      </c>
      <c r="AN10" s="23">
        <f>'[6]Set Up'!$W39</f>
        <v>0</v>
      </c>
      <c r="AO10" s="23">
        <f>'[6]Set Up'!$W40</f>
        <v>0</v>
      </c>
      <c r="AP10" s="23">
        <f>'[6]Set Up'!$W41</f>
        <v>0</v>
      </c>
      <c r="AQ10" s="23">
        <f>'[6]Set Up'!$W42</f>
        <v>0</v>
      </c>
      <c r="AR10" s="23">
        <f>'[6]Set Up'!$W43</f>
        <v>0</v>
      </c>
      <c r="AS10" s="23">
        <f>'[6]Set Up'!$W44</f>
        <v>0</v>
      </c>
      <c r="AT10" s="23">
        <f>'[6]Set Up'!$W45</f>
        <v>0</v>
      </c>
      <c r="AU10" s="23">
        <f>'[6]Set Up'!$W46</f>
        <v>0</v>
      </c>
      <c r="AV10" s="23">
        <f>'[6]Set Up'!$W47</f>
        <v>0</v>
      </c>
      <c r="AW10" s="23">
        <f>'[6]Set Up'!$W48</f>
        <v>0</v>
      </c>
      <c r="AX10" s="23">
        <f>'[6]Set Up'!$W49</f>
        <v>0</v>
      </c>
      <c r="AY10" s="23">
        <f>'[6]Set Up'!$W50</f>
        <v>0</v>
      </c>
      <c r="AZ10" s="23">
        <f>'[6]Set Up'!$W51</f>
        <v>0</v>
      </c>
      <c r="BA10" s="23">
        <f>'[6]Set Up'!$W52</f>
        <v>0</v>
      </c>
      <c r="BB10" s="23">
        <f>'[6]Set Up'!$W53</f>
        <v>0</v>
      </c>
      <c r="BC10" s="23">
        <f>'[6]Set Up'!$W54</f>
        <v>0</v>
      </c>
      <c r="BD10" s="23">
        <f>'[6]Set Up'!$W55</f>
        <v>0</v>
      </c>
      <c r="BE10" s="23">
        <f>'[6]Set Up'!$W56</f>
        <v>0</v>
      </c>
      <c r="BF10" s="23">
        <f>'[6]Set Up'!$W57</f>
        <v>0</v>
      </c>
      <c r="BG10" s="23">
        <f>'[6]Set Up'!$W58</f>
        <v>0</v>
      </c>
      <c r="BH10" s="23">
        <f>'[6]Set Up'!$W59</f>
        <v>0</v>
      </c>
      <c r="BI10" s="23">
        <f>'[6]Set Up'!$W60</f>
        <v>0</v>
      </c>
      <c r="BJ10" s="23">
        <f>'[6]Set Up'!$W61</f>
        <v>0</v>
      </c>
      <c r="BK10" s="23">
        <f>'[6]Set Up'!$W62</f>
        <v>0</v>
      </c>
      <c r="BL10" s="23">
        <f>'[6]Set Up'!$W63</f>
        <v>0</v>
      </c>
      <c r="BM10" s="23">
        <f>'[6]Set Up'!$W64</f>
        <v>0</v>
      </c>
      <c r="BN10" s="23">
        <f>'[6]Set Up'!$W65</f>
        <v>0</v>
      </c>
      <c r="BO10" s="23">
        <f>'[6]Set Up'!$W66</f>
        <v>0</v>
      </c>
      <c r="BP10" s="23">
        <f>'[6]Set Up'!$W67</f>
        <v>0</v>
      </c>
      <c r="BQ10" s="23">
        <f>'[6]Set Up'!$W68</f>
        <v>0</v>
      </c>
      <c r="BR10" s="23">
        <f>'[6]Set Up'!$W69</f>
        <v>0</v>
      </c>
      <c r="BS10" s="23">
        <f>'[6]Set Up'!$W70</f>
        <v>0</v>
      </c>
      <c r="BT10" s="23">
        <f>'[6]Set Up'!$W71</f>
        <v>0</v>
      </c>
      <c r="BU10" s="23">
        <f>'[6]Set Up'!$W72</f>
        <v>0</v>
      </c>
      <c r="BV10" s="23">
        <f>'[6]Set Up'!$W73</f>
        <v>0</v>
      </c>
      <c r="BW10" s="23">
        <f>'[6]Set Up'!$W74</f>
        <v>0</v>
      </c>
      <c r="BX10" s="23">
        <f>'[6]Set Up'!$W75</f>
        <v>0</v>
      </c>
      <c r="BY10" s="23">
        <f>'[6]Set Up'!$W76</f>
        <v>0</v>
      </c>
      <c r="BZ10" s="170"/>
    </row>
    <row r="11" spans="1:78" x14ac:dyDescent="0.35">
      <c r="A11" s="18" t="s">
        <v>17</v>
      </c>
      <c r="B11" s="195"/>
      <c r="C11" s="19">
        <f>'[6]Set Up'!$X2</f>
        <v>23446</v>
      </c>
      <c r="D11" s="19">
        <f>'[6]Set Up'!$X3</f>
        <v>23446</v>
      </c>
      <c r="E11" s="19">
        <f>'[6]Set Up'!$X4</f>
        <v>23446</v>
      </c>
      <c r="F11" s="19">
        <f>'[6]Set Up'!$X5</f>
        <v>23446</v>
      </c>
      <c r="G11" s="19">
        <f>'[6]Set Up'!$X6</f>
        <v>23446</v>
      </c>
      <c r="H11" s="19">
        <f>'[6]Set Up'!$X7</f>
        <v>23446</v>
      </c>
      <c r="I11" s="19">
        <f>'[6]Set Up'!$X8</f>
        <v>18381</v>
      </c>
      <c r="J11" s="19">
        <f>'[6]Set Up'!$X9</f>
        <v>18181</v>
      </c>
      <c r="K11" s="19">
        <f>'[6]Set Up'!$X10</f>
        <v>17983</v>
      </c>
      <c r="L11" s="19">
        <f>'[6]Set Up'!$X11</f>
        <v>17784</v>
      </c>
      <c r="M11" s="19">
        <f>'[6]Set Up'!$X12</f>
        <v>17585</v>
      </c>
      <c r="N11" s="19">
        <f>'[6]Set Up'!$X13</f>
        <v>17386</v>
      </c>
      <c r="O11" s="19">
        <f>'[6]Set Up'!$X7</f>
        <v>23446</v>
      </c>
      <c r="P11" s="19">
        <f>'[6]Set Up'!$X8</f>
        <v>18381</v>
      </c>
      <c r="Q11" s="19">
        <f>'[6]Set Up'!$X9</f>
        <v>18181</v>
      </c>
      <c r="R11" s="19">
        <f>'[6]Set Up'!$X10</f>
        <v>17983</v>
      </c>
      <c r="S11" s="19">
        <f>'[6]Set Up'!$X11</f>
        <v>17784</v>
      </c>
      <c r="T11" s="19">
        <f>'[6]Set Up'!$X19</f>
        <v>16194</v>
      </c>
      <c r="U11" s="19">
        <f>'[6]Set Up'!$X20</f>
        <v>15995</v>
      </c>
      <c r="V11" s="19">
        <f>'[6]Set Up'!$X21</f>
        <v>15796</v>
      </c>
      <c r="W11" s="19">
        <f>'[6]Set Up'!$X22</f>
        <v>15598</v>
      </c>
      <c r="X11" s="19">
        <f>'[6]Set Up'!$X23</f>
        <v>15399</v>
      </c>
      <c r="Y11" s="19">
        <f>'[6]Set Up'!$X24</f>
        <v>15200</v>
      </c>
      <c r="Z11" s="19">
        <f>'[6]Set Up'!$X25</f>
        <v>15001</v>
      </c>
      <c r="AA11" s="19">
        <f>'[6]Set Up'!$X26</f>
        <v>14803</v>
      </c>
      <c r="AB11" s="19">
        <f>'[6]Set Up'!$X27</f>
        <v>14604</v>
      </c>
      <c r="AC11" s="19">
        <f>'[6]Set Up'!$X28</f>
        <v>14405</v>
      </c>
      <c r="AD11" s="19">
        <f>'[6]Set Up'!$X29</f>
        <v>14206</v>
      </c>
      <c r="AE11" s="19">
        <f>'[6]Set Up'!$X30</f>
        <v>14008</v>
      </c>
      <c r="AF11" s="19">
        <f>'[6]Set Up'!$X31</f>
        <v>13809</v>
      </c>
      <c r="AG11" s="19">
        <f>'[6]Set Up'!$X32</f>
        <v>13610</v>
      </c>
      <c r="AH11" s="19">
        <f>'[6]Set Up'!$X33</f>
        <v>13411</v>
      </c>
      <c r="AI11" s="19">
        <f>'[6]Set Up'!$X34</f>
        <v>13213</v>
      </c>
      <c r="AJ11" s="19">
        <f>'[6]Set Up'!$X35</f>
        <v>13014</v>
      </c>
      <c r="AK11" s="19">
        <f>'[6]Set Up'!$X36</f>
        <v>0</v>
      </c>
      <c r="AL11" s="19">
        <f>'[6]Set Up'!$X37</f>
        <v>0</v>
      </c>
      <c r="AM11" s="19">
        <f>'[6]Set Up'!$X38</f>
        <v>0</v>
      </c>
      <c r="AN11" s="19">
        <f>'[6]Set Up'!$X39</f>
        <v>0</v>
      </c>
      <c r="AO11" s="19">
        <f>'[6]Set Up'!$X40</f>
        <v>0</v>
      </c>
      <c r="AP11" s="19">
        <f>'[6]Set Up'!$X41</f>
        <v>0</v>
      </c>
      <c r="AQ11" s="19">
        <f>'[6]Set Up'!$X42</f>
        <v>0</v>
      </c>
      <c r="AR11" s="19">
        <f>'[6]Set Up'!$X43</f>
        <v>0</v>
      </c>
      <c r="AS11" s="19">
        <f>'[6]Set Up'!$X44</f>
        <v>0</v>
      </c>
      <c r="AT11" s="19">
        <f>'[6]Set Up'!$X45</f>
        <v>0</v>
      </c>
      <c r="AU11" s="19">
        <f>'[6]Set Up'!$X46</f>
        <v>0</v>
      </c>
      <c r="AV11" s="19">
        <f>'[6]Set Up'!$X47</f>
        <v>0</v>
      </c>
      <c r="AW11" s="19">
        <f>'[6]Set Up'!$X48</f>
        <v>0</v>
      </c>
      <c r="AX11" s="19">
        <f>'[6]Set Up'!$X49</f>
        <v>0</v>
      </c>
      <c r="AY11" s="19">
        <f>'[6]Set Up'!$X50</f>
        <v>0</v>
      </c>
      <c r="AZ11" s="19">
        <f>'[6]Set Up'!$X51</f>
        <v>0</v>
      </c>
      <c r="BA11" s="19">
        <f>'[6]Set Up'!$X52</f>
        <v>0</v>
      </c>
      <c r="BB11" s="19">
        <f>'[6]Set Up'!$X53</f>
        <v>0</v>
      </c>
      <c r="BC11" s="19">
        <f>'[6]Set Up'!$X54</f>
        <v>0</v>
      </c>
      <c r="BD11" s="19">
        <f>'[6]Set Up'!$X55</f>
        <v>0</v>
      </c>
      <c r="BE11" s="19">
        <f>'[6]Set Up'!$X56</f>
        <v>0</v>
      </c>
      <c r="BF11" s="19">
        <f>'[6]Set Up'!$X57</f>
        <v>0</v>
      </c>
      <c r="BG11" s="19">
        <f>'[6]Set Up'!$X58</f>
        <v>0</v>
      </c>
      <c r="BH11" s="19">
        <f>'[6]Set Up'!$X59</f>
        <v>0</v>
      </c>
      <c r="BI11" s="19">
        <f>'[6]Set Up'!$X60</f>
        <v>0</v>
      </c>
      <c r="BJ11" s="19">
        <f>'[6]Set Up'!$X61</f>
        <v>0</v>
      </c>
      <c r="BK11" s="19">
        <f>'[6]Set Up'!$X62</f>
        <v>0</v>
      </c>
      <c r="BL11" s="19">
        <f>'[6]Set Up'!$X63</f>
        <v>0</v>
      </c>
      <c r="BM11" s="19">
        <f>'[6]Set Up'!$X64</f>
        <v>0</v>
      </c>
      <c r="BN11" s="19">
        <f>'[6]Set Up'!$X65</f>
        <v>0</v>
      </c>
      <c r="BO11" s="19">
        <f>'[6]Set Up'!$X66</f>
        <v>0</v>
      </c>
      <c r="BP11" s="19">
        <f>'[6]Set Up'!$X67</f>
        <v>0</v>
      </c>
      <c r="BQ11" s="19">
        <f>'[6]Set Up'!$X68</f>
        <v>0</v>
      </c>
      <c r="BR11" s="19">
        <f>'[6]Set Up'!$X69</f>
        <v>0</v>
      </c>
      <c r="BS11" s="19">
        <f>'[6]Set Up'!$X70</f>
        <v>0</v>
      </c>
      <c r="BT11" s="19">
        <f>'[6]Set Up'!$X71</f>
        <v>0</v>
      </c>
      <c r="BU11" s="19">
        <f>'[6]Set Up'!$X72</f>
        <v>0</v>
      </c>
      <c r="BV11" s="19">
        <f>'[6]Set Up'!$X73</f>
        <v>0</v>
      </c>
      <c r="BW11" s="19">
        <f>'[6]Set Up'!$X74</f>
        <v>0</v>
      </c>
      <c r="BX11" s="19">
        <f>'[6]Set Up'!$X75</f>
        <v>0</v>
      </c>
      <c r="BY11" s="19">
        <f>'[6]Set Up'!$X76</f>
        <v>0</v>
      </c>
      <c r="BZ11" s="170"/>
    </row>
    <row r="12" spans="1:78" ht="15" thickBot="1" x14ac:dyDescent="0.4">
      <c r="A12" s="20" t="s">
        <v>18</v>
      </c>
      <c r="B12" s="195"/>
      <c r="C12" s="24">
        <f>'[6]Set Up'!$AA2</f>
        <v>12622</v>
      </c>
      <c r="D12" s="24">
        <f>'[6]Set Up'!$AA3</f>
        <v>12603</v>
      </c>
      <c r="E12" s="24">
        <f>'[6]Set Up'!$AA4</f>
        <v>12602</v>
      </c>
      <c r="F12" s="24">
        <f>'[6]Set Up'!$AA5</f>
        <v>12602</v>
      </c>
      <c r="G12" s="24">
        <f>'[6]Set Up'!$AA6</f>
        <v>12585</v>
      </c>
      <c r="H12" s="24">
        <f>'[6]Set Up'!$AA7</f>
        <v>12557</v>
      </c>
      <c r="I12" s="24">
        <f>'[6]Set Up'!$AA8</f>
        <v>12570</v>
      </c>
      <c r="J12" s="24">
        <f>'[6]Set Up'!$AA9</f>
        <v>12567</v>
      </c>
      <c r="K12" s="24">
        <f>'[6]Set Up'!$AA10</f>
        <v>12568</v>
      </c>
      <c r="L12" s="24">
        <f>'[6]Set Up'!$AA11</f>
        <v>12566</v>
      </c>
      <c r="M12" s="24">
        <f>'[6]Set Up'!$AA12</f>
        <v>12567</v>
      </c>
      <c r="N12" s="24">
        <f>'[6]Set Up'!$AA13</f>
        <v>12565</v>
      </c>
      <c r="O12" s="24">
        <f>'[6]Set Up'!$AA14</f>
        <v>12559</v>
      </c>
      <c r="P12" s="24">
        <f>'[6]Set Up'!$AA15</f>
        <v>12549</v>
      </c>
      <c r="Q12" s="24">
        <f>'[6]Set Up'!$AA16</f>
        <v>12535</v>
      </c>
      <c r="R12" s="24">
        <f>'[6]Set Up'!$AA17</f>
        <v>12537</v>
      </c>
      <c r="S12" s="24">
        <f>'[6]Set Up'!$AA18</f>
        <v>12541</v>
      </c>
      <c r="T12" s="24">
        <f>'[6]Set Up'!$AA19</f>
        <v>12548</v>
      </c>
      <c r="U12" s="24">
        <f>'[6]Set Up'!$AA20</f>
        <v>12542</v>
      </c>
      <c r="V12" s="24">
        <f>'[6]Set Up'!$AA21</f>
        <v>12537</v>
      </c>
      <c r="W12" s="24">
        <f>'[6]Set Up'!$AA22</f>
        <v>12533</v>
      </c>
      <c r="X12" s="24">
        <f>'[6]Set Up'!$AA23</f>
        <v>12533</v>
      </c>
      <c r="Y12" s="24">
        <f>'[6]Set Up'!$AA24</f>
        <v>12531</v>
      </c>
      <c r="Z12" s="24">
        <f>'[6]Set Up'!$AA25</f>
        <v>12520</v>
      </c>
      <c r="AA12" s="24">
        <f>'[6]Set Up'!$AA26</f>
        <v>12520</v>
      </c>
      <c r="AB12" s="24">
        <f>'[6]Set Up'!$AA27</f>
        <v>12518</v>
      </c>
      <c r="AC12" s="24">
        <f>'[6]Set Up'!$AA28</f>
        <v>12517</v>
      </c>
      <c r="AD12" s="24">
        <f>'[6]Set Up'!$AA29</f>
        <v>12519</v>
      </c>
      <c r="AE12" s="24">
        <f>'[6]Set Up'!$AA30</f>
        <v>12513</v>
      </c>
      <c r="AF12" s="24">
        <f>'[6]Set Up'!$AA31</f>
        <v>12499</v>
      </c>
      <c r="AG12" s="24">
        <f>'[6]Set Up'!$AA32</f>
        <v>12493</v>
      </c>
      <c r="AH12" s="24">
        <f>'[6]Set Up'!$AA33</f>
        <v>12503</v>
      </c>
      <c r="AI12" s="24">
        <f>'[6]Set Up'!$AA34</f>
        <v>12511</v>
      </c>
      <c r="AJ12" s="24">
        <f>'[6]Set Up'!$AA35</f>
        <v>12522</v>
      </c>
      <c r="AK12" s="24">
        <f>'[6]Set Up'!$AA36</f>
        <v>0</v>
      </c>
      <c r="AL12" s="24">
        <f>'[6]Set Up'!$AA37</f>
        <v>0</v>
      </c>
      <c r="AM12" s="24">
        <f>'[6]Set Up'!$AA38</f>
        <v>0</v>
      </c>
      <c r="AN12" s="24">
        <f>'[6]Set Up'!$AA39</f>
        <v>0</v>
      </c>
      <c r="AO12" s="24">
        <f>'[6]Set Up'!$AA40</f>
        <v>0</v>
      </c>
      <c r="AP12" s="24">
        <f>'[6]Set Up'!$AA41</f>
        <v>0</v>
      </c>
      <c r="AQ12" s="24">
        <f>'[6]Set Up'!$AA42</f>
        <v>0</v>
      </c>
      <c r="AR12" s="24">
        <f>'[6]Set Up'!$AA43</f>
        <v>0</v>
      </c>
      <c r="AS12" s="24">
        <f>'[6]Set Up'!$AA44</f>
        <v>0</v>
      </c>
      <c r="AT12" s="24">
        <f>'[6]Set Up'!$AA45</f>
        <v>0</v>
      </c>
      <c r="AU12" s="24">
        <f>'[6]Set Up'!$AA46</f>
        <v>0</v>
      </c>
      <c r="AV12" s="24">
        <f>'[6]Set Up'!$AA47</f>
        <v>0</v>
      </c>
      <c r="AW12" s="24">
        <f>'[6]Set Up'!$AA48</f>
        <v>0</v>
      </c>
      <c r="AX12" s="24">
        <f>'[6]Set Up'!$AA49</f>
        <v>0</v>
      </c>
      <c r="AY12" s="24">
        <f>'[6]Set Up'!$AA50</f>
        <v>0</v>
      </c>
      <c r="AZ12" s="24">
        <f>'[6]Set Up'!$AA51</f>
        <v>0</v>
      </c>
      <c r="BA12" s="24">
        <f>'[6]Set Up'!$AA52</f>
        <v>0</v>
      </c>
      <c r="BB12" s="24">
        <f>'[6]Set Up'!$AA53</f>
        <v>0</v>
      </c>
      <c r="BC12" s="24">
        <f>'[6]Set Up'!$AA54</f>
        <v>0</v>
      </c>
      <c r="BD12" s="24">
        <f>'[6]Set Up'!$AA55</f>
        <v>0</v>
      </c>
      <c r="BE12" s="24">
        <f>'[6]Set Up'!$AA56</f>
        <v>0</v>
      </c>
      <c r="BF12" s="24">
        <f>'[6]Set Up'!$AA57</f>
        <v>0</v>
      </c>
      <c r="BG12" s="24">
        <f>'[6]Set Up'!$AA58</f>
        <v>0</v>
      </c>
      <c r="BH12" s="24">
        <f>'[6]Set Up'!$AA59</f>
        <v>0</v>
      </c>
      <c r="BI12" s="24">
        <f>'[6]Set Up'!$AA60</f>
        <v>0</v>
      </c>
      <c r="BJ12" s="24">
        <f>'[6]Set Up'!$AA61</f>
        <v>0</v>
      </c>
      <c r="BK12" s="24">
        <f>'[6]Set Up'!$AA62</f>
        <v>0</v>
      </c>
      <c r="BL12" s="24">
        <f>'[6]Set Up'!$AA63</f>
        <v>0</v>
      </c>
      <c r="BM12" s="24">
        <f>'[6]Set Up'!$AA64</f>
        <v>0</v>
      </c>
      <c r="BN12" s="24">
        <f>'[6]Set Up'!$AA65</f>
        <v>0</v>
      </c>
      <c r="BO12" s="24">
        <f>'[6]Set Up'!$AA66</f>
        <v>0</v>
      </c>
      <c r="BP12" s="24">
        <f>'[6]Set Up'!$AA67</f>
        <v>0</v>
      </c>
      <c r="BQ12" s="24">
        <f>'[6]Set Up'!$AA68</f>
        <v>0</v>
      </c>
      <c r="BR12" s="24">
        <f>'[6]Set Up'!$AA69</f>
        <v>0</v>
      </c>
      <c r="BS12" s="24">
        <f>'[6]Set Up'!$AA70</f>
        <v>0</v>
      </c>
      <c r="BT12" s="24">
        <f>'[6]Set Up'!$AA71</f>
        <v>0</v>
      </c>
      <c r="BU12" s="24">
        <f>'[6]Set Up'!$AA72</f>
        <v>0</v>
      </c>
      <c r="BV12" s="24">
        <f>'[6]Set Up'!$AA73</f>
        <v>0</v>
      </c>
      <c r="BW12" s="24">
        <f>'[6]Set Up'!$AA74</f>
        <v>0</v>
      </c>
      <c r="BX12" s="24">
        <f>'[6]Set Up'!$AA75</f>
        <v>0</v>
      </c>
      <c r="BY12" s="24">
        <f>'[6]Set Up'!$AA76</f>
        <v>0</v>
      </c>
      <c r="BZ12" s="170"/>
    </row>
    <row r="13" spans="1:78" x14ac:dyDescent="0.35">
      <c r="A13" s="25" t="s">
        <v>19</v>
      </c>
      <c r="B13" s="196" t="s">
        <v>20</v>
      </c>
      <c r="C13" s="26">
        <f>IF(C8="","",IF(C8&lt;'[6]Set Up'!$J$15,C8*'[6]Set Up'!$N$15,IF(C8&lt;'[6]Set Up'!$J$16,(C8-'[6]Set Up'!$J$15)*'[6]Set Up'!$N$16+'[6]Set Up'!$O$15,IF(C8&lt;'[6]Set Up'!$J$17,(C8-'[6]Set Up'!$J$16)*'[6]Set Up'!$N$17+'[6]Set Up'!$O$15+'[6]Set Up'!$O$16,(C8-'[6]Set Up'!$J$17)*'[6]Set Up'!$N$18 + SUM('[6]Set Up'!$O$15:'[6]Set Up'!$O$17)))))</f>
        <v>413.63951125032577</v>
      </c>
      <c r="D13" s="26">
        <f>IF(D8="","",IF(D8&lt;'[6]Set Up'!$J$15,D8*'[6]Set Up'!$N$15,IF(D8&lt;'[6]Set Up'!$J$16,(D8-'[6]Set Up'!$J$15)*'[6]Set Up'!$N$16+'[6]Set Up'!$O$15,IF(D8&lt;'[6]Set Up'!$J$17,(D8-'[6]Set Up'!$J$16)*'[6]Set Up'!$N$17+'[6]Set Up'!$O$15+'[6]Set Up'!$O$16,(D8-'[6]Set Up'!$J$17)*'[6]Set Up'!$N$18 + SUM('[6]Set Up'!$O$15:'[6]Set Up'!$O$17)))))</f>
        <v>398.52888585346699</v>
      </c>
      <c r="E13" s="26">
        <f>IF(E8="","",IF(E8&lt;'[6]Set Up'!$J$15,E8*'[6]Set Up'!$N$15,IF(E8&lt;'[6]Set Up'!$J$16,(E8-'[6]Set Up'!$J$15)*'[6]Set Up'!$N$16+'[6]Set Up'!$O$15,IF(E8&lt;'[6]Set Up'!$J$17,(E8-'[6]Set Up'!$J$16)*'[6]Set Up'!$N$17+'[6]Set Up'!$O$15+'[6]Set Up'!$O$16,(E8-'[6]Set Up'!$J$17)*'[6]Set Up'!$N$18 + SUM('[6]Set Up'!$O$15:'[6]Set Up'!$O$17)))))</f>
        <v>390.97357315503763</v>
      </c>
      <c r="F13" s="26">
        <f>IF(F8="","",IF(F8&lt;'[6]Set Up'!$J$15,F8*'[6]Set Up'!$N$15,IF(F8&lt;'[6]Set Up'!$J$16,(F8-'[6]Set Up'!$J$15)*'[6]Set Up'!$N$16+'[6]Set Up'!$O$15,IF(F8&lt;'[6]Set Up'!$J$17,(F8-'[6]Set Up'!$J$16)*'[6]Set Up'!$N$17+'[6]Set Up'!$O$15+'[6]Set Up'!$O$16,(F8-'[6]Set Up'!$J$17)*'[6]Set Up'!$N$18 + SUM('[6]Set Up'!$O$15:'[6]Set Up'!$O$17)))))</f>
        <v>383.41826045660827</v>
      </c>
      <c r="G13" s="26">
        <f>IF(G8="","",IF(G8&lt;'[6]Set Up'!$J$15,G8*'[6]Set Up'!$N$15,IF(G8&lt;'[6]Set Up'!$J$16,(G8-'[6]Set Up'!$J$15)*'[6]Set Up'!$N$16+'[6]Set Up'!$O$15,IF(G8&lt;'[6]Set Up'!$J$17,(G8-'[6]Set Up'!$J$16)*'[6]Set Up'!$N$17+'[6]Set Up'!$O$15+'[6]Set Up'!$O$16,(G8-'[6]Set Up'!$J$17)*'[6]Set Up'!$N$18 + SUM('[6]Set Up'!$O$15:'[6]Set Up'!$O$17)))))</f>
        <v>368.32256650777015</v>
      </c>
      <c r="H13" s="26">
        <f>IF(H8="","",IF(H8&lt;'[6]Set Up'!$J$15,H8*'[6]Set Up'!$N$15,IF(H8&lt;'[6]Set Up'!$J$16,(H8-'[6]Set Up'!$J$15)*'[6]Set Up'!$N$16+'[6]Set Up'!$O$15,IF(H8&lt;'[6]Set Up'!$J$17,(H8-'[6]Set Up'!$J$16)*'[6]Set Up'!$N$17+'[6]Set Up'!$O$15+'[6]Set Up'!$O$16,(H8-'[6]Set Up'!$J$17)*'[6]Set Up'!$N$18 + SUM('[6]Set Up'!$O$15:'[6]Set Up'!$O$17)))))</f>
        <v>353.21194111091143</v>
      </c>
      <c r="I13" s="26">
        <f>IF(I8="","",IF(I8&lt;'[6]Set Up'!$J$15,I8*'[6]Set Up'!$N$15,IF(I8&lt;'[6]Set Up'!$J$16,(I8-'[6]Set Up'!$J$15)*'[6]Set Up'!$N$16+'[6]Set Up'!$O$15,IF(I8&lt;'[6]Set Up'!$J$17,(I8-'[6]Set Up'!$J$16)*'[6]Set Up'!$N$17+'[6]Set Up'!$O$15+'[6]Set Up'!$O$16,(I8-'[6]Set Up'!$J$17)*'[6]Set Up'!$N$18 + SUM('[6]Set Up'!$O$15:'[6]Set Up'!$O$17)))))</f>
        <v>350.22565150678912</v>
      </c>
      <c r="J13" s="26">
        <f>IF(J8="","",IF(J8&lt;'[6]Set Up'!$J$15,J8*'[6]Set Up'!$N$15,IF(J8&lt;'[6]Set Up'!$J$16,(J8-'[6]Set Up'!$J$15)*'[6]Set Up'!$N$16+'[6]Set Up'!$O$15,IF(J8&lt;'[6]Set Up'!$J$17,(J8-'[6]Set Up'!$J$16)*'[6]Set Up'!$N$17+'[6]Set Up'!$O$15+'[6]Set Up'!$O$16,(J8-'[6]Set Up'!$J$17)*'[6]Set Up'!$N$18 + SUM('[6]Set Up'!$O$15:'[6]Set Up'!$O$17)))))</f>
        <v>347.26922479870808</v>
      </c>
      <c r="K13" s="26">
        <f>IF(K8="","",IF(K8&lt;'[6]Set Up'!$J$15,K8*'[6]Set Up'!$N$15,IF(K8&lt;'[6]Set Up'!$J$16,(K8-'[6]Set Up'!$J$15)*'[6]Set Up'!$N$16+'[6]Set Up'!$O$15,IF(K8&lt;'[6]Set Up'!$J$17,(K8-'[6]Set Up'!$J$16)*'[6]Set Up'!$N$17+'[6]Set Up'!$O$15+'[6]Set Up'!$O$16,(K8-'[6]Set Up'!$J$17)*'[6]Set Up'!$N$18 + SUM('[6]Set Up'!$O$15:'[6]Set Up'!$O$17)))))</f>
        <v>344.29786664260644</v>
      </c>
      <c r="L13" s="26">
        <f>IF(L8="","",IF(L8&lt;'[6]Set Up'!$J$15,L8*'[6]Set Up'!$N$15,IF(L8&lt;'[6]Set Up'!$J$16,(L8-'[6]Set Up'!$J$15)*'[6]Set Up'!$N$16+'[6]Set Up'!$O$15,IF(L8&lt;'[6]Set Up'!$J$17,(L8-'[6]Set Up'!$J$16)*'[6]Set Up'!$N$17+'[6]Set Up'!$O$15+'[6]Set Up'!$O$16,(L8-'[6]Set Up'!$J$17)*'[6]Set Up'!$N$18 + SUM('[6]Set Up'!$O$15:'[6]Set Up'!$O$17)))))</f>
        <v>341.32650848650474</v>
      </c>
      <c r="M13" s="26">
        <f>IF(M8="","",IF(M8&lt;'[6]Set Up'!$J$15,M8*'[6]Set Up'!$N$15,IF(M8&lt;'[6]Set Up'!$J$16,(M8-'[6]Set Up'!$J$15)*'[6]Set Up'!$N$16+'[6]Set Up'!$O$15,IF(M8&lt;'[6]Set Up'!$J$17,(M8-'[6]Set Up'!$J$16)*'[6]Set Up'!$N$17+'[6]Set Up'!$O$15+'[6]Set Up'!$O$16,(M8-'[6]Set Up'!$J$17)*'[6]Set Up'!$N$18 + SUM('[6]Set Up'!$O$15:'[6]Set Up'!$O$17)))))</f>
        <v>338.35515033040309</v>
      </c>
      <c r="N13" s="26">
        <f>IF(N8="","",IF(N8&lt;'[6]Set Up'!$J$15,N8*'[6]Set Up'!$N$15,IF(N8&lt;'[6]Set Up'!$J$16,(N8-'[6]Set Up'!$J$15)*'[6]Set Up'!$N$16+'[6]Set Up'!$O$15,IF(N8&lt;'[6]Set Up'!$J$17,(N8-'[6]Set Up'!$J$16)*'[6]Set Up'!$N$17+'[6]Set Up'!$O$15+'[6]Set Up'!$O$16,(N8-'[6]Set Up'!$J$17)*'[6]Set Up'!$N$18 + SUM('[6]Set Up'!$O$15:'[6]Set Up'!$O$17)))))</f>
        <v>335.398723622322</v>
      </c>
      <c r="O13" s="26">
        <f>IF(O8="","",IF(O8&lt;'[6]Set Up'!$J$15,O8*'[6]Set Up'!$N$15,IF(O8&lt;'[6]Set Up'!$J$16,(O8-'[6]Set Up'!$J$15)*'[6]Set Up'!$N$16+'[6]Set Up'!$O$15,IF(O8&lt;'[6]Set Up'!$J$17,(O8-'[6]Set Up'!$J$16)*'[6]Set Up'!$N$17+'[6]Set Up'!$O$15+'[6]Set Up'!$O$16,(O8-'[6]Set Up'!$J$17)*'[6]Set Up'!$N$18 + SUM('[6]Set Up'!$O$15:'[6]Set Up'!$O$17)))))</f>
        <v>332.42736546622035</v>
      </c>
      <c r="P13" s="26">
        <f>IF(P8="","",IF(P8&lt;'[6]Set Up'!$J$15,P8*'[6]Set Up'!$N$15,IF(P8&lt;'[6]Set Up'!$J$16,(P8-'[6]Set Up'!$J$15)*'[6]Set Up'!$N$16+'[6]Set Up'!$O$15,IF(P8&lt;'[6]Set Up'!$J$17,(P8-'[6]Set Up'!$J$16)*'[6]Set Up'!$N$17+'[6]Set Up'!$O$15+'[6]Set Up'!$O$16,(P8-'[6]Set Up'!$J$17)*'[6]Set Up'!$N$18 + SUM('[6]Set Up'!$O$15:'[6]Set Up'!$O$17)))))</f>
        <v>329.45600731011871</v>
      </c>
      <c r="Q13" s="26">
        <f>IF(Q8="","",IF(Q8&lt;'[6]Set Up'!$J$15,Q8*'[6]Set Up'!$N$15,IF(Q8&lt;'[6]Set Up'!$J$16,(Q8-'[6]Set Up'!$J$15)*'[6]Set Up'!$N$16+'[6]Set Up'!$O$15,IF(Q8&lt;'[6]Set Up'!$J$17,(Q8-'[6]Set Up'!$J$16)*'[6]Set Up'!$N$17+'[6]Set Up'!$O$15+'[6]Set Up'!$O$16,(Q8-'[6]Set Up'!$J$17)*'[6]Set Up'!$N$18 + SUM('[6]Set Up'!$O$15:'[6]Set Up'!$O$17)))))</f>
        <v>326.48464915401701</v>
      </c>
      <c r="R13" s="26">
        <f>IF(R8="","",IF(R8&lt;'[6]Set Up'!$J$15,R8*'[6]Set Up'!$N$15,IF(R8&lt;'[6]Set Up'!$J$16,(R8-'[6]Set Up'!$J$15)*'[6]Set Up'!$N$16+'[6]Set Up'!$O$15,IF(R8&lt;'[6]Set Up'!$J$17,(R8-'[6]Set Up'!$J$16)*'[6]Set Up'!$N$17+'[6]Set Up'!$O$15+'[6]Set Up'!$O$16,(R8-'[6]Set Up'!$J$17)*'[6]Set Up'!$N$18 + SUM('[6]Set Up'!$O$15:'[6]Set Up'!$O$17)))))</f>
        <v>323.52822244593597</v>
      </c>
      <c r="S13" s="26">
        <f>IF(S8="","",IF(S8&lt;'[6]Set Up'!$J$15,S8*'[6]Set Up'!$N$15,IF(S8&lt;'[6]Set Up'!$J$16,(S8-'[6]Set Up'!$J$15)*'[6]Set Up'!$N$16+'[6]Set Up'!$O$15,IF(S8&lt;'[6]Set Up'!$J$17,(S8-'[6]Set Up'!$J$16)*'[6]Set Up'!$N$17+'[6]Set Up'!$O$15+'[6]Set Up'!$O$16,(S8-'[6]Set Up'!$J$17)*'[6]Set Up'!$N$18 + SUM('[6]Set Up'!$O$15:'[6]Set Up'!$O$17)))))</f>
        <v>320.55686428983432</v>
      </c>
      <c r="T13" s="26">
        <f>IF(T8="","",IF(T8&lt;'[6]Set Up'!$J$15,T8*'[6]Set Up'!$N$15,IF(T8&lt;'[6]Set Up'!$J$16,(T8-'[6]Set Up'!$J$15)*'[6]Set Up'!$N$16+'[6]Set Up'!$O$15,IF(T8&lt;'[6]Set Up'!$J$17,(T8-'[6]Set Up'!$J$16)*'[6]Set Up'!$N$17+'[6]Set Up'!$O$15+'[6]Set Up'!$O$16,(T8-'[6]Set Up'!$J$17)*'[6]Set Up'!$N$18 + SUM('[6]Set Up'!$O$15:'[6]Set Up'!$O$17)))))</f>
        <v>317.63030047779444</v>
      </c>
      <c r="U13" s="26">
        <f>IF(U8="","",IF(U8&lt;'[6]Set Up'!$J$15,U8*'[6]Set Up'!$N$15,IF(U8&lt;'[6]Set Up'!$J$16,(U8-'[6]Set Up'!$J$15)*'[6]Set Up'!$N$16+'[6]Set Up'!$O$15,IF(U8&lt;'[6]Set Up'!$J$17,(U8-'[6]Set Up'!$J$16)*'[6]Set Up'!$N$17+'[6]Set Up'!$O$15+'[6]Set Up'!$O$16,(U8-'[6]Set Up'!$J$17)*'[6]Set Up'!$N$18 + SUM('[6]Set Up'!$O$15:'[6]Set Up'!$O$17)))))</f>
        <v>314.61414797763098</v>
      </c>
      <c r="V13" s="26">
        <f>IF(V8="","",IF(V8&lt;'[6]Set Up'!$J$15,V8*'[6]Set Up'!$N$15,IF(V8&lt;'[6]Set Up'!$J$16,(V8-'[6]Set Up'!$J$15)*'[6]Set Up'!$N$16+'[6]Set Up'!$O$15,IF(V8&lt;'[6]Set Up'!$J$17,(V8-'[6]Set Up'!$J$16)*'[6]Set Up'!$N$17+'[6]Set Up'!$O$15+'[6]Set Up'!$O$16,(V8-'[6]Set Up'!$J$17)*'[6]Set Up'!$N$18 + SUM('[6]Set Up'!$O$15:'[6]Set Up'!$O$17)))))</f>
        <v>311.65772126954994</v>
      </c>
      <c r="W13" s="26">
        <f>IF(W8="","",IF(W8&lt;'[6]Set Up'!$J$15,W8*'[6]Set Up'!$N$15,IF(W8&lt;'[6]Set Up'!$J$16,(W8-'[6]Set Up'!$J$15)*'[6]Set Up'!$N$16+'[6]Set Up'!$O$15,IF(W8&lt;'[6]Set Up'!$J$17,(W8-'[6]Set Up'!$J$16)*'[6]Set Up'!$N$17+'[6]Set Up'!$O$15+'[6]Set Up'!$O$16,(W8-'[6]Set Up'!$J$17)*'[6]Set Up'!$N$18 + SUM('[6]Set Up'!$O$15:'[6]Set Up'!$O$17)))))</f>
        <v>308.68636311344824</v>
      </c>
      <c r="X13" s="26">
        <f>IF(X8="","",IF(X8&lt;'[6]Set Up'!$J$15,X8*'[6]Set Up'!$N$15,IF(X8&lt;'[6]Set Up'!$J$16,(X8-'[6]Set Up'!$J$15)*'[6]Set Up'!$N$16+'[6]Set Up'!$O$15,IF(X8&lt;'[6]Set Up'!$J$17,(X8-'[6]Set Up'!$J$16)*'[6]Set Up'!$N$17+'[6]Set Up'!$O$15+'[6]Set Up'!$O$16,(X8-'[6]Set Up'!$J$17)*'[6]Set Up'!$N$18 + SUM('[6]Set Up'!$O$15:'[6]Set Up'!$O$17)))))</f>
        <v>305.71500495734659</v>
      </c>
      <c r="Y13" s="26">
        <f>IF(Y8="","",IF(Y8&lt;'[6]Set Up'!$J$15,Y8*'[6]Set Up'!$N$15,IF(Y8&lt;'[6]Set Up'!$J$16,(Y8-'[6]Set Up'!$J$15)*'[6]Set Up'!$N$16+'[6]Set Up'!$O$15,IF(Y8&lt;'[6]Set Up'!$J$17,(Y8-'[6]Set Up'!$J$16)*'[6]Set Up'!$N$17+'[6]Set Up'!$O$15+'[6]Set Up'!$O$16,(Y8-'[6]Set Up'!$J$17)*'[6]Set Up'!$N$18 + SUM('[6]Set Up'!$O$15:'[6]Set Up'!$O$17)))))</f>
        <v>302.74364680124489</v>
      </c>
      <c r="Z13" s="26">
        <f>IF(Z8="","",IF(Z8&lt;'[6]Set Up'!$J$15,Z8*'[6]Set Up'!$N$15,IF(Z8&lt;'[6]Set Up'!$J$16,(Z8-'[6]Set Up'!$J$15)*'[6]Set Up'!$N$16+'[6]Set Up'!$O$15,IF(Z8&lt;'[6]Set Up'!$J$17,(Z8-'[6]Set Up'!$J$16)*'[6]Set Up'!$N$17+'[6]Set Up'!$O$15+'[6]Set Up'!$O$16,(Z8-'[6]Set Up'!$J$17)*'[6]Set Up'!$N$18 + SUM('[6]Set Up'!$O$15:'[6]Set Up'!$O$17)))))</f>
        <v>299.78722009316385</v>
      </c>
      <c r="AA13" s="26">
        <f>IF(AA8="","",IF(AA8&lt;'[6]Set Up'!$J$15,AA8*'[6]Set Up'!$N$15,IF(AA8&lt;'[6]Set Up'!$J$16,(AA8-'[6]Set Up'!$J$15)*'[6]Set Up'!$N$16+'[6]Set Up'!$O$15,IF(AA8&lt;'[6]Set Up'!$J$17,(AA8-'[6]Set Up'!$J$16)*'[6]Set Up'!$N$17+'[6]Set Up'!$O$15+'[6]Set Up'!$O$16,(AA8-'[6]Set Up'!$J$17)*'[6]Set Up'!$N$18 + SUM('[6]Set Up'!$O$15:'[6]Set Up'!$O$17)))))</f>
        <v>296.81586193706221</v>
      </c>
      <c r="AB13" s="26">
        <f>IF(AB8="","",IF(AB8&lt;'[6]Set Up'!$J$15,AB8*'[6]Set Up'!$N$15,IF(AB8&lt;'[6]Set Up'!$J$16,(AB8-'[6]Set Up'!$J$15)*'[6]Set Up'!$N$16+'[6]Set Up'!$O$15,IF(AB8&lt;'[6]Set Up'!$J$17,(AB8-'[6]Set Up'!$J$16)*'[6]Set Up'!$N$17+'[6]Set Up'!$O$15+'[6]Set Up'!$O$16,(AB8-'[6]Set Up'!$J$17)*'[6]Set Up'!$N$18 + SUM('[6]Set Up'!$O$15:'[6]Set Up'!$O$17)))))</f>
        <v>293.84450378096051</v>
      </c>
      <c r="AC13" s="26">
        <f>IF(AC8="","",IF(AC8&lt;'[6]Set Up'!$J$15,AC8*'[6]Set Up'!$N$15,IF(AC8&lt;'[6]Set Up'!$J$16,(AC8-'[6]Set Up'!$J$15)*'[6]Set Up'!$N$16+'[6]Set Up'!$O$15,IF(AC8&lt;'[6]Set Up'!$J$17,(AC8-'[6]Set Up'!$J$16)*'[6]Set Up'!$N$17+'[6]Set Up'!$O$15+'[6]Set Up'!$O$16,(AC8-'[6]Set Up'!$J$17)*'[6]Set Up'!$N$18 + SUM('[6]Set Up'!$O$15:'[6]Set Up'!$O$17)))))</f>
        <v>290.87314562485886</v>
      </c>
      <c r="AD13" s="26">
        <f>IF(AD8="","",IF(AD8&lt;'[6]Set Up'!$J$15,AD8*'[6]Set Up'!$N$15,IF(AD8&lt;'[6]Set Up'!$J$16,(AD8-'[6]Set Up'!$J$15)*'[6]Set Up'!$N$16+'[6]Set Up'!$O$15,IF(AD8&lt;'[6]Set Up'!$J$17,(AD8-'[6]Set Up'!$J$16)*'[6]Set Up'!$N$17+'[6]Set Up'!$O$15+'[6]Set Up'!$O$16,(AD8-'[6]Set Up'!$J$17)*'[6]Set Up'!$N$18 + SUM('[6]Set Up'!$O$15:'[6]Set Up'!$O$17)))))</f>
        <v>287.91671891677777</v>
      </c>
      <c r="AE13" s="26">
        <f>IF(AE8="","",IF(AE8&lt;'[6]Set Up'!$J$15,AE8*'[6]Set Up'!$N$15,IF(AE8&lt;'[6]Set Up'!$J$16,(AE8-'[6]Set Up'!$J$15)*'[6]Set Up'!$N$16+'[6]Set Up'!$O$15,IF(AE8&lt;'[6]Set Up'!$J$17,(AE8-'[6]Set Up'!$J$16)*'[6]Set Up'!$N$17+'[6]Set Up'!$O$15+'[6]Set Up'!$O$16,(AE8-'[6]Set Up'!$J$17)*'[6]Set Up'!$N$18 + SUM('[6]Set Up'!$O$15:'[6]Set Up'!$O$17)))))</f>
        <v>284.94536076067612</v>
      </c>
      <c r="AF13" s="26">
        <f>IF(AF8="","",IF(AF8&lt;'[6]Set Up'!$J$15,AF8*'[6]Set Up'!$N$15,IF(AF8&lt;'[6]Set Up'!$J$16,(AF8-'[6]Set Up'!$J$15)*'[6]Set Up'!$N$16+'[6]Set Up'!$O$15,IF(AF8&lt;'[6]Set Up'!$J$17,(AF8-'[6]Set Up'!$J$16)*'[6]Set Up'!$N$17+'[6]Set Up'!$O$15+'[6]Set Up'!$O$16,(AF8-'[6]Set Up'!$J$17)*'[6]Set Up'!$N$18 + SUM('[6]Set Up'!$O$15:'[6]Set Up'!$O$17)))))</f>
        <v>281.97400260457448</v>
      </c>
      <c r="AG13" s="26">
        <f>IF(AG8="","",IF(AG8&lt;'[6]Set Up'!$J$15,AG8*'[6]Set Up'!$N$15,IF(AG8&lt;'[6]Set Up'!$J$16,(AG8-'[6]Set Up'!$J$15)*'[6]Set Up'!$N$16+'[6]Set Up'!$O$15,IF(AG8&lt;'[6]Set Up'!$J$17,(AG8-'[6]Set Up'!$J$16)*'[6]Set Up'!$N$17+'[6]Set Up'!$O$15+'[6]Set Up'!$O$16,(AG8-'[6]Set Up'!$J$17)*'[6]Set Up'!$N$18 + SUM('[6]Set Up'!$O$15:'[6]Set Up'!$O$17)))))</f>
        <v>279.00264444847278</v>
      </c>
      <c r="AH13" s="26">
        <f>IF(AH8="","",IF(AH8&lt;'[6]Set Up'!$J$15,AH8*'[6]Set Up'!$N$15,IF(AH8&lt;'[6]Set Up'!$J$16,(AH8-'[6]Set Up'!$J$15)*'[6]Set Up'!$N$16+'[6]Set Up'!$O$15,IF(AH8&lt;'[6]Set Up'!$J$17,(AH8-'[6]Set Up'!$J$16)*'[6]Set Up'!$N$17+'[6]Set Up'!$O$15+'[6]Set Up'!$O$16,(AH8-'[6]Set Up'!$J$17)*'[6]Set Up'!$N$18 + SUM('[6]Set Up'!$O$15:'[6]Set Up'!$O$17)))))</f>
        <v>276.04621774039174</v>
      </c>
      <c r="AI13" s="26">
        <f>IF(AI8="","",IF(AI8&lt;'[6]Set Up'!$J$15,AI8*'[6]Set Up'!$N$15,IF(AI8&lt;'[6]Set Up'!$J$16,(AI8-'[6]Set Up'!$J$15)*'[6]Set Up'!$N$16+'[6]Set Up'!$O$15,IF(AI8&lt;'[6]Set Up'!$J$17,(AI8-'[6]Set Up'!$J$16)*'[6]Set Up'!$N$17+'[6]Set Up'!$O$15+'[6]Set Up'!$O$16,(AI8-'[6]Set Up'!$J$17)*'[6]Set Up'!$N$18 + SUM('[6]Set Up'!$O$15:'[6]Set Up'!$O$17)))))</f>
        <v>273.07485958429004</v>
      </c>
      <c r="AJ13" s="26">
        <f>IF(AJ8="","",IF(AJ8&lt;'[6]Set Up'!$J$15,AJ8*'[6]Set Up'!$N$15,IF(AJ8&lt;'[6]Set Up'!$J$16,(AJ8-'[6]Set Up'!$J$15)*'[6]Set Up'!$N$16+'[6]Set Up'!$O$15,IF(AJ8&lt;'[6]Set Up'!$J$17,(AJ8-'[6]Set Up'!$J$16)*'[6]Set Up'!$N$17+'[6]Set Up'!$O$15+'[6]Set Up'!$O$16,(AJ8-'[6]Set Up'!$J$17)*'[6]Set Up'!$N$18 + SUM('[6]Set Up'!$O$15:'[6]Set Up'!$O$17)))))</f>
        <v>270.10350142818839</v>
      </c>
      <c r="AK13" s="26">
        <f>IF(AK8="","",IF(AK8&lt;'[6]Set Up'!$J$15,AK8*'[6]Set Up'!$N$15,IF(AK8&lt;'[6]Set Up'!$J$16,(AK8-'[6]Set Up'!$J$15)*'[6]Set Up'!$N$16+'[6]Set Up'!$O$15,IF(AK8&lt;'[6]Set Up'!$J$17,(AK8-'[6]Set Up'!$J$16)*'[6]Set Up'!$N$17+'[6]Set Up'!$O$15+'[6]Set Up'!$O$16,(AK8-'[6]Set Up'!$J$17)*'[6]Set Up'!$N$18 + SUM('[6]Set Up'!$O$15:'[6]Set Up'!$O$17)))))</f>
        <v>0</v>
      </c>
      <c r="AL13" s="26">
        <f>IF(AL8="","",IF(AL8&lt;'[6]Set Up'!$J$15,AL8*'[6]Set Up'!$N$15,IF(AL8&lt;'[6]Set Up'!$J$16,(AL8-'[6]Set Up'!$J$15)*'[6]Set Up'!$N$16+'[6]Set Up'!$O$15,IF(AL8&lt;'[6]Set Up'!$J$17,(AL8-'[6]Set Up'!$J$16)*'[6]Set Up'!$N$17+'[6]Set Up'!$O$15+'[6]Set Up'!$O$16,(AL8-'[6]Set Up'!$J$17)*'[6]Set Up'!$N$18 + SUM('[6]Set Up'!$O$15:'[6]Set Up'!$O$17)))))</f>
        <v>0</v>
      </c>
      <c r="AM13" s="26">
        <f>IF(AM8="","",IF(AM8&lt;'[6]Set Up'!$J$15,AM8*'[6]Set Up'!$N$15,IF(AM8&lt;'[6]Set Up'!$J$16,(AM8-'[6]Set Up'!$J$15)*'[6]Set Up'!$N$16+'[6]Set Up'!$O$15,IF(AM8&lt;'[6]Set Up'!$J$17,(AM8-'[6]Set Up'!$J$16)*'[6]Set Up'!$N$17+'[6]Set Up'!$O$15+'[6]Set Up'!$O$16,(AM8-'[6]Set Up'!$J$17)*'[6]Set Up'!$N$18 + SUM('[6]Set Up'!$O$15:'[6]Set Up'!$O$17)))))</f>
        <v>0</v>
      </c>
      <c r="AN13" s="26">
        <f>IF(AN8="","",IF(AN8&lt;'[6]Set Up'!$J$15,AN8*'[6]Set Up'!$N$15,IF(AN8&lt;'[6]Set Up'!$J$16,(AN8-'[6]Set Up'!$J$15)*'[6]Set Up'!$N$16+'[6]Set Up'!$O$15,IF(AN8&lt;'[6]Set Up'!$J$17,(AN8-'[6]Set Up'!$J$16)*'[6]Set Up'!$N$17+'[6]Set Up'!$O$15+'[6]Set Up'!$O$16,(AN8-'[6]Set Up'!$J$17)*'[6]Set Up'!$N$18 + SUM('[6]Set Up'!$O$15:'[6]Set Up'!$O$17)))))</f>
        <v>0</v>
      </c>
      <c r="AO13" s="26">
        <f>IF(AO8="","",IF(AO8&lt;'[6]Set Up'!$J$15,AO8*'[6]Set Up'!$N$15,IF(AO8&lt;'[6]Set Up'!$J$16,(AO8-'[6]Set Up'!$J$15)*'[6]Set Up'!$N$16+'[6]Set Up'!$O$15,IF(AO8&lt;'[6]Set Up'!$J$17,(AO8-'[6]Set Up'!$J$16)*'[6]Set Up'!$N$17+'[6]Set Up'!$O$15+'[6]Set Up'!$O$16,(AO8-'[6]Set Up'!$J$17)*'[6]Set Up'!$N$18 + SUM('[6]Set Up'!$O$15:'[6]Set Up'!$O$17)))))</f>
        <v>0</v>
      </c>
      <c r="AP13" s="26">
        <f>IF(AP8="","",IF(AP8&lt;'[6]Set Up'!$J$15,AP8*'[6]Set Up'!$N$15,IF(AP8&lt;'[6]Set Up'!$J$16,(AP8-'[6]Set Up'!$J$15)*'[6]Set Up'!$N$16+'[6]Set Up'!$O$15,IF(AP8&lt;'[6]Set Up'!$J$17,(AP8-'[6]Set Up'!$J$16)*'[6]Set Up'!$N$17+'[6]Set Up'!$O$15+'[6]Set Up'!$O$16,(AP8-'[6]Set Up'!$J$17)*'[6]Set Up'!$N$18 + SUM('[6]Set Up'!$O$15:'[6]Set Up'!$O$17)))))</f>
        <v>0</v>
      </c>
      <c r="AQ13" s="26">
        <f>IF(AQ8="","",IF(AQ8&lt;'[6]Set Up'!$J$15,AQ8*'[6]Set Up'!$N$15,IF(AQ8&lt;'[6]Set Up'!$J$16,(AQ8-'[6]Set Up'!$J$15)*'[6]Set Up'!$N$16+'[6]Set Up'!$O$15,IF(AQ8&lt;'[6]Set Up'!$J$17,(AQ8-'[6]Set Up'!$J$16)*'[6]Set Up'!$N$17+'[6]Set Up'!$O$15+'[6]Set Up'!$O$16,(AQ8-'[6]Set Up'!$J$17)*'[6]Set Up'!$N$18 + SUM('[6]Set Up'!$O$15:'[6]Set Up'!$O$17)))))</f>
        <v>0</v>
      </c>
      <c r="AR13" s="26">
        <f>IF(AR8="","",IF(AR8&lt;'[6]Set Up'!$J$15,AR8*'[6]Set Up'!$N$15,IF(AR8&lt;'[6]Set Up'!$J$16,(AR8-'[6]Set Up'!$J$15)*'[6]Set Up'!$N$16+'[6]Set Up'!$O$15,IF(AR8&lt;'[6]Set Up'!$J$17,(AR8-'[6]Set Up'!$J$16)*'[6]Set Up'!$N$17+'[6]Set Up'!$O$15+'[6]Set Up'!$O$16,(AR8-'[6]Set Up'!$J$17)*'[6]Set Up'!$N$18 + SUM('[6]Set Up'!$O$15:'[6]Set Up'!$O$17)))))</f>
        <v>0</v>
      </c>
      <c r="AS13" s="26">
        <f>IF(AS8="","",IF(AS8&lt;'[6]Set Up'!$J$15,AS8*'[6]Set Up'!$N$15,IF(AS8&lt;'[6]Set Up'!$J$16,(AS8-'[6]Set Up'!$J$15)*'[6]Set Up'!$N$16+'[6]Set Up'!$O$15,IF(AS8&lt;'[6]Set Up'!$J$17,(AS8-'[6]Set Up'!$J$16)*'[6]Set Up'!$N$17+'[6]Set Up'!$O$15+'[6]Set Up'!$O$16,(AS8-'[6]Set Up'!$J$17)*'[6]Set Up'!$N$18 + SUM('[6]Set Up'!$O$15:'[6]Set Up'!$O$17)))))</f>
        <v>0</v>
      </c>
      <c r="AT13" s="26">
        <f>IF(AT8="","",IF(AT8&lt;'[6]Set Up'!$J$15,AT8*'[6]Set Up'!$N$15,IF(AT8&lt;'[6]Set Up'!$J$16,(AT8-'[6]Set Up'!$J$15)*'[6]Set Up'!$N$16+'[6]Set Up'!$O$15,IF(AT8&lt;'[6]Set Up'!$J$17,(AT8-'[6]Set Up'!$J$16)*'[6]Set Up'!$N$17+'[6]Set Up'!$O$15+'[6]Set Up'!$O$16,(AT8-'[6]Set Up'!$J$17)*'[6]Set Up'!$N$18 + SUM('[6]Set Up'!$O$15:'[6]Set Up'!$O$17)))))</f>
        <v>0</v>
      </c>
      <c r="AU13" s="26">
        <f>IF(AU8="","",IF(AU8&lt;'[6]Set Up'!$J$15,AU8*'[6]Set Up'!$N$15,IF(AU8&lt;'[6]Set Up'!$J$16,(AU8-'[6]Set Up'!$J$15)*'[6]Set Up'!$N$16+'[6]Set Up'!$O$15,IF(AU8&lt;'[6]Set Up'!$J$17,(AU8-'[6]Set Up'!$J$16)*'[6]Set Up'!$N$17+'[6]Set Up'!$O$15+'[6]Set Up'!$O$16,(AU8-'[6]Set Up'!$J$17)*'[6]Set Up'!$N$18 + SUM('[6]Set Up'!$O$15:'[6]Set Up'!$O$17)))))</f>
        <v>0</v>
      </c>
      <c r="AV13" s="26">
        <f>IF(AV8="","",IF(AV8&lt;'[6]Set Up'!$J$15,AV8*'[6]Set Up'!$N$15,IF(AV8&lt;'[6]Set Up'!$J$16,(AV8-'[6]Set Up'!$J$15)*'[6]Set Up'!$N$16+'[6]Set Up'!$O$15,IF(AV8&lt;'[6]Set Up'!$J$17,(AV8-'[6]Set Up'!$J$16)*'[6]Set Up'!$N$17+'[6]Set Up'!$O$15+'[6]Set Up'!$O$16,(AV8-'[6]Set Up'!$J$17)*'[6]Set Up'!$N$18 + SUM('[6]Set Up'!$O$15:'[6]Set Up'!$O$17)))))</f>
        <v>0</v>
      </c>
      <c r="AW13" s="26">
        <f>IF(AW8="","",IF(AW8&lt;'[6]Set Up'!$J$15,AW8*'[6]Set Up'!$N$15,IF(AW8&lt;'[6]Set Up'!$J$16,(AW8-'[6]Set Up'!$J$15)*'[6]Set Up'!$N$16+'[6]Set Up'!$O$15,IF(AW8&lt;'[6]Set Up'!$J$17,(AW8-'[6]Set Up'!$J$16)*'[6]Set Up'!$N$17+'[6]Set Up'!$O$15+'[6]Set Up'!$O$16,(AW8-'[6]Set Up'!$J$17)*'[6]Set Up'!$N$18 + SUM('[6]Set Up'!$O$15:'[6]Set Up'!$O$17)))))</f>
        <v>0</v>
      </c>
      <c r="AX13" s="26">
        <f>IF(AX8="","",IF(AX8&lt;'[6]Set Up'!$J$15,AX8*'[6]Set Up'!$N$15,IF(AX8&lt;'[6]Set Up'!$J$16,(AX8-'[6]Set Up'!$J$15)*'[6]Set Up'!$N$16+'[6]Set Up'!$O$15,IF(AX8&lt;'[6]Set Up'!$J$17,(AX8-'[6]Set Up'!$J$16)*'[6]Set Up'!$N$17+'[6]Set Up'!$O$15+'[6]Set Up'!$O$16,(AX8-'[6]Set Up'!$J$17)*'[6]Set Up'!$N$18 + SUM('[6]Set Up'!$O$15:'[6]Set Up'!$O$17)))))</f>
        <v>0</v>
      </c>
      <c r="AY13" s="26">
        <f>IF(AY8="","",IF(AY8&lt;'[6]Set Up'!$J$15,AY8*'[6]Set Up'!$N$15,IF(AY8&lt;'[6]Set Up'!$J$16,(AY8-'[6]Set Up'!$J$15)*'[6]Set Up'!$N$16+'[6]Set Up'!$O$15,IF(AY8&lt;'[6]Set Up'!$J$17,(AY8-'[6]Set Up'!$J$16)*'[6]Set Up'!$N$17+'[6]Set Up'!$O$15+'[6]Set Up'!$O$16,(AY8-'[6]Set Up'!$J$17)*'[6]Set Up'!$N$18 + SUM('[6]Set Up'!$O$15:'[6]Set Up'!$O$17)))))</f>
        <v>0</v>
      </c>
      <c r="AZ13" s="26">
        <f>IF(AZ8="","",IF(AZ8&lt;'[6]Set Up'!$J$15,AZ8*'[6]Set Up'!$N$15,IF(AZ8&lt;'[6]Set Up'!$J$16,(AZ8-'[6]Set Up'!$J$15)*'[6]Set Up'!$N$16+'[6]Set Up'!$O$15,IF(AZ8&lt;'[6]Set Up'!$J$17,(AZ8-'[6]Set Up'!$J$16)*'[6]Set Up'!$N$17+'[6]Set Up'!$O$15+'[6]Set Up'!$O$16,(AZ8-'[6]Set Up'!$J$17)*'[6]Set Up'!$N$18 + SUM('[6]Set Up'!$O$15:'[6]Set Up'!$O$17)))))</f>
        <v>0</v>
      </c>
      <c r="BA13" s="26">
        <f>IF(BA8="","",IF(BA8&lt;'[6]Set Up'!$J$15,BA8*'[6]Set Up'!$N$15,IF(BA8&lt;'[6]Set Up'!$J$16,(BA8-'[6]Set Up'!$J$15)*'[6]Set Up'!$N$16+'[6]Set Up'!$O$15,IF(BA8&lt;'[6]Set Up'!$J$17,(BA8-'[6]Set Up'!$J$16)*'[6]Set Up'!$N$17+'[6]Set Up'!$O$15+'[6]Set Up'!$O$16,(BA8-'[6]Set Up'!$J$17)*'[6]Set Up'!$N$18 + SUM('[6]Set Up'!$O$15:'[6]Set Up'!$O$17)))))</f>
        <v>0</v>
      </c>
      <c r="BB13" s="26">
        <f>IF(BB8="","",IF(BB8&lt;'[6]Set Up'!$J$15,BB8*'[6]Set Up'!$N$15,IF(BB8&lt;'[6]Set Up'!$J$16,(BB8-'[6]Set Up'!$J$15)*'[6]Set Up'!$N$16+'[6]Set Up'!$O$15,IF(BB8&lt;'[6]Set Up'!$J$17,(BB8-'[6]Set Up'!$J$16)*'[6]Set Up'!$N$17+'[6]Set Up'!$O$15+'[6]Set Up'!$O$16,(BB8-'[6]Set Up'!$J$17)*'[6]Set Up'!$N$18 + SUM('[6]Set Up'!$O$15:'[6]Set Up'!$O$17)))))</f>
        <v>0</v>
      </c>
      <c r="BC13" s="26">
        <f>IF(BC8="","",IF(BC8&lt;'[6]Set Up'!$J$15,BC8*'[6]Set Up'!$N$15,IF(BC8&lt;'[6]Set Up'!$J$16,(BC8-'[6]Set Up'!$J$15)*'[6]Set Up'!$N$16+'[6]Set Up'!$O$15,IF(BC8&lt;'[6]Set Up'!$J$17,(BC8-'[6]Set Up'!$J$16)*'[6]Set Up'!$N$17+'[6]Set Up'!$O$15+'[6]Set Up'!$O$16,(BC8-'[6]Set Up'!$J$17)*'[6]Set Up'!$N$18 + SUM('[6]Set Up'!$O$15:'[6]Set Up'!$O$17)))))</f>
        <v>0</v>
      </c>
      <c r="BD13" s="26">
        <f>IF(BD8="","",IF(BD8&lt;'[6]Set Up'!$J$15,BD8*'[6]Set Up'!$N$15,IF(BD8&lt;'[6]Set Up'!$J$16,(BD8-'[6]Set Up'!$J$15)*'[6]Set Up'!$N$16+'[6]Set Up'!$O$15,IF(BD8&lt;'[6]Set Up'!$J$17,(BD8-'[6]Set Up'!$J$16)*'[6]Set Up'!$N$17+'[6]Set Up'!$O$15+'[6]Set Up'!$O$16,(BD8-'[6]Set Up'!$J$17)*'[6]Set Up'!$N$18 + SUM('[6]Set Up'!$O$15:'[6]Set Up'!$O$17)))))</f>
        <v>0</v>
      </c>
      <c r="BE13" s="26">
        <f>IF(BE8="","",IF(BE8&lt;'[6]Set Up'!$J$15,BE8*'[6]Set Up'!$N$15,IF(BE8&lt;'[6]Set Up'!$J$16,(BE8-'[6]Set Up'!$J$15)*'[6]Set Up'!$N$16+'[6]Set Up'!$O$15,IF(BE8&lt;'[6]Set Up'!$J$17,(BE8-'[6]Set Up'!$J$16)*'[6]Set Up'!$N$17+'[6]Set Up'!$O$15+'[6]Set Up'!$O$16,(BE8-'[6]Set Up'!$J$17)*'[6]Set Up'!$N$18 + SUM('[6]Set Up'!$O$15:'[6]Set Up'!$O$17)))))</f>
        <v>0</v>
      </c>
      <c r="BF13" s="26">
        <f>IF(BF8="","",IF(BF8&lt;'[6]Set Up'!$J$15,BF8*'[6]Set Up'!$N$15,IF(BF8&lt;'[6]Set Up'!$J$16,(BF8-'[6]Set Up'!$J$15)*'[6]Set Up'!$N$16+'[6]Set Up'!$O$15,IF(BF8&lt;'[6]Set Up'!$J$17,(BF8-'[6]Set Up'!$J$16)*'[6]Set Up'!$N$17+'[6]Set Up'!$O$15+'[6]Set Up'!$O$16,(BF8-'[6]Set Up'!$J$17)*'[6]Set Up'!$N$18 + SUM('[6]Set Up'!$O$15:'[6]Set Up'!$O$17)))))</f>
        <v>0</v>
      </c>
      <c r="BG13" s="26">
        <f>IF(BG8="","",IF(BG8&lt;'[6]Set Up'!$J$15,BG8*'[6]Set Up'!$N$15,IF(BG8&lt;'[6]Set Up'!$J$16,(BG8-'[6]Set Up'!$J$15)*'[6]Set Up'!$N$16+'[6]Set Up'!$O$15,IF(BG8&lt;'[6]Set Up'!$J$17,(BG8-'[6]Set Up'!$J$16)*'[6]Set Up'!$N$17+'[6]Set Up'!$O$15+'[6]Set Up'!$O$16,(BG8-'[6]Set Up'!$J$17)*'[6]Set Up'!$N$18 + SUM('[6]Set Up'!$O$15:'[6]Set Up'!$O$17)))))</f>
        <v>0</v>
      </c>
      <c r="BH13" s="26">
        <f>IF(BH8="","",IF(BH8&lt;'[6]Set Up'!$J$15,BH8*'[6]Set Up'!$N$15,IF(BH8&lt;'[6]Set Up'!$J$16,(BH8-'[6]Set Up'!$J$15)*'[6]Set Up'!$N$16+'[6]Set Up'!$O$15,IF(BH8&lt;'[6]Set Up'!$J$17,(BH8-'[6]Set Up'!$J$16)*'[6]Set Up'!$N$17+'[6]Set Up'!$O$15+'[6]Set Up'!$O$16,(BH8-'[6]Set Up'!$J$17)*'[6]Set Up'!$N$18 + SUM('[6]Set Up'!$O$15:'[6]Set Up'!$O$17)))))</f>
        <v>0</v>
      </c>
      <c r="BI13" s="26">
        <f>IF(BI8="","",IF(BI8&lt;'[6]Set Up'!$J$15,BI8*'[6]Set Up'!$N$15,IF(BI8&lt;'[6]Set Up'!$J$16,(BI8-'[6]Set Up'!$J$15)*'[6]Set Up'!$N$16+'[6]Set Up'!$O$15,IF(BI8&lt;'[6]Set Up'!$J$17,(BI8-'[6]Set Up'!$J$16)*'[6]Set Up'!$N$17+'[6]Set Up'!$O$15+'[6]Set Up'!$O$16,(BI8-'[6]Set Up'!$J$17)*'[6]Set Up'!$N$18 + SUM('[6]Set Up'!$O$15:'[6]Set Up'!$O$17)))))</f>
        <v>0</v>
      </c>
      <c r="BJ13" s="26">
        <f>IF(BJ8="","",IF(BJ8&lt;'[6]Set Up'!$J$15,BJ8*'[6]Set Up'!$N$15,IF(BJ8&lt;'[6]Set Up'!$J$16,(BJ8-'[6]Set Up'!$J$15)*'[6]Set Up'!$N$16+'[6]Set Up'!$O$15,IF(BJ8&lt;'[6]Set Up'!$J$17,(BJ8-'[6]Set Up'!$J$16)*'[6]Set Up'!$N$17+'[6]Set Up'!$O$15+'[6]Set Up'!$O$16,(BJ8-'[6]Set Up'!$J$17)*'[6]Set Up'!$N$18 + SUM('[6]Set Up'!$O$15:'[6]Set Up'!$O$17)))))</f>
        <v>0</v>
      </c>
      <c r="BK13" s="26">
        <f>IF(BK8="","",IF(BK8&lt;'[6]Set Up'!$J$15,BK8*'[6]Set Up'!$N$15,IF(BK8&lt;'[6]Set Up'!$J$16,(BK8-'[6]Set Up'!$J$15)*'[6]Set Up'!$N$16+'[6]Set Up'!$O$15,IF(BK8&lt;'[6]Set Up'!$J$17,(BK8-'[6]Set Up'!$J$16)*'[6]Set Up'!$N$17+'[6]Set Up'!$O$15+'[6]Set Up'!$O$16,(BK8-'[6]Set Up'!$J$17)*'[6]Set Up'!$N$18 + SUM('[6]Set Up'!$O$15:'[6]Set Up'!$O$17)))))</f>
        <v>0</v>
      </c>
      <c r="BL13" s="26">
        <f>IF(BL8="","",IF(BL8&lt;'[6]Set Up'!$J$15,BL8*'[6]Set Up'!$N$15,IF(BL8&lt;'[6]Set Up'!$J$16,(BL8-'[6]Set Up'!$J$15)*'[6]Set Up'!$N$16+'[6]Set Up'!$O$15,IF(BL8&lt;'[6]Set Up'!$J$17,(BL8-'[6]Set Up'!$J$16)*'[6]Set Up'!$N$17+'[6]Set Up'!$O$15+'[6]Set Up'!$O$16,(BL8-'[6]Set Up'!$J$17)*'[6]Set Up'!$N$18 + SUM('[6]Set Up'!$O$15:'[6]Set Up'!$O$17)))))</f>
        <v>0</v>
      </c>
      <c r="BM13" s="26">
        <f>IF(BM8="","",IF(BM8&lt;'[6]Set Up'!$J$15,BM8*'[6]Set Up'!$N$15,IF(BM8&lt;'[6]Set Up'!$J$16,(BM8-'[6]Set Up'!$J$15)*'[6]Set Up'!$N$16+'[6]Set Up'!$O$15,IF(BM8&lt;'[6]Set Up'!$J$17,(BM8-'[6]Set Up'!$J$16)*'[6]Set Up'!$N$17+'[6]Set Up'!$O$15+'[6]Set Up'!$O$16,(BM8-'[6]Set Up'!$J$17)*'[6]Set Up'!$N$18 + SUM('[6]Set Up'!$O$15:'[6]Set Up'!$O$17)))))</f>
        <v>0</v>
      </c>
      <c r="BN13" s="26">
        <f>IF(BN8="","",IF(BN8&lt;'[6]Set Up'!$J$15,BN8*'[6]Set Up'!$N$15,IF(BN8&lt;'[6]Set Up'!$J$16,(BN8-'[6]Set Up'!$J$15)*'[6]Set Up'!$N$16+'[6]Set Up'!$O$15,IF(BN8&lt;'[6]Set Up'!$J$17,(BN8-'[6]Set Up'!$J$16)*'[6]Set Up'!$N$17+'[6]Set Up'!$O$15+'[6]Set Up'!$O$16,(BN8-'[6]Set Up'!$J$17)*'[6]Set Up'!$N$18 + SUM('[6]Set Up'!$O$15:'[6]Set Up'!$O$17)))))</f>
        <v>0</v>
      </c>
      <c r="BO13" s="26">
        <f>IF(BO8="","",IF(BO8&lt;'[6]Set Up'!$J$15,BO8*'[6]Set Up'!$N$15,IF(BO8&lt;'[6]Set Up'!$J$16,(BO8-'[6]Set Up'!$J$15)*'[6]Set Up'!$N$16+'[6]Set Up'!$O$15,IF(BO8&lt;'[6]Set Up'!$J$17,(BO8-'[6]Set Up'!$J$16)*'[6]Set Up'!$N$17+'[6]Set Up'!$O$15+'[6]Set Up'!$O$16,(BO8-'[6]Set Up'!$J$17)*'[6]Set Up'!$N$18 + SUM('[6]Set Up'!$O$15:'[6]Set Up'!$O$17)))))</f>
        <v>0</v>
      </c>
      <c r="BP13" s="26">
        <f>IF(BP8="","",IF(BP8&lt;'[6]Set Up'!$J$15,BP8*'[6]Set Up'!$N$15,IF(BP8&lt;'[6]Set Up'!$J$16,(BP8-'[6]Set Up'!$J$15)*'[6]Set Up'!$N$16+'[6]Set Up'!$O$15,IF(BP8&lt;'[6]Set Up'!$J$17,(BP8-'[6]Set Up'!$J$16)*'[6]Set Up'!$N$17+'[6]Set Up'!$O$15+'[6]Set Up'!$O$16,(BP8-'[6]Set Up'!$J$17)*'[6]Set Up'!$N$18 + SUM('[6]Set Up'!$O$15:'[6]Set Up'!$O$17)))))</f>
        <v>0</v>
      </c>
      <c r="BQ13" s="26">
        <f>IF(BQ8="","",IF(BQ8&lt;'[6]Set Up'!$J$15,BQ8*'[6]Set Up'!$N$15,IF(BQ8&lt;'[6]Set Up'!$J$16,(BQ8-'[6]Set Up'!$J$15)*'[6]Set Up'!$N$16+'[6]Set Up'!$O$15,IF(BQ8&lt;'[6]Set Up'!$J$17,(BQ8-'[6]Set Up'!$J$16)*'[6]Set Up'!$N$17+'[6]Set Up'!$O$15+'[6]Set Up'!$O$16,(BQ8-'[6]Set Up'!$J$17)*'[6]Set Up'!$N$18 + SUM('[6]Set Up'!$O$15:'[6]Set Up'!$O$17)))))</f>
        <v>0</v>
      </c>
      <c r="BR13" s="26">
        <f>IF(BR8="","",IF(BR8&lt;'[6]Set Up'!$J$15,BR8*'[6]Set Up'!$N$15,IF(BR8&lt;'[6]Set Up'!$J$16,(BR8-'[6]Set Up'!$J$15)*'[6]Set Up'!$N$16+'[6]Set Up'!$O$15,IF(BR8&lt;'[6]Set Up'!$J$17,(BR8-'[6]Set Up'!$J$16)*'[6]Set Up'!$N$17+'[6]Set Up'!$O$15+'[6]Set Up'!$O$16,(BR8-'[6]Set Up'!$J$17)*'[6]Set Up'!$N$18 + SUM('[6]Set Up'!$O$15:'[6]Set Up'!$O$17)))))</f>
        <v>0</v>
      </c>
      <c r="BS13" s="26">
        <f>IF(BS8="","",IF(BS8&lt;'[6]Set Up'!$J$15,BS8*'[6]Set Up'!$N$15,IF(BS8&lt;'[6]Set Up'!$J$16,(BS8-'[6]Set Up'!$J$15)*'[6]Set Up'!$N$16+'[6]Set Up'!$O$15,IF(BS8&lt;'[6]Set Up'!$J$17,(BS8-'[6]Set Up'!$J$16)*'[6]Set Up'!$N$17+'[6]Set Up'!$O$15+'[6]Set Up'!$O$16,(BS8-'[6]Set Up'!$J$17)*'[6]Set Up'!$N$18 + SUM('[6]Set Up'!$O$15:'[6]Set Up'!$O$17)))))</f>
        <v>0</v>
      </c>
      <c r="BT13" s="26">
        <f>IF(BT8="","",IF(BT8&lt;'[6]Set Up'!$J$15,BT8*'[6]Set Up'!$N$15,IF(BT8&lt;'[6]Set Up'!$J$16,(BT8-'[6]Set Up'!$J$15)*'[6]Set Up'!$N$16+'[6]Set Up'!$O$15,IF(BT8&lt;'[6]Set Up'!$J$17,(BT8-'[6]Set Up'!$J$16)*'[6]Set Up'!$N$17+'[6]Set Up'!$O$15+'[6]Set Up'!$O$16,(BT8-'[6]Set Up'!$J$17)*'[6]Set Up'!$N$18 + SUM('[6]Set Up'!$O$15:'[6]Set Up'!$O$17)))))</f>
        <v>0</v>
      </c>
      <c r="BU13" s="26">
        <f>IF(BU8="","",IF(BU8&lt;'[6]Set Up'!$J$15,BU8*'[6]Set Up'!$N$15,IF(BU8&lt;'[6]Set Up'!$J$16,(BU8-'[6]Set Up'!$J$15)*'[6]Set Up'!$N$16+'[6]Set Up'!$O$15,IF(BU8&lt;'[6]Set Up'!$J$17,(BU8-'[6]Set Up'!$J$16)*'[6]Set Up'!$N$17+'[6]Set Up'!$O$15+'[6]Set Up'!$O$16,(BU8-'[6]Set Up'!$J$17)*'[6]Set Up'!$N$18 + SUM('[6]Set Up'!$O$15:'[6]Set Up'!$O$17)))))</f>
        <v>0</v>
      </c>
      <c r="BV13" s="26">
        <f>IF(BV8="","",IF(BV8&lt;'[6]Set Up'!$J$15,BV8*'[6]Set Up'!$N$15,IF(BV8&lt;'[6]Set Up'!$J$16,(BV8-'[6]Set Up'!$J$15)*'[6]Set Up'!$N$16+'[6]Set Up'!$O$15,IF(BV8&lt;'[6]Set Up'!$J$17,(BV8-'[6]Set Up'!$J$16)*'[6]Set Up'!$N$17+'[6]Set Up'!$O$15+'[6]Set Up'!$O$16,(BV8-'[6]Set Up'!$J$17)*'[6]Set Up'!$N$18 + SUM('[6]Set Up'!$O$15:'[6]Set Up'!$O$17)))))</f>
        <v>0</v>
      </c>
      <c r="BW13" s="26">
        <f>IF(BW8="","",IF(BW8&lt;'[6]Set Up'!$J$15,BW8*'[6]Set Up'!$N$15,IF(BW8&lt;'[6]Set Up'!$J$16,(BW8-'[6]Set Up'!$J$15)*'[6]Set Up'!$N$16+'[6]Set Up'!$O$15,IF(BW8&lt;'[6]Set Up'!$J$17,(BW8-'[6]Set Up'!$J$16)*'[6]Set Up'!$N$17+'[6]Set Up'!$O$15+'[6]Set Up'!$O$16,(BW8-'[6]Set Up'!$J$17)*'[6]Set Up'!$N$18 + SUM('[6]Set Up'!$O$15:'[6]Set Up'!$O$17)))))</f>
        <v>0</v>
      </c>
      <c r="BX13" s="26">
        <f>IF(BX8="","",IF(BX8&lt;'[6]Set Up'!$J$15,BX8*'[6]Set Up'!$N$15,IF(BX8&lt;'[6]Set Up'!$J$16,(BX8-'[6]Set Up'!$J$15)*'[6]Set Up'!$N$16+'[6]Set Up'!$O$15,IF(BX8&lt;'[6]Set Up'!$J$17,(BX8-'[6]Set Up'!$J$16)*'[6]Set Up'!$N$17+'[6]Set Up'!$O$15+'[6]Set Up'!$O$16,(BX8-'[6]Set Up'!$J$17)*'[6]Set Up'!$N$18 + SUM('[6]Set Up'!$O$15:'[6]Set Up'!$O$17)))))</f>
        <v>0</v>
      </c>
      <c r="BY13" s="26">
        <f>IF(BY8="","",IF(BY8&lt;'[6]Set Up'!$J$15,BY8*'[6]Set Up'!$N$15,IF(BY8&lt;'[6]Set Up'!$J$16,(BY8-'[6]Set Up'!$J$15)*'[6]Set Up'!$N$16+'[6]Set Up'!$O$15,IF(BY8&lt;'[6]Set Up'!$J$17,(BY8-'[6]Set Up'!$J$16)*'[6]Set Up'!$N$17+'[6]Set Up'!$O$15+'[6]Set Up'!$O$16,(BY8-'[6]Set Up'!$J$17)*'[6]Set Up'!$N$18 + SUM('[6]Set Up'!$O$15:'[6]Set Up'!$O$17)))))</f>
        <v>0</v>
      </c>
      <c r="BZ13" s="170"/>
    </row>
    <row r="14" spans="1:78" x14ac:dyDescent="0.35">
      <c r="A14" s="27" t="s">
        <v>21</v>
      </c>
      <c r="B14" s="195"/>
      <c r="C14" s="28">
        <f>IF(C9="","",IF(C9&lt;'[6]Set Up'!$J$15,C9*'[6]Set Up'!$N$15,IF(C9&lt;'[6]Set Up'!$J$16,(C9-'[6]Set Up'!$J$15)*'[6]Set Up'!$N$16+'[6]Set Up'!$O$15,IF(C9&lt;'[6]Set Up'!$J$17,(C9-'[6]Set Up'!$J$16)*'[6]Set Up'!$N$17+'[6]Set Up'!$O$15+'[6]Set Up'!$O$16,(C9-'[6]Set Up'!$J$17)*'[6]Set Up'!$N$18 + SUM('[6]Set Up'!$O$15:'[6]Set Up'!$O$17)))))</f>
        <v>428.25739886250426</v>
      </c>
      <c r="D14" s="28">
        <f>IF(D9="","",IF(D9&lt;'[6]Set Up'!$J$15,D9*'[6]Set Up'!$N$15,IF(D9&lt;'[6]Set Up'!$J$16,(D9-'[6]Set Up'!$J$15)*'[6]Set Up'!$N$16+'[6]Set Up'!$O$15,IF(D9&lt;'[6]Set Up'!$J$17,(D9-'[6]Set Up'!$J$16)*'[6]Set Up'!$N$17+'[6]Set Up'!$O$15+'[6]Set Up'!$O$16,(D9-'[6]Set Up'!$J$17)*'[6]Set Up'!$N$18 + SUM('[6]Set Up'!$O$15:'[6]Set Up'!$O$17)))))</f>
        <v>413.1617049136662</v>
      </c>
      <c r="E14" s="28">
        <f>IF(E9="","",IF(E9&lt;'[6]Set Up'!$J$15,E9*'[6]Set Up'!$N$15,IF(E9&lt;'[6]Set Up'!$J$16,(E9-'[6]Set Up'!$J$15)*'[6]Set Up'!$N$16+'[6]Set Up'!$O$15,IF(E9&lt;'[6]Set Up'!$J$17,(E9-'[6]Set Up'!$J$16)*'[6]Set Up'!$N$17+'[6]Set Up'!$O$15+'[6]Set Up'!$O$16,(E9-'[6]Set Up'!$J$17)*'[6]Set Up'!$N$18 + SUM('[6]Set Up'!$O$15:'[6]Set Up'!$O$17)))))</f>
        <v>398.05107951680748</v>
      </c>
      <c r="F14" s="28">
        <f>IF(F9="","",IF(F9&lt;'[6]Set Up'!$J$15,F9*'[6]Set Up'!$N$15,IF(F9&lt;'[6]Set Up'!$J$16,(F9-'[6]Set Up'!$J$15)*'[6]Set Up'!$N$16+'[6]Set Up'!$O$15,IF(F9&lt;'[6]Set Up'!$J$17,(F9-'[6]Set Up'!$J$16)*'[6]Set Up'!$N$17+'[6]Set Up'!$O$15+'[6]Set Up'!$O$16,(F9-'[6]Set Up'!$J$17)*'[6]Set Up'!$N$18 + SUM('[6]Set Up'!$O$15:'[6]Set Up'!$O$17)))))</f>
        <v>391.85452858825374</v>
      </c>
      <c r="G14" s="28">
        <f>IF(G9="","",IF(G9&lt;'[6]Set Up'!$J$15,G9*'[6]Set Up'!$N$15,IF(G9&lt;'[6]Set Up'!$J$16,(G9-'[6]Set Up'!$J$15)*'[6]Set Up'!$N$16+'[6]Set Up'!$O$15,IF(G9&lt;'[6]Set Up'!$J$17,(G9-'[6]Set Up'!$J$16)*'[6]Set Up'!$N$17+'[6]Set Up'!$O$15+'[6]Set Up'!$O$16,(G9-'[6]Set Up'!$J$17)*'[6]Set Up'!$N$18 + SUM('[6]Set Up'!$O$15:'[6]Set Up'!$O$17)))))</f>
        <v>382.9404541199487</v>
      </c>
      <c r="H14" s="28">
        <f>IF(H9="","",IF(H9&lt;'[6]Set Up'!$J$15,H9*'[6]Set Up'!$N$15,IF(H9&lt;'[6]Set Up'!$J$16,(H9-'[6]Set Up'!$J$15)*'[6]Set Up'!$N$16+'[6]Set Up'!$O$15,IF(H9&lt;'[6]Set Up'!$J$17,(H9-'[6]Set Up'!$J$16)*'[6]Set Up'!$N$17+'[6]Set Up'!$O$15+'[6]Set Up'!$O$16,(H9-'[6]Set Up'!$J$17)*'[6]Set Up'!$N$18 + SUM('[6]Set Up'!$O$15:'[6]Set Up'!$O$17)))))</f>
        <v>367.82982872308997</v>
      </c>
      <c r="I14" s="28">
        <f>IF(I9="","",IF(I9&lt;'[6]Set Up'!$J$15,I9*'[6]Set Up'!$N$15,IF(I9&lt;'[6]Set Up'!$J$16,(I9-'[6]Set Up'!$J$15)*'[6]Set Up'!$N$16+'[6]Set Up'!$O$15,IF(I9&lt;'[6]Set Up'!$J$17,(I9-'[6]Set Up'!$J$16)*'[6]Set Up'!$N$17+'[6]Set Up'!$O$15+'[6]Set Up'!$O$16,(I9-'[6]Set Up'!$J$17)*'[6]Set Up'!$N$18 + SUM('[6]Set Up'!$O$15:'[6]Set Up'!$O$17)))))</f>
        <v>352.61468319008696</v>
      </c>
      <c r="J14" s="28">
        <f>IF(J9="","",IF(J9&lt;'[6]Set Up'!$J$15,J9*'[6]Set Up'!$N$15,IF(J9&lt;'[6]Set Up'!$J$16,(J9-'[6]Set Up'!$J$15)*'[6]Set Up'!$N$16+'[6]Set Up'!$O$15,IF(J9&lt;'[6]Set Up'!$J$17,(J9-'[6]Set Up'!$J$16)*'[6]Set Up'!$N$17+'[6]Set Up'!$O$15+'[6]Set Up'!$O$16,(J9-'[6]Set Up'!$J$17)*'[6]Set Up'!$N$18 + SUM('[6]Set Up'!$O$15:'[6]Set Up'!$O$17)))))</f>
        <v>349.64332503398532</v>
      </c>
      <c r="K14" s="28">
        <f>IF(K9="","",IF(K9&lt;'[6]Set Up'!$J$15,K9*'[6]Set Up'!$N$15,IF(K9&lt;'[6]Set Up'!$J$16,(K9-'[6]Set Up'!$J$15)*'[6]Set Up'!$N$16+'[6]Set Up'!$O$15,IF(K9&lt;'[6]Set Up'!$J$17,(K9-'[6]Set Up'!$J$16)*'[6]Set Up'!$N$17+'[6]Set Up'!$O$15+'[6]Set Up'!$O$16,(K9-'[6]Set Up'!$J$17)*'[6]Set Up'!$N$18 + SUM('[6]Set Up'!$O$15:'[6]Set Up'!$O$17)))))</f>
        <v>346.68689832590422</v>
      </c>
      <c r="L14" s="28">
        <f>IF(L9="","",IF(L9&lt;'[6]Set Up'!$J$15,L9*'[6]Set Up'!$N$15,IF(L9&lt;'[6]Set Up'!$J$16,(L9-'[6]Set Up'!$J$15)*'[6]Set Up'!$N$16+'[6]Set Up'!$O$15,IF(L9&lt;'[6]Set Up'!$J$17,(L9-'[6]Set Up'!$J$16)*'[6]Set Up'!$N$17+'[6]Set Up'!$O$15+'[6]Set Up'!$O$16,(L9-'[6]Set Up'!$J$17)*'[6]Set Up'!$N$18 + SUM('[6]Set Up'!$O$15:'[6]Set Up'!$O$17)))))</f>
        <v>343.71554016980258</v>
      </c>
      <c r="M14" s="28">
        <f>IF(M9="","",IF(M9&lt;'[6]Set Up'!$J$15,M9*'[6]Set Up'!$N$15,IF(M9&lt;'[6]Set Up'!$J$16,(M9-'[6]Set Up'!$J$15)*'[6]Set Up'!$N$16+'[6]Set Up'!$O$15,IF(M9&lt;'[6]Set Up'!$J$17,(M9-'[6]Set Up'!$J$16)*'[6]Set Up'!$N$17+'[6]Set Up'!$O$15+'[6]Set Up'!$O$16,(M9-'[6]Set Up'!$J$17)*'[6]Set Up'!$N$18 + SUM('[6]Set Up'!$O$15:'[6]Set Up'!$O$17)))))</f>
        <v>340.74418201370088</v>
      </c>
      <c r="N14" s="28">
        <f>IF(N9="","",IF(N9&lt;'[6]Set Up'!$J$15,N9*'[6]Set Up'!$N$15,IF(N9&lt;'[6]Set Up'!$J$16,(N9-'[6]Set Up'!$J$15)*'[6]Set Up'!$N$16+'[6]Set Up'!$O$15,IF(N9&lt;'[6]Set Up'!$J$17,(N9-'[6]Set Up'!$J$16)*'[6]Set Up'!$N$17+'[6]Set Up'!$O$15+'[6]Set Up'!$O$16,(N9-'[6]Set Up'!$J$17)*'[6]Set Up'!$N$18 + SUM('[6]Set Up'!$O$15:'[6]Set Up'!$O$17)))))</f>
        <v>337.77282385759923</v>
      </c>
      <c r="O14" s="28">
        <f>IF(O9="","",IF(O9&lt;'[6]Set Up'!$J$15,O9*'[6]Set Up'!$N$15,IF(O9&lt;'[6]Set Up'!$J$16,(O9-'[6]Set Up'!$J$15)*'[6]Set Up'!$N$16+'[6]Set Up'!$O$15,IF(O9&lt;'[6]Set Up'!$J$17,(O9-'[6]Set Up'!$J$16)*'[6]Set Up'!$N$17+'[6]Set Up'!$O$15+'[6]Set Up'!$O$16,(O9-'[6]Set Up'!$J$17)*'[6]Set Up'!$N$18 + SUM('[6]Set Up'!$O$15:'[6]Set Up'!$O$17)))))</f>
        <v>334.8163971495182</v>
      </c>
      <c r="P14" s="28">
        <f>IF(P9="","",IF(P9&lt;'[6]Set Up'!$J$15,P9*'[6]Set Up'!$N$15,IF(P9&lt;'[6]Set Up'!$J$16,(P9-'[6]Set Up'!$J$15)*'[6]Set Up'!$N$16+'[6]Set Up'!$O$15,IF(P9&lt;'[6]Set Up'!$J$17,(P9-'[6]Set Up'!$J$16)*'[6]Set Up'!$N$17+'[6]Set Up'!$O$15+'[6]Set Up'!$O$16,(P9-'[6]Set Up'!$J$17)*'[6]Set Up'!$N$18 + SUM('[6]Set Up'!$O$15:'[6]Set Up'!$O$17)))))</f>
        <v>331.84503899341649</v>
      </c>
      <c r="Q14" s="28">
        <f>IF(Q9="","",IF(Q9&lt;'[6]Set Up'!$J$15,Q9*'[6]Set Up'!$N$15,IF(Q9&lt;'[6]Set Up'!$J$16,(Q9-'[6]Set Up'!$J$15)*'[6]Set Up'!$N$16+'[6]Set Up'!$O$15,IF(Q9&lt;'[6]Set Up'!$J$17,(Q9-'[6]Set Up'!$J$16)*'[6]Set Up'!$N$17+'[6]Set Up'!$O$15+'[6]Set Up'!$O$16,(Q9-'[6]Set Up'!$J$17)*'[6]Set Up'!$N$18 + SUM('[6]Set Up'!$O$15:'[6]Set Up'!$O$17)))))</f>
        <v>328.87368083731485</v>
      </c>
      <c r="R14" s="28">
        <f>IF(R9="","",IF(R9&lt;'[6]Set Up'!$J$15,R9*'[6]Set Up'!$N$15,IF(R9&lt;'[6]Set Up'!$J$16,(R9-'[6]Set Up'!$J$15)*'[6]Set Up'!$N$16+'[6]Set Up'!$O$15,IF(R9&lt;'[6]Set Up'!$J$17,(R9-'[6]Set Up'!$J$16)*'[6]Set Up'!$N$17+'[6]Set Up'!$O$15+'[6]Set Up'!$O$16,(R9-'[6]Set Up'!$J$17)*'[6]Set Up'!$N$18 + SUM('[6]Set Up'!$O$15:'[6]Set Up'!$O$17)))))</f>
        <v>325.90232268121315</v>
      </c>
      <c r="S14" s="28">
        <f>IF(S9="","",IF(S9&lt;'[6]Set Up'!$J$15,S9*'[6]Set Up'!$N$15,IF(S9&lt;'[6]Set Up'!$J$16,(S9-'[6]Set Up'!$J$15)*'[6]Set Up'!$N$16+'[6]Set Up'!$O$15,IF(S9&lt;'[6]Set Up'!$J$17,(S9-'[6]Set Up'!$J$16)*'[6]Set Up'!$N$17+'[6]Set Up'!$O$15+'[6]Set Up'!$O$16,(S9-'[6]Set Up'!$J$17)*'[6]Set Up'!$N$18 + SUM('[6]Set Up'!$O$15:'[6]Set Up'!$O$17)))))</f>
        <v>322.94589597313211</v>
      </c>
      <c r="T14" s="28">
        <f>IF(T9="","",IF(T9&lt;'[6]Set Up'!$J$15,T9*'[6]Set Up'!$N$15,IF(T9&lt;'[6]Set Up'!$J$16,(T9-'[6]Set Up'!$J$15)*'[6]Set Up'!$N$16+'[6]Set Up'!$O$15,IF(T9&lt;'[6]Set Up'!$J$17,(T9-'[6]Set Up'!$J$16)*'[6]Set Up'!$N$17+'[6]Set Up'!$O$15+'[6]Set Up'!$O$16,(T9-'[6]Set Up'!$J$17)*'[6]Set Up'!$N$18 + SUM('[6]Set Up'!$O$15:'[6]Set Up'!$O$17)))))</f>
        <v>319.97453781703047</v>
      </c>
      <c r="U14" s="28">
        <f>IF(U9="","",IF(U9&lt;'[6]Set Up'!$J$15,U9*'[6]Set Up'!$N$15,IF(U9&lt;'[6]Set Up'!$J$16,(U9-'[6]Set Up'!$J$15)*'[6]Set Up'!$N$16+'[6]Set Up'!$O$15,IF(U9&lt;'[6]Set Up'!$J$17,(U9-'[6]Set Up'!$J$16)*'[6]Set Up'!$N$17+'[6]Set Up'!$O$15+'[6]Set Up'!$O$16,(U9-'[6]Set Up'!$J$17)*'[6]Set Up'!$N$18 + SUM('[6]Set Up'!$O$15:'[6]Set Up'!$O$17)))))</f>
        <v>317.00317966092877</v>
      </c>
      <c r="V14" s="28">
        <f>IF(V9="","",IF(V9&lt;'[6]Set Up'!$J$15,V9*'[6]Set Up'!$N$15,IF(V9&lt;'[6]Set Up'!$J$16,(V9-'[6]Set Up'!$J$15)*'[6]Set Up'!$N$16+'[6]Set Up'!$O$15,IF(V9&lt;'[6]Set Up'!$J$17,(V9-'[6]Set Up'!$J$16)*'[6]Set Up'!$N$17+'[6]Set Up'!$O$15+'[6]Set Up'!$O$16,(V9-'[6]Set Up'!$J$17)*'[6]Set Up'!$N$18 + SUM('[6]Set Up'!$O$15:'[6]Set Up'!$O$17)))))</f>
        <v>314.03182150482712</v>
      </c>
      <c r="W14" s="28">
        <f>IF(W9="","",IF(W9&lt;'[6]Set Up'!$J$15,W9*'[6]Set Up'!$N$15,IF(W9&lt;'[6]Set Up'!$J$16,(W9-'[6]Set Up'!$J$15)*'[6]Set Up'!$N$16+'[6]Set Up'!$O$15,IF(W9&lt;'[6]Set Up'!$J$17,(W9-'[6]Set Up'!$J$16)*'[6]Set Up'!$N$17+'[6]Set Up'!$O$15+'[6]Set Up'!$O$16,(W9-'[6]Set Up'!$J$17)*'[6]Set Up'!$N$18 + SUM('[6]Set Up'!$O$15:'[6]Set Up'!$O$17)))))</f>
        <v>311.07539479674608</v>
      </c>
      <c r="X14" s="28">
        <f>IF(X9="","",IF(X9&lt;'[6]Set Up'!$J$15,X9*'[6]Set Up'!$N$15,IF(X9&lt;'[6]Set Up'!$J$16,(X9-'[6]Set Up'!$J$15)*'[6]Set Up'!$N$16+'[6]Set Up'!$O$15,IF(X9&lt;'[6]Set Up'!$J$17,(X9-'[6]Set Up'!$J$16)*'[6]Set Up'!$N$17+'[6]Set Up'!$O$15+'[6]Set Up'!$O$16,(X9-'[6]Set Up'!$J$17)*'[6]Set Up'!$N$18 + SUM('[6]Set Up'!$O$15:'[6]Set Up'!$O$17)))))</f>
        <v>308.10403664064438</v>
      </c>
      <c r="Y14" s="28">
        <f>IF(Y9="","",IF(Y9&lt;'[6]Set Up'!$J$15,Y9*'[6]Set Up'!$N$15,IF(Y9&lt;'[6]Set Up'!$J$16,(Y9-'[6]Set Up'!$J$15)*'[6]Set Up'!$N$16+'[6]Set Up'!$O$15,IF(Y9&lt;'[6]Set Up'!$J$17,(Y9-'[6]Set Up'!$J$16)*'[6]Set Up'!$N$17+'[6]Set Up'!$O$15+'[6]Set Up'!$O$16,(Y9-'[6]Set Up'!$J$17)*'[6]Set Up'!$N$18 + SUM('[6]Set Up'!$O$15:'[6]Set Up'!$O$17)))))</f>
        <v>305.13267848454274</v>
      </c>
      <c r="Z14" s="28">
        <f>IF(Z9="","",IF(Z9&lt;'[6]Set Up'!$J$15,Z9*'[6]Set Up'!$N$15,IF(Z9&lt;'[6]Set Up'!$J$16,(Z9-'[6]Set Up'!$J$15)*'[6]Set Up'!$N$16+'[6]Set Up'!$O$15,IF(Z9&lt;'[6]Set Up'!$J$17,(Z9-'[6]Set Up'!$J$16)*'[6]Set Up'!$N$17+'[6]Set Up'!$O$15+'[6]Set Up'!$O$16,(Z9-'[6]Set Up'!$J$17)*'[6]Set Up'!$N$18 + SUM('[6]Set Up'!$O$15:'[6]Set Up'!$O$17)))))</f>
        <v>302.16132032844109</v>
      </c>
      <c r="AA14" s="28">
        <f>IF(AA9="","",IF(AA9&lt;'[6]Set Up'!$J$15,AA9*'[6]Set Up'!$N$15,IF(AA9&lt;'[6]Set Up'!$J$16,(AA9-'[6]Set Up'!$J$15)*'[6]Set Up'!$N$16+'[6]Set Up'!$O$15,IF(AA9&lt;'[6]Set Up'!$J$17,(AA9-'[6]Set Up'!$J$16)*'[6]Set Up'!$N$17+'[6]Set Up'!$O$15+'[6]Set Up'!$O$16,(AA9-'[6]Set Up'!$J$17)*'[6]Set Up'!$N$18 + SUM('[6]Set Up'!$O$15:'[6]Set Up'!$O$17)))))</f>
        <v>299.20489362036</v>
      </c>
      <c r="AB14" s="28">
        <f>IF(AB9="","",IF(AB9&lt;'[6]Set Up'!$J$15,AB9*'[6]Set Up'!$N$15,IF(AB9&lt;'[6]Set Up'!$J$16,(AB9-'[6]Set Up'!$J$15)*'[6]Set Up'!$N$16+'[6]Set Up'!$O$15,IF(AB9&lt;'[6]Set Up'!$J$17,(AB9-'[6]Set Up'!$J$16)*'[6]Set Up'!$N$17+'[6]Set Up'!$O$15+'[6]Set Up'!$O$16,(AB9-'[6]Set Up'!$J$17)*'[6]Set Up'!$N$18 + SUM('[6]Set Up'!$O$15:'[6]Set Up'!$O$17)))))</f>
        <v>296.23353546425835</v>
      </c>
      <c r="AC14" s="28">
        <f>IF(AC9="","",IF(AC9&lt;'[6]Set Up'!$J$15,AC9*'[6]Set Up'!$N$15,IF(AC9&lt;'[6]Set Up'!$J$16,(AC9-'[6]Set Up'!$J$15)*'[6]Set Up'!$N$16+'[6]Set Up'!$O$15,IF(AC9&lt;'[6]Set Up'!$J$17,(AC9-'[6]Set Up'!$J$16)*'[6]Set Up'!$N$17+'[6]Set Up'!$O$15+'[6]Set Up'!$O$16,(AC9-'[6]Set Up'!$J$17)*'[6]Set Up'!$N$18 + SUM('[6]Set Up'!$O$15:'[6]Set Up'!$O$17)))))</f>
        <v>293.26217730815665</v>
      </c>
      <c r="AD14" s="28">
        <f>IF(AD9="","",IF(AD9&lt;'[6]Set Up'!$J$15,AD9*'[6]Set Up'!$N$15,IF(AD9&lt;'[6]Set Up'!$J$16,(AD9-'[6]Set Up'!$J$15)*'[6]Set Up'!$N$16+'[6]Set Up'!$O$15,IF(AD9&lt;'[6]Set Up'!$J$17,(AD9-'[6]Set Up'!$J$16)*'[6]Set Up'!$N$17+'[6]Set Up'!$O$15+'[6]Set Up'!$O$16,(AD9-'[6]Set Up'!$J$17)*'[6]Set Up'!$N$18 + SUM('[6]Set Up'!$O$15:'[6]Set Up'!$O$17)))))</f>
        <v>290.29081915205501</v>
      </c>
      <c r="AE14" s="28">
        <f>IF(AE9="","",IF(AE9&lt;'[6]Set Up'!$J$15,AE9*'[6]Set Up'!$N$15,IF(AE9&lt;'[6]Set Up'!$J$16,(AE9-'[6]Set Up'!$J$15)*'[6]Set Up'!$N$16+'[6]Set Up'!$O$15,IF(AE9&lt;'[6]Set Up'!$J$17,(AE9-'[6]Set Up'!$J$16)*'[6]Set Up'!$N$17+'[6]Set Up'!$O$15+'[6]Set Up'!$O$16,(AE9-'[6]Set Up'!$J$17)*'[6]Set Up'!$N$18 + SUM('[6]Set Up'!$O$15:'[6]Set Up'!$O$17)))))</f>
        <v>287.33439244397397</v>
      </c>
      <c r="AF14" s="28">
        <f>IF(AF9="","",IF(AF9&lt;'[6]Set Up'!$J$15,AF9*'[6]Set Up'!$N$15,IF(AF9&lt;'[6]Set Up'!$J$16,(AF9-'[6]Set Up'!$J$15)*'[6]Set Up'!$N$16+'[6]Set Up'!$O$15,IF(AF9&lt;'[6]Set Up'!$J$17,(AF9-'[6]Set Up'!$J$16)*'[6]Set Up'!$N$17+'[6]Set Up'!$O$15+'[6]Set Up'!$O$16,(AF9-'[6]Set Up'!$J$17)*'[6]Set Up'!$N$18 + SUM('[6]Set Up'!$O$15:'[6]Set Up'!$O$17)))))</f>
        <v>284.36303428787227</v>
      </c>
      <c r="AG14" s="28">
        <f>IF(AG9="","",IF(AG9&lt;'[6]Set Up'!$J$15,AG9*'[6]Set Up'!$N$15,IF(AG9&lt;'[6]Set Up'!$J$16,(AG9-'[6]Set Up'!$J$15)*'[6]Set Up'!$N$16+'[6]Set Up'!$O$15,IF(AG9&lt;'[6]Set Up'!$J$17,(AG9-'[6]Set Up'!$J$16)*'[6]Set Up'!$N$17+'[6]Set Up'!$O$15+'[6]Set Up'!$O$16,(AG9-'[6]Set Up'!$J$17)*'[6]Set Up'!$N$18 + SUM('[6]Set Up'!$O$15:'[6]Set Up'!$O$17)))))</f>
        <v>281.39167613177062</v>
      </c>
      <c r="AH14" s="28">
        <f>IF(AH9="","",IF(AH9&lt;'[6]Set Up'!$J$15,AH9*'[6]Set Up'!$N$15,IF(AH9&lt;'[6]Set Up'!$J$16,(AH9-'[6]Set Up'!$J$15)*'[6]Set Up'!$N$16+'[6]Set Up'!$O$15,IF(AH9&lt;'[6]Set Up'!$J$17,(AH9-'[6]Set Up'!$J$16)*'[6]Set Up'!$N$17+'[6]Set Up'!$O$15+'[6]Set Up'!$O$16,(AH9-'[6]Set Up'!$J$17)*'[6]Set Up'!$N$18 + SUM('[6]Set Up'!$O$15:'[6]Set Up'!$O$17)))))</f>
        <v>278.42031797566892</v>
      </c>
      <c r="AI14" s="28">
        <f>IF(AI9="","",IF(AI9&lt;'[6]Set Up'!$J$15,AI9*'[6]Set Up'!$N$15,IF(AI9&lt;'[6]Set Up'!$J$16,(AI9-'[6]Set Up'!$J$15)*'[6]Set Up'!$N$16+'[6]Set Up'!$O$15,IF(AI9&lt;'[6]Set Up'!$J$17,(AI9-'[6]Set Up'!$J$16)*'[6]Set Up'!$N$17+'[6]Set Up'!$O$15+'[6]Set Up'!$O$16,(AI9-'[6]Set Up'!$J$17)*'[6]Set Up'!$N$18 + SUM('[6]Set Up'!$O$15:'[6]Set Up'!$O$17)))))</f>
        <v>275.46389126758788</v>
      </c>
      <c r="AJ14" s="28">
        <f>IF(AJ9="","",IF(AJ9&lt;'[6]Set Up'!$J$15,AJ9*'[6]Set Up'!$N$15,IF(AJ9&lt;'[6]Set Up'!$J$16,(AJ9-'[6]Set Up'!$J$15)*'[6]Set Up'!$N$16+'[6]Set Up'!$O$15,IF(AJ9&lt;'[6]Set Up'!$J$17,(AJ9-'[6]Set Up'!$J$16)*'[6]Set Up'!$N$17+'[6]Set Up'!$O$15+'[6]Set Up'!$O$16,(AJ9-'[6]Set Up'!$J$17)*'[6]Set Up'!$N$18 + SUM('[6]Set Up'!$O$15:'[6]Set Up'!$O$17)))))</f>
        <v>272.49253311148624</v>
      </c>
      <c r="AK14" s="28">
        <f>IF(AK9="","",IF(AK9&lt;'[6]Set Up'!$J$15,AK9*'[6]Set Up'!$N$15,IF(AK9&lt;'[6]Set Up'!$J$16,(AK9-'[6]Set Up'!$J$15)*'[6]Set Up'!$N$16+'[6]Set Up'!$O$15,IF(AK9&lt;'[6]Set Up'!$J$17,(AK9-'[6]Set Up'!$J$16)*'[6]Set Up'!$N$17+'[6]Set Up'!$O$15+'[6]Set Up'!$O$16,(AK9-'[6]Set Up'!$J$17)*'[6]Set Up'!$N$18 + SUM('[6]Set Up'!$O$15:'[6]Set Up'!$O$17)))))</f>
        <v>0</v>
      </c>
      <c r="AL14" s="28">
        <f>IF(AL9="","",IF(AL9&lt;'[6]Set Up'!$J$15,AL9*'[6]Set Up'!$N$15,IF(AL9&lt;'[6]Set Up'!$J$16,(AL9-'[6]Set Up'!$J$15)*'[6]Set Up'!$N$16+'[6]Set Up'!$O$15,IF(AL9&lt;'[6]Set Up'!$J$17,(AL9-'[6]Set Up'!$J$16)*'[6]Set Up'!$N$17+'[6]Set Up'!$O$15+'[6]Set Up'!$O$16,(AL9-'[6]Set Up'!$J$17)*'[6]Set Up'!$N$18 + SUM('[6]Set Up'!$O$15:'[6]Set Up'!$O$17)))))</f>
        <v>0</v>
      </c>
      <c r="AM14" s="28">
        <f>IF(AM9="","",IF(AM9&lt;'[6]Set Up'!$J$15,AM9*'[6]Set Up'!$N$15,IF(AM9&lt;'[6]Set Up'!$J$16,(AM9-'[6]Set Up'!$J$15)*'[6]Set Up'!$N$16+'[6]Set Up'!$O$15,IF(AM9&lt;'[6]Set Up'!$J$17,(AM9-'[6]Set Up'!$J$16)*'[6]Set Up'!$N$17+'[6]Set Up'!$O$15+'[6]Set Up'!$O$16,(AM9-'[6]Set Up'!$J$17)*'[6]Set Up'!$N$18 + SUM('[6]Set Up'!$O$15:'[6]Set Up'!$O$17)))))</f>
        <v>0</v>
      </c>
      <c r="AN14" s="28">
        <f>IF(AN9="","",IF(AN9&lt;'[6]Set Up'!$J$15,AN9*'[6]Set Up'!$N$15,IF(AN9&lt;'[6]Set Up'!$J$16,(AN9-'[6]Set Up'!$J$15)*'[6]Set Up'!$N$16+'[6]Set Up'!$O$15,IF(AN9&lt;'[6]Set Up'!$J$17,(AN9-'[6]Set Up'!$J$16)*'[6]Set Up'!$N$17+'[6]Set Up'!$O$15+'[6]Set Up'!$O$16,(AN9-'[6]Set Up'!$J$17)*'[6]Set Up'!$N$18 + SUM('[6]Set Up'!$O$15:'[6]Set Up'!$O$17)))))</f>
        <v>0</v>
      </c>
      <c r="AO14" s="28">
        <f>IF(AO9="","",IF(AO9&lt;'[6]Set Up'!$J$15,AO9*'[6]Set Up'!$N$15,IF(AO9&lt;'[6]Set Up'!$J$16,(AO9-'[6]Set Up'!$J$15)*'[6]Set Up'!$N$16+'[6]Set Up'!$O$15,IF(AO9&lt;'[6]Set Up'!$J$17,(AO9-'[6]Set Up'!$J$16)*'[6]Set Up'!$N$17+'[6]Set Up'!$O$15+'[6]Set Up'!$O$16,(AO9-'[6]Set Up'!$J$17)*'[6]Set Up'!$N$18 + SUM('[6]Set Up'!$O$15:'[6]Set Up'!$O$17)))))</f>
        <v>0</v>
      </c>
      <c r="AP14" s="28">
        <f>IF(AP9="","",IF(AP9&lt;'[6]Set Up'!$J$15,AP9*'[6]Set Up'!$N$15,IF(AP9&lt;'[6]Set Up'!$J$16,(AP9-'[6]Set Up'!$J$15)*'[6]Set Up'!$N$16+'[6]Set Up'!$O$15,IF(AP9&lt;'[6]Set Up'!$J$17,(AP9-'[6]Set Up'!$J$16)*'[6]Set Up'!$N$17+'[6]Set Up'!$O$15+'[6]Set Up'!$O$16,(AP9-'[6]Set Up'!$J$17)*'[6]Set Up'!$N$18 + SUM('[6]Set Up'!$O$15:'[6]Set Up'!$O$17)))))</f>
        <v>0</v>
      </c>
      <c r="AQ14" s="28">
        <f>IF(AQ9="","",IF(AQ9&lt;'[6]Set Up'!$J$15,AQ9*'[6]Set Up'!$N$15,IF(AQ9&lt;'[6]Set Up'!$J$16,(AQ9-'[6]Set Up'!$J$15)*'[6]Set Up'!$N$16+'[6]Set Up'!$O$15,IF(AQ9&lt;'[6]Set Up'!$J$17,(AQ9-'[6]Set Up'!$J$16)*'[6]Set Up'!$N$17+'[6]Set Up'!$O$15+'[6]Set Up'!$O$16,(AQ9-'[6]Set Up'!$J$17)*'[6]Set Up'!$N$18 + SUM('[6]Set Up'!$O$15:'[6]Set Up'!$O$17)))))</f>
        <v>0</v>
      </c>
      <c r="AR14" s="28">
        <f>IF(AR9="","",IF(AR9&lt;'[6]Set Up'!$J$15,AR9*'[6]Set Up'!$N$15,IF(AR9&lt;'[6]Set Up'!$J$16,(AR9-'[6]Set Up'!$J$15)*'[6]Set Up'!$N$16+'[6]Set Up'!$O$15,IF(AR9&lt;'[6]Set Up'!$J$17,(AR9-'[6]Set Up'!$J$16)*'[6]Set Up'!$N$17+'[6]Set Up'!$O$15+'[6]Set Up'!$O$16,(AR9-'[6]Set Up'!$J$17)*'[6]Set Up'!$N$18 + SUM('[6]Set Up'!$O$15:'[6]Set Up'!$O$17)))))</f>
        <v>0</v>
      </c>
      <c r="AS14" s="28">
        <f>IF(AS9="","",IF(AS9&lt;'[6]Set Up'!$J$15,AS9*'[6]Set Up'!$N$15,IF(AS9&lt;'[6]Set Up'!$J$16,(AS9-'[6]Set Up'!$J$15)*'[6]Set Up'!$N$16+'[6]Set Up'!$O$15,IF(AS9&lt;'[6]Set Up'!$J$17,(AS9-'[6]Set Up'!$J$16)*'[6]Set Up'!$N$17+'[6]Set Up'!$O$15+'[6]Set Up'!$O$16,(AS9-'[6]Set Up'!$J$17)*'[6]Set Up'!$N$18 + SUM('[6]Set Up'!$O$15:'[6]Set Up'!$O$17)))))</f>
        <v>0</v>
      </c>
      <c r="AT14" s="28">
        <f>IF(AT9="","",IF(AT9&lt;'[6]Set Up'!$J$15,AT9*'[6]Set Up'!$N$15,IF(AT9&lt;'[6]Set Up'!$J$16,(AT9-'[6]Set Up'!$J$15)*'[6]Set Up'!$N$16+'[6]Set Up'!$O$15,IF(AT9&lt;'[6]Set Up'!$J$17,(AT9-'[6]Set Up'!$J$16)*'[6]Set Up'!$N$17+'[6]Set Up'!$O$15+'[6]Set Up'!$O$16,(AT9-'[6]Set Up'!$J$17)*'[6]Set Up'!$N$18 + SUM('[6]Set Up'!$O$15:'[6]Set Up'!$O$17)))))</f>
        <v>0</v>
      </c>
      <c r="AU14" s="28">
        <f>IF(AU9="","",IF(AU9&lt;'[6]Set Up'!$J$15,AU9*'[6]Set Up'!$N$15,IF(AU9&lt;'[6]Set Up'!$J$16,(AU9-'[6]Set Up'!$J$15)*'[6]Set Up'!$N$16+'[6]Set Up'!$O$15,IF(AU9&lt;'[6]Set Up'!$J$17,(AU9-'[6]Set Up'!$J$16)*'[6]Set Up'!$N$17+'[6]Set Up'!$O$15+'[6]Set Up'!$O$16,(AU9-'[6]Set Up'!$J$17)*'[6]Set Up'!$N$18 + SUM('[6]Set Up'!$O$15:'[6]Set Up'!$O$17)))))</f>
        <v>0</v>
      </c>
      <c r="AV14" s="28">
        <f>IF(AV9="","",IF(AV9&lt;'[6]Set Up'!$J$15,AV9*'[6]Set Up'!$N$15,IF(AV9&lt;'[6]Set Up'!$J$16,(AV9-'[6]Set Up'!$J$15)*'[6]Set Up'!$N$16+'[6]Set Up'!$O$15,IF(AV9&lt;'[6]Set Up'!$J$17,(AV9-'[6]Set Up'!$J$16)*'[6]Set Up'!$N$17+'[6]Set Up'!$O$15+'[6]Set Up'!$O$16,(AV9-'[6]Set Up'!$J$17)*'[6]Set Up'!$N$18 + SUM('[6]Set Up'!$O$15:'[6]Set Up'!$O$17)))))</f>
        <v>0</v>
      </c>
      <c r="AW14" s="28">
        <f>IF(AW9="","",IF(AW9&lt;'[6]Set Up'!$J$15,AW9*'[6]Set Up'!$N$15,IF(AW9&lt;'[6]Set Up'!$J$16,(AW9-'[6]Set Up'!$J$15)*'[6]Set Up'!$N$16+'[6]Set Up'!$O$15,IF(AW9&lt;'[6]Set Up'!$J$17,(AW9-'[6]Set Up'!$J$16)*'[6]Set Up'!$N$17+'[6]Set Up'!$O$15+'[6]Set Up'!$O$16,(AW9-'[6]Set Up'!$J$17)*'[6]Set Up'!$N$18 + SUM('[6]Set Up'!$O$15:'[6]Set Up'!$O$17)))))</f>
        <v>0</v>
      </c>
      <c r="AX14" s="28">
        <f>IF(AX9="","",IF(AX9&lt;'[6]Set Up'!$J$15,AX9*'[6]Set Up'!$N$15,IF(AX9&lt;'[6]Set Up'!$J$16,(AX9-'[6]Set Up'!$J$15)*'[6]Set Up'!$N$16+'[6]Set Up'!$O$15,IF(AX9&lt;'[6]Set Up'!$J$17,(AX9-'[6]Set Up'!$J$16)*'[6]Set Up'!$N$17+'[6]Set Up'!$O$15+'[6]Set Up'!$O$16,(AX9-'[6]Set Up'!$J$17)*'[6]Set Up'!$N$18 + SUM('[6]Set Up'!$O$15:'[6]Set Up'!$O$17)))))</f>
        <v>0</v>
      </c>
      <c r="AY14" s="28">
        <f>IF(AY9="","",IF(AY9&lt;'[6]Set Up'!$J$15,AY9*'[6]Set Up'!$N$15,IF(AY9&lt;'[6]Set Up'!$J$16,(AY9-'[6]Set Up'!$J$15)*'[6]Set Up'!$N$16+'[6]Set Up'!$O$15,IF(AY9&lt;'[6]Set Up'!$J$17,(AY9-'[6]Set Up'!$J$16)*'[6]Set Up'!$N$17+'[6]Set Up'!$O$15+'[6]Set Up'!$O$16,(AY9-'[6]Set Up'!$J$17)*'[6]Set Up'!$N$18 + SUM('[6]Set Up'!$O$15:'[6]Set Up'!$O$17)))))</f>
        <v>0</v>
      </c>
      <c r="AZ14" s="28">
        <f>IF(AZ9="","",IF(AZ9&lt;'[6]Set Up'!$J$15,AZ9*'[6]Set Up'!$N$15,IF(AZ9&lt;'[6]Set Up'!$J$16,(AZ9-'[6]Set Up'!$J$15)*'[6]Set Up'!$N$16+'[6]Set Up'!$O$15,IF(AZ9&lt;'[6]Set Up'!$J$17,(AZ9-'[6]Set Up'!$J$16)*'[6]Set Up'!$N$17+'[6]Set Up'!$O$15+'[6]Set Up'!$O$16,(AZ9-'[6]Set Up'!$J$17)*'[6]Set Up'!$N$18 + SUM('[6]Set Up'!$O$15:'[6]Set Up'!$O$17)))))</f>
        <v>0</v>
      </c>
      <c r="BA14" s="28">
        <f>IF(BA9="","",IF(BA9&lt;'[6]Set Up'!$J$15,BA9*'[6]Set Up'!$N$15,IF(BA9&lt;'[6]Set Up'!$J$16,(BA9-'[6]Set Up'!$J$15)*'[6]Set Up'!$N$16+'[6]Set Up'!$O$15,IF(BA9&lt;'[6]Set Up'!$J$17,(BA9-'[6]Set Up'!$J$16)*'[6]Set Up'!$N$17+'[6]Set Up'!$O$15+'[6]Set Up'!$O$16,(BA9-'[6]Set Up'!$J$17)*'[6]Set Up'!$N$18 + SUM('[6]Set Up'!$O$15:'[6]Set Up'!$O$17)))))</f>
        <v>0</v>
      </c>
      <c r="BB14" s="28">
        <f>IF(BB9="","",IF(BB9&lt;'[6]Set Up'!$J$15,BB9*'[6]Set Up'!$N$15,IF(BB9&lt;'[6]Set Up'!$J$16,(BB9-'[6]Set Up'!$J$15)*'[6]Set Up'!$N$16+'[6]Set Up'!$O$15,IF(BB9&lt;'[6]Set Up'!$J$17,(BB9-'[6]Set Up'!$J$16)*'[6]Set Up'!$N$17+'[6]Set Up'!$O$15+'[6]Set Up'!$O$16,(BB9-'[6]Set Up'!$J$17)*'[6]Set Up'!$N$18 + SUM('[6]Set Up'!$O$15:'[6]Set Up'!$O$17)))))</f>
        <v>0</v>
      </c>
      <c r="BC14" s="28">
        <f>IF(BC9="","",IF(BC9&lt;'[6]Set Up'!$J$15,BC9*'[6]Set Up'!$N$15,IF(BC9&lt;'[6]Set Up'!$J$16,(BC9-'[6]Set Up'!$J$15)*'[6]Set Up'!$N$16+'[6]Set Up'!$O$15,IF(BC9&lt;'[6]Set Up'!$J$17,(BC9-'[6]Set Up'!$J$16)*'[6]Set Up'!$N$17+'[6]Set Up'!$O$15+'[6]Set Up'!$O$16,(BC9-'[6]Set Up'!$J$17)*'[6]Set Up'!$N$18 + SUM('[6]Set Up'!$O$15:'[6]Set Up'!$O$17)))))</f>
        <v>0</v>
      </c>
      <c r="BD14" s="28">
        <f>IF(BD9="","",IF(BD9&lt;'[6]Set Up'!$J$15,BD9*'[6]Set Up'!$N$15,IF(BD9&lt;'[6]Set Up'!$J$16,(BD9-'[6]Set Up'!$J$15)*'[6]Set Up'!$N$16+'[6]Set Up'!$O$15,IF(BD9&lt;'[6]Set Up'!$J$17,(BD9-'[6]Set Up'!$J$16)*'[6]Set Up'!$N$17+'[6]Set Up'!$O$15+'[6]Set Up'!$O$16,(BD9-'[6]Set Up'!$J$17)*'[6]Set Up'!$N$18 + SUM('[6]Set Up'!$O$15:'[6]Set Up'!$O$17)))))</f>
        <v>0</v>
      </c>
      <c r="BE14" s="28">
        <f>IF(BE9="","",IF(BE9&lt;'[6]Set Up'!$J$15,BE9*'[6]Set Up'!$N$15,IF(BE9&lt;'[6]Set Up'!$J$16,(BE9-'[6]Set Up'!$J$15)*'[6]Set Up'!$N$16+'[6]Set Up'!$O$15,IF(BE9&lt;'[6]Set Up'!$J$17,(BE9-'[6]Set Up'!$J$16)*'[6]Set Up'!$N$17+'[6]Set Up'!$O$15+'[6]Set Up'!$O$16,(BE9-'[6]Set Up'!$J$17)*'[6]Set Up'!$N$18 + SUM('[6]Set Up'!$O$15:'[6]Set Up'!$O$17)))))</f>
        <v>0</v>
      </c>
      <c r="BF14" s="28">
        <f>IF(BF9="","",IF(BF9&lt;'[6]Set Up'!$J$15,BF9*'[6]Set Up'!$N$15,IF(BF9&lt;'[6]Set Up'!$J$16,(BF9-'[6]Set Up'!$J$15)*'[6]Set Up'!$N$16+'[6]Set Up'!$O$15,IF(BF9&lt;'[6]Set Up'!$J$17,(BF9-'[6]Set Up'!$J$16)*'[6]Set Up'!$N$17+'[6]Set Up'!$O$15+'[6]Set Up'!$O$16,(BF9-'[6]Set Up'!$J$17)*'[6]Set Up'!$N$18 + SUM('[6]Set Up'!$O$15:'[6]Set Up'!$O$17)))))</f>
        <v>0</v>
      </c>
      <c r="BG14" s="28">
        <f>IF(BG9="","",IF(BG9&lt;'[6]Set Up'!$J$15,BG9*'[6]Set Up'!$N$15,IF(BG9&lt;'[6]Set Up'!$J$16,(BG9-'[6]Set Up'!$J$15)*'[6]Set Up'!$N$16+'[6]Set Up'!$O$15,IF(BG9&lt;'[6]Set Up'!$J$17,(BG9-'[6]Set Up'!$J$16)*'[6]Set Up'!$N$17+'[6]Set Up'!$O$15+'[6]Set Up'!$O$16,(BG9-'[6]Set Up'!$J$17)*'[6]Set Up'!$N$18 + SUM('[6]Set Up'!$O$15:'[6]Set Up'!$O$17)))))</f>
        <v>0</v>
      </c>
      <c r="BH14" s="28">
        <f>IF(BH9="","",IF(BH9&lt;'[6]Set Up'!$J$15,BH9*'[6]Set Up'!$N$15,IF(BH9&lt;'[6]Set Up'!$J$16,(BH9-'[6]Set Up'!$J$15)*'[6]Set Up'!$N$16+'[6]Set Up'!$O$15,IF(BH9&lt;'[6]Set Up'!$J$17,(BH9-'[6]Set Up'!$J$16)*'[6]Set Up'!$N$17+'[6]Set Up'!$O$15+'[6]Set Up'!$O$16,(BH9-'[6]Set Up'!$J$17)*'[6]Set Up'!$N$18 + SUM('[6]Set Up'!$O$15:'[6]Set Up'!$O$17)))))</f>
        <v>0</v>
      </c>
      <c r="BI14" s="28">
        <f>IF(BI9="","",IF(BI9&lt;'[6]Set Up'!$J$15,BI9*'[6]Set Up'!$N$15,IF(BI9&lt;'[6]Set Up'!$J$16,(BI9-'[6]Set Up'!$J$15)*'[6]Set Up'!$N$16+'[6]Set Up'!$O$15,IF(BI9&lt;'[6]Set Up'!$J$17,(BI9-'[6]Set Up'!$J$16)*'[6]Set Up'!$N$17+'[6]Set Up'!$O$15+'[6]Set Up'!$O$16,(BI9-'[6]Set Up'!$J$17)*'[6]Set Up'!$N$18 + SUM('[6]Set Up'!$O$15:'[6]Set Up'!$O$17)))))</f>
        <v>0</v>
      </c>
      <c r="BJ14" s="28">
        <f>IF(BJ9="","",IF(BJ9&lt;'[6]Set Up'!$J$15,BJ9*'[6]Set Up'!$N$15,IF(BJ9&lt;'[6]Set Up'!$J$16,(BJ9-'[6]Set Up'!$J$15)*'[6]Set Up'!$N$16+'[6]Set Up'!$O$15,IF(BJ9&lt;'[6]Set Up'!$J$17,(BJ9-'[6]Set Up'!$J$16)*'[6]Set Up'!$N$17+'[6]Set Up'!$O$15+'[6]Set Up'!$O$16,(BJ9-'[6]Set Up'!$J$17)*'[6]Set Up'!$N$18 + SUM('[6]Set Up'!$O$15:'[6]Set Up'!$O$17)))))</f>
        <v>0</v>
      </c>
      <c r="BK14" s="28">
        <f>IF(BK9="","",IF(BK9&lt;'[6]Set Up'!$J$15,BK9*'[6]Set Up'!$N$15,IF(BK9&lt;'[6]Set Up'!$J$16,(BK9-'[6]Set Up'!$J$15)*'[6]Set Up'!$N$16+'[6]Set Up'!$O$15,IF(BK9&lt;'[6]Set Up'!$J$17,(BK9-'[6]Set Up'!$J$16)*'[6]Set Up'!$N$17+'[6]Set Up'!$O$15+'[6]Set Up'!$O$16,(BK9-'[6]Set Up'!$J$17)*'[6]Set Up'!$N$18 + SUM('[6]Set Up'!$O$15:'[6]Set Up'!$O$17)))))</f>
        <v>0</v>
      </c>
      <c r="BL14" s="28">
        <f>IF(BL9="","",IF(BL9&lt;'[6]Set Up'!$J$15,BL9*'[6]Set Up'!$N$15,IF(BL9&lt;'[6]Set Up'!$J$16,(BL9-'[6]Set Up'!$J$15)*'[6]Set Up'!$N$16+'[6]Set Up'!$O$15,IF(BL9&lt;'[6]Set Up'!$J$17,(BL9-'[6]Set Up'!$J$16)*'[6]Set Up'!$N$17+'[6]Set Up'!$O$15+'[6]Set Up'!$O$16,(BL9-'[6]Set Up'!$J$17)*'[6]Set Up'!$N$18 + SUM('[6]Set Up'!$O$15:'[6]Set Up'!$O$17)))))</f>
        <v>0</v>
      </c>
      <c r="BM14" s="28">
        <f>IF(BM9="","",IF(BM9&lt;'[6]Set Up'!$J$15,BM9*'[6]Set Up'!$N$15,IF(BM9&lt;'[6]Set Up'!$J$16,(BM9-'[6]Set Up'!$J$15)*'[6]Set Up'!$N$16+'[6]Set Up'!$O$15,IF(BM9&lt;'[6]Set Up'!$J$17,(BM9-'[6]Set Up'!$J$16)*'[6]Set Up'!$N$17+'[6]Set Up'!$O$15+'[6]Set Up'!$O$16,(BM9-'[6]Set Up'!$J$17)*'[6]Set Up'!$N$18 + SUM('[6]Set Up'!$O$15:'[6]Set Up'!$O$17)))))</f>
        <v>0</v>
      </c>
      <c r="BN14" s="28">
        <f>IF(BN9="","",IF(BN9&lt;'[6]Set Up'!$J$15,BN9*'[6]Set Up'!$N$15,IF(BN9&lt;'[6]Set Up'!$J$16,(BN9-'[6]Set Up'!$J$15)*'[6]Set Up'!$N$16+'[6]Set Up'!$O$15,IF(BN9&lt;'[6]Set Up'!$J$17,(BN9-'[6]Set Up'!$J$16)*'[6]Set Up'!$N$17+'[6]Set Up'!$O$15+'[6]Set Up'!$O$16,(BN9-'[6]Set Up'!$J$17)*'[6]Set Up'!$N$18 + SUM('[6]Set Up'!$O$15:'[6]Set Up'!$O$17)))))</f>
        <v>0</v>
      </c>
      <c r="BO14" s="28">
        <f>IF(BO9="","",IF(BO9&lt;'[6]Set Up'!$J$15,BO9*'[6]Set Up'!$N$15,IF(BO9&lt;'[6]Set Up'!$J$16,(BO9-'[6]Set Up'!$J$15)*'[6]Set Up'!$N$16+'[6]Set Up'!$O$15,IF(BO9&lt;'[6]Set Up'!$J$17,(BO9-'[6]Set Up'!$J$16)*'[6]Set Up'!$N$17+'[6]Set Up'!$O$15+'[6]Set Up'!$O$16,(BO9-'[6]Set Up'!$J$17)*'[6]Set Up'!$N$18 + SUM('[6]Set Up'!$O$15:'[6]Set Up'!$O$17)))))</f>
        <v>0</v>
      </c>
      <c r="BP14" s="28">
        <f>IF(BP9="","",IF(BP9&lt;'[6]Set Up'!$J$15,BP9*'[6]Set Up'!$N$15,IF(BP9&lt;'[6]Set Up'!$J$16,(BP9-'[6]Set Up'!$J$15)*'[6]Set Up'!$N$16+'[6]Set Up'!$O$15,IF(BP9&lt;'[6]Set Up'!$J$17,(BP9-'[6]Set Up'!$J$16)*'[6]Set Up'!$N$17+'[6]Set Up'!$O$15+'[6]Set Up'!$O$16,(BP9-'[6]Set Up'!$J$17)*'[6]Set Up'!$N$18 + SUM('[6]Set Up'!$O$15:'[6]Set Up'!$O$17)))))</f>
        <v>0</v>
      </c>
      <c r="BQ14" s="28">
        <f>IF(BQ9="","",IF(BQ9&lt;'[6]Set Up'!$J$15,BQ9*'[6]Set Up'!$N$15,IF(BQ9&lt;'[6]Set Up'!$J$16,(BQ9-'[6]Set Up'!$J$15)*'[6]Set Up'!$N$16+'[6]Set Up'!$O$15,IF(BQ9&lt;'[6]Set Up'!$J$17,(BQ9-'[6]Set Up'!$J$16)*'[6]Set Up'!$N$17+'[6]Set Up'!$O$15+'[6]Set Up'!$O$16,(BQ9-'[6]Set Up'!$J$17)*'[6]Set Up'!$N$18 + SUM('[6]Set Up'!$O$15:'[6]Set Up'!$O$17)))))</f>
        <v>0</v>
      </c>
      <c r="BR14" s="28">
        <f>IF(BR9="","",IF(BR9&lt;'[6]Set Up'!$J$15,BR9*'[6]Set Up'!$N$15,IF(BR9&lt;'[6]Set Up'!$J$16,(BR9-'[6]Set Up'!$J$15)*'[6]Set Up'!$N$16+'[6]Set Up'!$O$15,IF(BR9&lt;'[6]Set Up'!$J$17,(BR9-'[6]Set Up'!$J$16)*'[6]Set Up'!$N$17+'[6]Set Up'!$O$15+'[6]Set Up'!$O$16,(BR9-'[6]Set Up'!$J$17)*'[6]Set Up'!$N$18 + SUM('[6]Set Up'!$O$15:'[6]Set Up'!$O$17)))))</f>
        <v>0</v>
      </c>
      <c r="BS14" s="28">
        <f>IF(BS9="","",IF(BS9&lt;'[6]Set Up'!$J$15,BS9*'[6]Set Up'!$N$15,IF(BS9&lt;'[6]Set Up'!$J$16,(BS9-'[6]Set Up'!$J$15)*'[6]Set Up'!$N$16+'[6]Set Up'!$O$15,IF(BS9&lt;'[6]Set Up'!$J$17,(BS9-'[6]Set Up'!$J$16)*'[6]Set Up'!$N$17+'[6]Set Up'!$O$15+'[6]Set Up'!$O$16,(BS9-'[6]Set Up'!$J$17)*'[6]Set Up'!$N$18 + SUM('[6]Set Up'!$O$15:'[6]Set Up'!$O$17)))))</f>
        <v>0</v>
      </c>
      <c r="BT14" s="28">
        <f>IF(BT9="","",IF(BT9&lt;'[6]Set Up'!$J$15,BT9*'[6]Set Up'!$N$15,IF(BT9&lt;'[6]Set Up'!$J$16,(BT9-'[6]Set Up'!$J$15)*'[6]Set Up'!$N$16+'[6]Set Up'!$O$15,IF(BT9&lt;'[6]Set Up'!$J$17,(BT9-'[6]Set Up'!$J$16)*'[6]Set Up'!$N$17+'[6]Set Up'!$O$15+'[6]Set Up'!$O$16,(BT9-'[6]Set Up'!$J$17)*'[6]Set Up'!$N$18 + SUM('[6]Set Up'!$O$15:'[6]Set Up'!$O$17)))))</f>
        <v>0</v>
      </c>
      <c r="BU14" s="28">
        <f>IF(BU9="","",IF(BU9&lt;'[6]Set Up'!$J$15,BU9*'[6]Set Up'!$N$15,IF(BU9&lt;'[6]Set Up'!$J$16,(BU9-'[6]Set Up'!$J$15)*'[6]Set Up'!$N$16+'[6]Set Up'!$O$15,IF(BU9&lt;'[6]Set Up'!$J$17,(BU9-'[6]Set Up'!$J$16)*'[6]Set Up'!$N$17+'[6]Set Up'!$O$15+'[6]Set Up'!$O$16,(BU9-'[6]Set Up'!$J$17)*'[6]Set Up'!$N$18 + SUM('[6]Set Up'!$O$15:'[6]Set Up'!$O$17)))))</f>
        <v>0</v>
      </c>
      <c r="BV14" s="28">
        <f>IF(BV9="","",IF(BV9&lt;'[6]Set Up'!$J$15,BV9*'[6]Set Up'!$N$15,IF(BV9&lt;'[6]Set Up'!$J$16,(BV9-'[6]Set Up'!$J$15)*'[6]Set Up'!$N$16+'[6]Set Up'!$O$15,IF(BV9&lt;'[6]Set Up'!$J$17,(BV9-'[6]Set Up'!$J$16)*'[6]Set Up'!$N$17+'[6]Set Up'!$O$15+'[6]Set Up'!$O$16,(BV9-'[6]Set Up'!$J$17)*'[6]Set Up'!$N$18 + SUM('[6]Set Up'!$O$15:'[6]Set Up'!$O$17)))))</f>
        <v>0</v>
      </c>
      <c r="BW14" s="28">
        <f>IF(BW9="","",IF(BW9&lt;'[6]Set Up'!$J$15,BW9*'[6]Set Up'!$N$15,IF(BW9&lt;'[6]Set Up'!$J$16,(BW9-'[6]Set Up'!$J$15)*'[6]Set Up'!$N$16+'[6]Set Up'!$O$15,IF(BW9&lt;'[6]Set Up'!$J$17,(BW9-'[6]Set Up'!$J$16)*'[6]Set Up'!$N$17+'[6]Set Up'!$O$15+'[6]Set Up'!$O$16,(BW9-'[6]Set Up'!$J$17)*'[6]Set Up'!$N$18 + SUM('[6]Set Up'!$O$15:'[6]Set Up'!$O$17)))))</f>
        <v>0</v>
      </c>
      <c r="BX14" s="28">
        <f>IF(BX9="","",IF(BX9&lt;'[6]Set Up'!$J$15,BX9*'[6]Set Up'!$N$15,IF(BX9&lt;'[6]Set Up'!$J$16,(BX9-'[6]Set Up'!$J$15)*'[6]Set Up'!$N$16+'[6]Set Up'!$O$15,IF(BX9&lt;'[6]Set Up'!$J$17,(BX9-'[6]Set Up'!$J$16)*'[6]Set Up'!$N$17+'[6]Set Up'!$O$15+'[6]Set Up'!$O$16,(BX9-'[6]Set Up'!$J$17)*'[6]Set Up'!$N$18 + SUM('[6]Set Up'!$O$15:'[6]Set Up'!$O$17)))))</f>
        <v>0</v>
      </c>
      <c r="BY14" s="28">
        <f>IF(BY9="","",IF(BY9&lt;'[6]Set Up'!$J$15,BY9*'[6]Set Up'!$N$15,IF(BY9&lt;'[6]Set Up'!$J$16,(BY9-'[6]Set Up'!$J$15)*'[6]Set Up'!$N$16+'[6]Set Up'!$O$15,IF(BY9&lt;'[6]Set Up'!$J$17,(BY9-'[6]Set Up'!$J$16)*'[6]Set Up'!$N$17+'[6]Set Up'!$O$15+'[6]Set Up'!$O$16,(BY9-'[6]Set Up'!$J$17)*'[6]Set Up'!$N$18 + SUM('[6]Set Up'!$O$15:'[6]Set Up'!$O$17)))))</f>
        <v>0</v>
      </c>
      <c r="BZ14" s="170"/>
    </row>
    <row r="15" spans="1:78" ht="15" thickBot="1" x14ac:dyDescent="0.4">
      <c r="A15" s="29" t="s">
        <v>22</v>
      </c>
      <c r="B15" s="197"/>
      <c r="C15" s="30">
        <f>IF(C11="","",IF(C11&lt;'[6]Set Up'!$J$15,C11*'[6]Set Up'!$N$15,IF(C11&lt;'[6]Set Up'!$J$16,(C11-'[6]Set Up'!$J$15)*'[6]Set Up'!$N$16+'[6]Set Up'!$O$15,IF(C11&lt;'[6]Set Up'!$J$17,(C11-'[6]Set Up'!$J$16)*'[6]Set Up'!$N$17+'[6]Set Up'!$O$15+'[6]Set Up'!$O$16,(C11-'[6]Set Up'!$J$17)*'[6]Set Up'!$N$18 + SUM('[6]Set Up'!$O$15:'[6]Set Up'!$O$17)))))</f>
        <v>428.54109637489591</v>
      </c>
      <c r="D15" s="30">
        <f>IF(D11="","",IF(D11&lt;'[6]Set Up'!$J$15,D11*'[6]Set Up'!$N$15,IF(D11&lt;'[6]Set Up'!$J$16,(D11-'[6]Set Up'!$J$15)*'[6]Set Up'!$N$16+'[6]Set Up'!$O$15,IF(D11&lt;'[6]Set Up'!$J$17,(D11-'[6]Set Up'!$J$16)*'[6]Set Up'!$N$17+'[6]Set Up'!$O$15+'[6]Set Up'!$O$16,(D11-'[6]Set Up'!$J$17)*'[6]Set Up'!$N$18 + SUM('[6]Set Up'!$O$15:'[6]Set Up'!$O$17)))))</f>
        <v>428.54109637489591</v>
      </c>
      <c r="E15" s="30">
        <f>IF(E11="","",IF(E11&lt;'[6]Set Up'!$J$15,E11*'[6]Set Up'!$N$15,IF(E11&lt;'[6]Set Up'!$J$16,(E11-'[6]Set Up'!$J$15)*'[6]Set Up'!$N$16+'[6]Set Up'!$O$15,IF(E11&lt;'[6]Set Up'!$J$17,(E11-'[6]Set Up'!$J$16)*'[6]Set Up'!$N$17+'[6]Set Up'!$O$15+'[6]Set Up'!$O$16,(E11-'[6]Set Up'!$J$17)*'[6]Set Up'!$N$18 + SUM('[6]Set Up'!$O$15:'[6]Set Up'!$O$17)))))</f>
        <v>428.54109637489591</v>
      </c>
      <c r="F15" s="30">
        <f>IF(F11="","",IF(F11&lt;'[6]Set Up'!$J$15,F11*'[6]Set Up'!$N$15,IF(F11&lt;'[6]Set Up'!$J$16,(F11-'[6]Set Up'!$J$15)*'[6]Set Up'!$N$16+'[6]Set Up'!$O$15,IF(F11&lt;'[6]Set Up'!$J$17,(F11-'[6]Set Up'!$J$16)*'[6]Set Up'!$N$17+'[6]Set Up'!$O$15+'[6]Set Up'!$O$16,(F11-'[6]Set Up'!$J$17)*'[6]Set Up'!$N$18 + SUM('[6]Set Up'!$O$15:'[6]Set Up'!$O$17)))))</f>
        <v>428.54109637489591</v>
      </c>
      <c r="G15" s="30">
        <f>IF(G11="","",IF(G11&lt;'[6]Set Up'!$J$15,G11*'[6]Set Up'!$N$15,IF(G11&lt;'[6]Set Up'!$J$16,(G11-'[6]Set Up'!$J$15)*'[6]Set Up'!$N$16+'[6]Set Up'!$O$15,IF(G11&lt;'[6]Set Up'!$J$17,(G11-'[6]Set Up'!$J$16)*'[6]Set Up'!$N$17+'[6]Set Up'!$O$15+'[6]Set Up'!$O$16,(G11-'[6]Set Up'!$J$17)*'[6]Set Up'!$N$18 + SUM('[6]Set Up'!$O$15:'[6]Set Up'!$O$17)))))</f>
        <v>428.54109637489591</v>
      </c>
      <c r="H15" s="30">
        <f>IF(H11="","",IF(H11&lt;'[6]Set Up'!$J$15,H11*'[6]Set Up'!$N$15,IF(H11&lt;'[6]Set Up'!$J$16,(H11-'[6]Set Up'!$J$15)*'[6]Set Up'!$N$16+'[6]Set Up'!$O$15,IF(H11&lt;'[6]Set Up'!$J$17,(H11-'[6]Set Up'!$J$16)*'[6]Set Up'!$N$17+'[6]Set Up'!$O$15+'[6]Set Up'!$O$16,(H11-'[6]Set Up'!$J$17)*'[6]Set Up'!$N$18 + SUM('[6]Set Up'!$O$15:'[6]Set Up'!$O$17)))))</f>
        <v>428.54109637489591</v>
      </c>
      <c r="I15" s="30">
        <f>IF(I11="","",IF(I11&lt;'[6]Set Up'!$J$15,I11*'[6]Set Up'!$N$15,IF(I11&lt;'[6]Set Up'!$J$16,(I11-'[6]Set Up'!$J$15)*'[6]Set Up'!$N$16+'[6]Set Up'!$O$15,IF(I11&lt;'[6]Set Up'!$J$17,(I11-'[6]Set Up'!$J$16)*'[6]Set Up'!$N$17+'[6]Set Up'!$O$15+'[6]Set Up'!$O$16,(I11-'[6]Set Up'!$J$17)*'[6]Set Up'!$N$18 + SUM('[6]Set Up'!$O$15:'[6]Set Up'!$O$17)))))</f>
        <v>352.91331215049922</v>
      </c>
      <c r="J15" s="30">
        <f>IF(J11="","",IF(J11&lt;'[6]Set Up'!$J$15,J11*'[6]Set Up'!$N$15,IF(J11&lt;'[6]Set Up'!$J$16,(J11-'[6]Set Up'!$J$15)*'[6]Set Up'!$N$16+'[6]Set Up'!$O$15,IF(J11&lt;'[6]Set Up'!$J$17,(J11-'[6]Set Up'!$J$16)*'[6]Set Up'!$N$17+'[6]Set Up'!$O$15+'[6]Set Up'!$O$16,(J11-'[6]Set Up'!$J$17)*'[6]Set Up'!$N$18 + SUM('[6]Set Up'!$O$15:'[6]Set Up'!$O$17)))))</f>
        <v>349.92702254637692</v>
      </c>
      <c r="K15" s="30">
        <f>IF(K11="","",IF(K11&lt;'[6]Set Up'!$J$15,K11*'[6]Set Up'!$N$15,IF(K11&lt;'[6]Set Up'!$J$16,(K11-'[6]Set Up'!$J$15)*'[6]Set Up'!$N$16+'[6]Set Up'!$O$15,IF(K11&lt;'[6]Set Up'!$J$17,(K11-'[6]Set Up'!$J$16)*'[6]Set Up'!$N$17+'[6]Set Up'!$O$15+'[6]Set Up'!$O$16,(K11-'[6]Set Up'!$J$17)*'[6]Set Up'!$N$18 + SUM('[6]Set Up'!$O$15:'[6]Set Up'!$O$17)))))</f>
        <v>346.97059583829582</v>
      </c>
      <c r="L15" s="30">
        <f>IF(L11="","",IF(L11&lt;'[6]Set Up'!$J$15,L11*'[6]Set Up'!$N$15,IF(L11&lt;'[6]Set Up'!$J$16,(L11-'[6]Set Up'!$J$15)*'[6]Set Up'!$N$16+'[6]Set Up'!$O$15,IF(L11&lt;'[6]Set Up'!$J$17,(L11-'[6]Set Up'!$J$16)*'[6]Set Up'!$N$17+'[6]Set Up'!$O$15+'[6]Set Up'!$O$16,(L11-'[6]Set Up'!$J$17)*'[6]Set Up'!$N$18 + SUM('[6]Set Up'!$O$15:'[6]Set Up'!$O$17)))))</f>
        <v>343.99923768219418</v>
      </c>
      <c r="M15" s="30">
        <f>IF(M11="","",IF(M11&lt;'[6]Set Up'!$J$15,M11*'[6]Set Up'!$N$15,IF(M11&lt;'[6]Set Up'!$J$16,(M11-'[6]Set Up'!$J$15)*'[6]Set Up'!$N$16+'[6]Set Up'!$O$15,IF(M11&lt;'[6]Set Up'!$J$17,(M11-'[6]Set Up'!$J$16)*'[6]Set Up'!$N$17+'[6]Set Up'!$O$15+'[6]Set Up'!$O$16,(M11-'[6]Set Up'!$J$17)*'[6]Set Up'!$N$18 + SUM('[6]Set Up'!$O$15:'[6]Set Up'!$O$17)))))</f>
        <v>341.02787952609253</v>
      </c>
      <c r="N15" s="30">
        <f>IF(N11="","",IF(N11&lt;'[6]Set Up'!$J$15,N11*'[6]Set Up'!$N$15,IF(N11&lt;'[6]Set Up'!$J$16,(N11-'[6]Set Up'!$J$15)*'[6]Set Up'!$N$16+'[6]Set Up'!$O$15,IF(N11&lt;'[6]Set Up'!$J$17,(N11-'[6]Set Up'!$J$16)*'[6]Set Up'!$N$17+'[6]Set Up'!$O$15+'[6]Set Up'!$O$16,(N11-'[6]Set Up'!$J$17)*'[6]Set Up'!$N$18 + SUM('[6]Set Up'!$O$15:'[6]Set Up'!$O$17)))))</f>
        <v>338.05652136999083</v>
      </c>
      <c r="O15" s="30">
        <f>IF(O11="","",IF(O11&lt;'[6]Set Up'!$J$15,O11*'[6]Set Up'!$N$15,IF(O11&lt;'[6]Set Up'!$J$16,(O11-'[6]Set Up'!$J$15)*'[6]Set Up'!$N$16+'[6]Set Up'!$O$15,IF(O11&lt;'[6]Set Up'!$J$17,(O11-'[6]Set Up'!$J$16)*'[6]Set Up'!$N$17+'[6]Set Up'!$O$15+'[6]Set Up'!$O$16,(O11-'[6]Set Up'!$J$17)*'[6]Set Up'!$N$18 + SUM('[6]Set Up'!$O$15:'[6]Set Up'!$O$17)))))</f>
        <v>428.54109637489591</v>
      </c>
      <c r="P15" s="30">
        <f>IF(P11="","",IF(P11&lt;'[6]Set Up'!$J$15,P11*'[6]Set Up'!$N$15,IF(P11&lt;'[6]Set Up'!$J$16,(P11-'[6]Set Up'!$J$15)*'[6]Set Up'!$N$16+'[6]Set Up'!$O$15,IF(P11&lt;'[6]Set Up'!$J$17,(P11-'[6]Set Up'!$J$16)*'[6]Set Up'!$N$17+'[6]Set Up'!$O$15+'[6]Set Up'!$O$16,(P11-'[6]Set Up'!$J$17)*'[6]Set Up'!$N$18 + SUM('[6]Set Up'!$O$15:'[6]Set Up'!$O$17)))))</f>
        <v>352.91331215049922</v>
      </c>
      <c r="Q15" s="30">
        <f>IF(Q11="","",IF(Q11&lt;'[6]Set Up'!$J$15,Q11*'[6]Set Up'!$N$15,IF(Q11&lt;'[6]Set Up'!$J$16,(Q11-'[6]Set Up'!$J$15)*'[6]Set Up'!$N$16+'[6]Set Up'!$O$15,IF(Q11&lt;'[6]Set Up'!$J$17,(Q11-'[6]Set Up'!$J$16)*'[6]Set Up'!$N$17+'[6]Set Up'!$O$15+'[6]Set Up'!$O$16,(Q11-'[6]Set Up'!$J$17)*'[6]Set Up'!$N$18 + SUM('[6]Set Up'!$O$15:'[6]Set Up'!$O$17)))))</f>
        <v>349.92702254637692</v>
      </c>
      <c r="R15" s="30">
        <f>IF(R11="","",IF(R11&lt;'[6]Set Up'!$J$15,R11*'[6]Set Up'!$N$15,IF(R11&lt;'[6]Set Up'!$J$16,(R11-'[6]Set Up'!$J$15)*'[6]Set Up'!$N$16+'[6]Set Up'!$O$15,IF(R11&lt;'[6]Set Up'!$J$17,(R11-'[6]Set Up'!$J$16)*'[6]Set Up'!$N$17+'[6]Set Up'!$O$15+'[6]Set Up'!$O$16,(R11-'[6]Set Up'!$J$17)*'[6]Set Up'!$N$18 + SUM('[6]Set Up'!$O$15:'[6]Set Up'!$O$17)))))</f>
        <v>346.97059583829582</v>
      </c>
      <c r="S15" s="30">
        <f>IF(S11="","",IF(S11&lt;'[6]Set Up'!$J$15,S11*'[6]Set Up'!$N$15,IF(S11&lt;'[6]Set Up'!$J$16,(S11-'[6]Set Up'!$J$15)*'[6]Set Up'!$N$16+'[6]Set Up'!$O$15,IF(S11&lt;'[6]Set Up'!$J$17,(S11-'[6]Set Up'!$J$16)*'[6]Set Up'!$N$17+'[6]Set Up'!$O$15+'[6]Set Up'!$O$16,(S11-'[6]Set Up'!$J$17)*'[6]Set Up'!$N$18 + SUM('[6]Set Up'!$O$15:'[6]Set Up'!$O$17)))))</f>
        <v>343.99923768219418</v>
      </c>
      <c r="T15" s="30">
        <f>IF(T11="","",IF(T11&lt;'[6]Set Up'!$J$15,T11*'[6]Set Up'!$N$15,IF(T11&lt;'[6]Set Up'!$J$16,(T11-'[6]Set Up'!$J$15)*'[6]Set Up'!$N$16+'[6]Set Up'!$O$15,IF(T11&lt;'[6]Set Up'!$J$17,(T11-'[6]Set Up'!$J$16)*'[6]Set Up'!$N$17+'[6]Set Up'!$O$15+'[6]Set Up'!$O$16,(T11-'[6]Set Up'!$J$17)*'[6]Set Up'!$N$18 + SUM('[6]Set Up'!$O$15:'[6]Set Up'!$O$17)))))</f>
        <v>320.25823532942206</v>
      </c>
      <c r="U15" s="30">
        <f>IF(U11="","",IF(U11&lt;'[6]Set Up'!$J$15,U11*'[6]Set Up'!$N$15,IF(U11&lt;'[6]Set Up'!$J$16,(U11-'[6]Set Up'!$J$15)*'[6]Set Up'!$N$16+'[6]Set Up'!$O$15,IF(U11&lt;'[6]Set Up'!$J$17,(U11-'[6]Set Up'!$J$16)*'[6]Set Up'!$N$17+'[6]Set Up'!$O$15+'[6]Set Up'!$O$16,(U11-'[6]Set Up'!$J$17)*'[6]Set Up'!$N$18 + SUM('[6]Set Up'!$O$15:'[6]Set Up'!$O$17)))))</f>
        <v>317.28687717332042</v>
      </c>
      <c r="V15" s="30">
        <f>IF(V11="","",IF(V11&lt;'[6]Set Up'!$J$15,V11*'[6]Set Up'!$N$15,IF(V11&lt;'[6]Set Up'!$J$16,(V11-'[6]Set Up'!$J$15)*'[6]Set Up'!$N$16+'[6]Set Up'!$O$15,IF(V11&lt;'[6]Set Up'!$J$17,(V11-'[6]Set Up'!$J$16)*'[6]Set Up'!$N$17+'[6]Set Up'!$O$15+'[6]Set Up'!$O$16,(V11-'[6]Set Up'!$J$17)*'[6]Set Up'!$N$18 + SUM('[6]Set Up'!$O$15:'[6]Set Up'!$O$17)))))</f>
        <v>314.31551901721872</v>
      </c>
      <c r="W15" s="30">
        <f>IF(W11="","",IF(W11&lt;'[6]Set Up'!$J$15,W11*'[6]Set Up'!$N$15,IF(W11&lt;'[6]Set Up'!$J$16,(W11-'[6]Set Up'!$J$15)*'[6]Set Up'!$N$16+'[6]Set Up'!$O$15,IF(W11&lt;'[6]Set Up'!$J$17,(W11-'[6]Set Up'!$J$16)*'[6]Set Up'!$N$17+'[6]Set Up'!$O$15+'[6]Set Up'!$O$16,(W11-'[6]Set Up'!$J$17)*'[6]Set Up'!$N$18 + SUM('[6]Set Up'!$O$15:'[6]Set Up'!$O$17)))))</f>
        <v>311.35909230913768</v>
      </c>
      <c r="X15" s="30">
        <f>IF(X11="","",IF(X11&lt;'[6]Set Up'!$J$15,X11*'[6]Set Up'!$N$15,IF(X11&lt;'[6]Set Up'!$J$16,(X11-'[6]Set Up'!$J$15)*'[6]Set Up'!$N$16+'[6]Set Up'!$O$15,IF(X11&lt;'[6]Set Up'!$J$17,(X11-'[6]Set Up'!$J$16)*'[6]Set Up'!$N$17+'[6]Set Up'!$O$15+'[6]Set Up'!$O$16,(X11-'[6]Set Up'!$J$17)*'[6]Set Up'!$N$18 + SUM('[6]Set Up'!$O$15:'[6]Set Up'!$O$17)))))</f>
        <v>308.38773415303604</v>
      </c>
      <c r="Y15" s="30">
        <f>IF(Y11="","",IF(Y11&lt;'[6]Set Up'!$J$15,Y11*'[6]Set Up'!$N$15,IF(Y11&lt;'[6]Set Up'!$J$16,(Y11-'[6]Set Up'!$J$15)*'[6]Set Up'!$N$16+'[6]Set Up'!$O$15,IF(Y11&lt;'[6]Set Up'!$J$17,(Y11-'[6]Set Up'!$J$16)*'[6]Set Up'!$N$17+'[6]Set Up'!$O$15+'[6]Set Up'!$O$16,(Y11-'[6]Set Up'!$J$17)*'[6]Set Up'!$N$18 + SUM('[6]Set Up'!$O$15:'[6]Set Up'!$O$17)))))</f>
        <v>305.41637599693433</v>
      </c>
      <c r="Z15" s="30">
        <f>IF(Z11="","",IF(Z11&lt;'[6]Set Up'!$J$15,Z11*'[6]Set Up'!$N$15,IF(Z11&lt;'[6]Set Up'!$J$16,(Z11-'[6]Set Up'!$J$15)*'[6]Set Up'!$N$16+'[6]Set Up'!$O$15,IF(Z11&lt;'[6]Set Up'!$J$17,(Z11-'[6]Set Up'!$J$16)*'[6]Set Up'!$N$17+'[6]Set Up'!$O$15+'[6]Set Up'!$O$16,(Z11-'[6]Set Up'!$J$17)*'[6]Set Up'!$N$18 + SUM('[6]Set Up'!$O$15:'[6]Set Up'!$O$17)))))</f>
        <v>302.44501784083269</v>
      </c>
      <c r="AA15" s="30">
        <f>IF(AA11="","",IF(AA11&lt;'[6]Set Up'!$J$15,AA11*'[6]Set Up'!$N$15,IF(AA11&lt;'[6]Set Up'!$J$16,(AA11-'[6]Set Up'!$J$15)*'[6]Set Up'!$N$16+'[6]Set Up'!$O$15,IF(AA11&lt;'[6]Set Up'!$J$17,(AA11-'[6]Set Up'!$J$16)*'[6]Set Up'!$N$17+'[6]Set Up'!$O$15+'[6]Set Up'!$O$16,(AA11-'[6]Set Up'!$J$17)*'[6]Set Up'!$N$18 + SUM('[6]Set Up'!$O$15:'[6]Set Up'!$O$17)))))</f>
        <v>299.48859113275159</v>
      </c>
      <c r="AB15" s="30">
        <f>IF(AB11="","",IF(AB11&lt;'[6]Set Up'!$J$15,AB11*'[6]Set Up'!$N$15,IF(AB11&lt;'[6]Set Up'!$J$16,(AB11-'[6]Set Up'!$J$15)*'[6]Set Up'!$N$16+'[6]Set Up'!$O$15,IF(AB11&lt;'[6]Set Up'!$J$17,(AB11-'[6]Set Up'!$J$16)*'[6]Set Up'!$N$17+'[6]Set Up'!$O$15+'[6]Set Up'!$O$16,(AB11-'[6]Set Up'!$J$17)*'[6]Set Up'!$N$18 + SUM('[6]Set Up'!$O$15:'[6]Set Up'!$O$17)))))</f>
        <v>296.51723297664995</v>
      </c>
      <c r="AC15" s="30">
        <f>IF(AC11="","",IF(AC11&lt;'[6]Set Up'!$J$15,AC11*'[6]Set Up'!$N$15,IF(AC11&lt;'[6]Set Up'!$J$16,(AC11-'[6]Set Up'!$J$15)*'[6]Set Up'!$N$16+'[6]Set Up'!$O$15,IF(AC11&lt;'[6]Set Up'!$J$17,(AC11-'[6]Set Up'!$J$16)*'[6]Set Up'!$N$17+'[6]Set Up'!$O$15+'[6]Set Up'!$O$16,(AC11-'[6]Set Up'!$J$17)*'[6]Set Up'!$N$18 + SUM('[6]Set Up'!$O$15:'[6]Set Up'!$O$17)))))</f>
        <v>293.54587482054831</v>
      </c>
      <c r="AD15" s="30">
        <f>IF(AD11="","",IF(AD11&lt;'[6]Set Up'!$J$15,AD11*'[6]Set Up'!$N$15,IF(AD11&lt;'[6]Set Up'!$J$16,(AD11-'[6]Set Up'!$J$15)*'[6]Set Up'!$N$16+'[6]Set Up'!$O$15,IF(AD11&lt;'[6]Set Up'!$J$17,(AD11-'[6]Set Up'!$J$16)*'[6]Set Up'!$N$17+'[6]Set Up'!$O$15+'[6]Set Up'!$O$16,(AD11-'[6]Set Up'!$J$17)*'[6]Set Up'!$N$18 + SUM('[6]Set Up'!$O$15:'[6]Set Up'!$O$17)))))</f>
        <v>290.57451666444661</v>
      </c>
      <c r="AE15" s="30">
        <f>IF(AE11="","",IF(AE11&lt;'[6]Set Up'!$J$15,AE11*'[6]Set Up'!$N$15,IF(AE11&lt;'[6]Set Up'!$J$16,(AE11-'[6]Set Up'!$J$15)*'[6]Set Up'!$N$16+'[6]Set Up'!$O$15,IF(AE11&lt;'[6]Set Up'!$J$17,(AE11-'[6]Set Up'!$J$16)*'[6]Set Up'!$N$17+'[6]Set Up'!$O$15+'[6]Set Up'!$O$16,(AE11-'[6]Set Up'!$J$17)*'[6]Set Up'!$N$18 + SUM('[6]Set Up'!$O$15:'[6]Set Up'!$O$17)))))</f>
        <v>287.61808995636557</v>
      </c>
      <c r="AF15" s="30">
        <f>IF(AF11="","",IF(AF11&lt;'[6]Set Up'!$J$15,AF11*'[6]Set Up'!$N$15,IF(AF11&lt;'[6]Set Up'!$J$16,(AF11-'[6]Set Up'!$J$15)*'[6]Set Up'!$N$16+'[6]Set Up'!$O$15,IF(AF11&lt;'[6]Set Up'!$J$17,(AF11-'[6]Set Up'!$J$16)*'[6]Set Up'!$N$17+'[6]Set Up'!$O$15+'[6]Set Up'!$O$16,(AF11-'[6]Set Up'!$J$17)*'[6]Set Up'!$N$18 + SUM('[6]Set Up'!$O$15:'[6]Set Up'!$O$17)))))</f>
        <v>284.64673180026392</v>
      </c>
      <c r="AG15" s="30">
        <f>IF(AG11="","",IF(AG11&lt;'[6]Set Up'!$J$15,AG11*'[6]Set Up'!$N$15,IF(AG11&lt;'[6]Set Up'!$J$16,(AG11-'[6]Set Up'!$J$15)*'[6]Set Up'!$N$16+'[6]Set Up'!$O$15,IF(AG11&lt;'[6]Set Up'!$J$17,(AG11-'[6]Set Up'!$J$16)*'[6]Set Up'!$N$17+'[6]Set Up'!$O$15+'[6]Set Up'!$O$16,(AG11-'[6]Set Up'!$J$17)*'[6]Set Up'!$N$18 + SUM('[6]Set Up'!$O$15:'[6]Set Up'!$O$17)))))</f>
        <v>281.67537364416222</v>
      </c>
      <c r="AH15" s="30">
        <f>IF(AH11="","",IF(AH11&lt;'[6]Set Up'!$J$15,AH11*'[6]Set Up'!$N$15,IF(AH11&lt;'[6]Set Up'!$J$16,(AH11-'[6]Set Up'!$J$15)*'[6]Set Up'!$N$16+'[6]Set Up'!$O$15,IF(AH11&lt;'[6]Set Up'!$J$17,(AH11-'[6]Set Up'!$J$16)*'[6]Set Up'!$N$17+'[6]Set Up'!$O$15+'[6]Set Up'!$O$16,(AH11-'[6]Set Up'!$J$17)*'[6]Set Up'!$N$18 + SUM('[6]Set Up'!$O$15:'[6]Set Up'!$O$17)))))</f>
        <v>278.70401548806058</v>
      </c>
      <c r="AI15" s="30">
        <f>IF(AI11="","",IF(AI11&lt;'[6]Set Up'!$J$15,AI11*'[6]Set Up'!$N$15,IF(AI11&lt;'[6]Set Up'!$J$16,(AI11-'[6]Set Up'!$J$15)*'[6]Set Up'!$N$16+'[6]Set Up'!$O$15,IF(AI11&lt;'[6]Set Up'!$J$17,(AI11-'[6]Set Up'!$J$16)*'[6]Set Up'!$N$17+'[6]Set Up'!$O$15+'[6]Set Up'!$O$16,(AI11-'[6]Set Up'!$J$17)*'[6]Set Up'!$N$18 + SUM('[6]Set Up'!$O$15:'[6]Set Up'!$O$17)))))</f>
        <v>275.74758877997948</v>
      </c>
      <c r="AJ15" s="30">
        <f>IF(AJ11="","",IF(AJ11&lt;'[6]Set Up'!$J$15,AJ11*'[6]Set Up'!$N$15,IF(AJ11&lt;'[6]Set Up'!$J$16,(AJ11-'[6]Set Up'!$J$15)*'[6]Set Up'!$N$16+'[6]Set Up'!$O$15,IF(AJ11&lt;'[6]Set Up'!$J$17,(AJ11-'[6]Set Up'!$J$16)*'[6]Set Up'!$N$17+'[6]Set Up'!$O$15+'[6]Set Up'!$O$16,(AJ11-'[6]Set Up'!$J$17)*'[6]Set Up'!$N$18 + SUM('[6]Set Up'!$O$15:'[6]Set Up'!$O$17)))))</f>
        <v>272.77623062387784</v>
      </c>
      <c r="AK15" s="30">
        <f>IF(AK11="","",IF(AK11&lt;'[6]Set Up'!$J$15,AK11*'[6]Set Up'!$N$15,IF(AK11&lt;'[6]Set Up'!$J$16,(AK11-'[6]Set Up'!$J$15)*'[6]Set Up'!$N$16+'[6]Set Up'!$O$15,IF(AK11&lt;'[6]Set Up'!$J$17,(AK11-'[6]Set Up'!$J$16)*'[6]Set Up'!$N$17+'[6]Set Up'!$O$15+'[6]Set Up'!$O$16,(AK11-'[6]Set Up'!$J$17)*'[6]Set Up'!$N$18 + SUM('[6]Set Up'!$O$15:'[6]Set Up'!$O$17)))))</f>
        <v>0</v>
      </c>
      <c r="AL15" s="30">
        <f>IF(AL11="","",IF(AL11&lt;'[6]Set Up'!$J$15,AL11*'[6]Set Up'!$N$15,IF(AL11&lt;'[6]Set Up'!$J$16,(AL11-'[6]Set Up'!$J$15)*'[6]Set Up'!$N$16+'[6]Set Up'!$O$15,IF(AL11&lt;'[6]Set Up'!$J$17,(AL11-'[6]Set Up'!$J$16)*'[6]Set Up'!$N$17+'[6]Set Up'!$O$15+'[6]Set Up'!$O$16,(AL11-'[6]Set Up'!$J$17)*'[6]Set Up'!$N$18 + SUM('[6]Set Up'!$O$15:'[6]Set Up'!$O$17)))))</f>
        <v>0</v>
      </c>
      <c r="AM15" s="30">
        <f>IF(AM11="","",IF(AM11&lt;'[6]Set Up'!$J$15,AM11*'[6]Set Up'!$N$15,IF(AM11&lt;'[6]Set Up'!$J$16,(AM11-'[6]Set Up'!$J$15)*'[6]Set Up'!$N$16+'[6]Set Up'!$O$15,IF(AM11&lt;'[6]Set Up'!$J$17,(AM11-'[6]Set Up'!$J$16)*'[6]Set Up'!$N$17+'[6]Set Up'!$O$15+'[6]Set Up'!$O$16,(AM11-'[6]Set Up'!$J$17)*'[6]Set Up'!$N$18 + SUM('[6]Set Up'!$O$15:'[6]Set Up'!$O$17)))))</f>
        <v>0</v>
      </c>
      <c r="AN15" s="30">
        <f>IF(AN11="","",IF(AN11&lt;'[6]Set Up'!$J$15,AN11*'[6]Set Up'!$N$15,IF(AN11&lt;'[6]Set Up'!$J$16,(AN11-'[6]Set Up'!$J$15)*'[6]Set Up'!$N$16+'[6]Set Up'!$O$15,IF(AN11&lt;'[6]Set Up'!$J$17,(AN11-'[6]Set Up'!$J$16)*'[6]Set Up'!$N$17+'[6]Set Up'!$O$15+'[6]Set Up'!$O$16,(AN11-'[6]Set Up'!$J$17)*'[6]Set Up'!$N$18 + SUM('[6]Set Up'!$O$15:'[6]Set Up'!$O$17)))))</f>
        <v>0</v>
      </c>
      <c r="AO15" s="30">
        <f>IF(AO11="","",IF(AO11&lt;'[6]Set Up'!$J$15,AO11*'[6]Set Up'!$N$15,IF(AO11&lt;'[6]Set Up'!$J$16,(AO11-'[6]Set Up'!$J$15)*'[6]Set Up'!$N$16+'[6]Set Up'!$O$15,IF(AO11&lt;'[6]Set Up'!$J$17,(AO11-'[6]Set Up'!$J$16)*'[6]Set Up'!$N$17+'[6]Set Up'!$O$15+'[6]Set Up'!$O$16,(AO11-'[6]Set Up'!$J$17)*'[6]Set Up'!$N$18 + SUM('[6]Set Up'!$O$15:'[6]Set Up'!$O$17)))))</f>
        <v>0</v>
      </c>
      <c r="AP15" s="30">
        <f>IF(AP11="","",IF(AP11&lt;'[6]Set Up'!$J$15,AP11*'[6]Set Up'!$N$15,IF(AP11&lt;'[6]Set Up'!$J$16,(AP11-'[6]Set Up'!$J$15)*'[6]Set Up'!$N$16+'[6]Set Up'!$O$15,IF(AP11&lt;'[6]Set Up'!$J$17,(AP11-'[6]Set Up'!$J$16)*'[6]Set Up'!$N$17+'[6]Set Up'!$O$15+'[6]Set Up'!$O$16,(AP11-'[6]Set Up'!$J$17)*'[6]Set Up'!$N$18 + SUM('[6]Set Up'!$O$15:'[6]Set Up'!$O$17)))))</f>
        <v>0</v>
      </c>
      <c r="AQ15" s="30">
        <f>IF(AQ11="","",IF(AQ11&lt;'[6]Set Up'!$J$15,AQ11*'[6]Set Up'!$N$15,IF(AQ11&lt;'[6]Set Up'!$J$16,(AQ11-'[6]Set Up'!$J$15)*'[6]Set Up'!$N$16+'[6]Set Up'!$O$15,IF(AQ11&lt;'[6]Set Up'!$J$17,(AQ11-'[6]Set Up'!$J$16)*'[6]Set Up'!$N$17+'[6]Set Up'!$O$15+'[6]Set Up'!$O$16,(AQ11-'[6]Set Up'!$J$17)*'[6]Set Up'!$N$18 + SUM('[6]Set Up'!$O$15:'[6]Set Up'!$O$17)))))</f>
        <v>0</v>
      </c>
      <c r="AR15" s="30">
        <f>IF(AR11="","",IF(AR11&lt;'[6]Set Up'!$J$15,AR11*'[6]Set Up'!$N$15,IF(AR11&lt;'[6]Set Up'!$J$16,(AR11-'[6]Set Up'!$J$15)*'[6]Set Up'!$N$16+'[6]Set Up'!$O$15,IF(AR11&lt;'[6]Set Up'!$J$17,(AR11-'[6]Set Up'!$J$16)*'[6]Set Up'!$N$17+'[6]Set Up'!$O$15+'[6]Set Up'!$O$16,(AR11-'[6]Set Up'!$J$17)*'[6]Set Up'!$N$18 + SUM('[6]Set Up'!$O$15:'[6]Set Up'!$O$17)))))</f>
        <v>0</v>
      </c>
      <c r="AS15" s="30">
        <f>IF(AS11="","",IF(AS11&lt;'[6]Set Up'!$J$15,AS11*'[6]Set Up'!$N$15,IF(AS11&lt;'[6]Set Up'!$J$16,(AS11-'[6]Set Up'!$J$15)*'[6]Set Up'!$N$16+'[6]Set Up'!$O$15,IF(AS11&lt;'[6]Set Up'!$J$17,(AS11-'[6]Set Up'!$J$16)*'[6]Set Up'!$N$17+'[6]Set Up'!$O$15+'[6]Set Up'!$O$16,(AS11-'[6]Set Up'!$J$17)*'[6]Set Up'!$N$18 + SUM('[6]Set Up'!$O$15:'[6]Set Up'!$O$17)))))</f>
        <v>0</v>
      </c>
      <c r="AT15" s="30">
        <f>IF(AT11="","",IF(AT11&lt;'[6]Set Up'!$J$15,AT11*'[6]Set Up'!$N$15,IF(AT11&lt;'[6]Set Up'!$J$16,(AT11-'[6]Set Up'!$J$15)*'[6]Set Up'!$N$16+'[6]Set Up'!$O$15,IF(AT11&lt;'[6]Set Up'!$J$17,(AT11-'[6]Set Up'!$J$16)*'[6]Set Up'!$N$17+'[6]Set Up'!$O$15+'[6]Set Up'!$O$16,(AT11-'[6]Set Up'!$J$17)*'[6]Set Up'!$N$18 + SUM('[6]Set Up'!$O$15:'[6]Set Up'!$O$17)))))</f>
        <v>0</v>
      </c>
      <c r="AU15" s="30">
        <f>IF(AU11="","",IF(AU11&lt;'[6]Set Up'!$J$15,AU11*'[6]Set Up'!$N$15,IF(AU11&lt;'[6]Set Up'!$J$16,(AU11-'[6]Set Up'!$J$15)*'[6]Set Up'!$N$16+'[6]Set Up'!$O$15,IF(AU11&lt;'[6]Set Up'!$J$17,(AU11-'[6]Set Up'!$J$16)*'[6]Set Up'!$N$17+'[6]Set Up'!$O$15+'[6]Set Up'!$O$16,(AU11-'[6]Set Up'!$J$17)*'[6]Set Up'!$N$18 + SUM('[6]Set Up'!$O$15:'[6]Set Up'!$O$17)))))</f>
        <v>0</v>
      </c>
      <c r="AV15" s="30">
        <f>IF(AV11="","",IF(AV11&lt;'[6]Set Up'!$J$15,AV11*'[6]Set Up'!$N$15,IF(AV11&lt;'[6]Set Up'!$J$16,(AV11-'[6]Set Up'!$J$15)*'[6]Set Up'!$N$16+'[6]Set Up'!$O$15,IF(AV11&lt;'[6]Set Up'!$J$17,(AV11-'[6]Set Up'!$J$16)*'[6]Set Up'!$N$17+'[6]Set Up'!$O$15+'[6]Set Up'!$O$16,(AV11-'[6]Set Up'!$J$17)*'[6]Set Up'!$N$18 + SUM('[6]Set Up'!$O$15:'[6]Set Up'!$O$17)))))</f>
        <v>0</v>
      </c>
      <c r="AW15" s="30">
        <f>IF(AW11="","",IF(AW11&lt;'[6]Set Up'!$J$15,AW11*'[6]Set Up'!$N$15,IF(AW11&lt;'[6]Set Up'!$J$16,(AW11-'[6]Set Up'!$J$15)*'[6]Set Up'!$N$16+'[6]Set Up'!$O$15,IF(AW11&lt;'[6]Set Up'!$J$17,(AW11-'[6]Set Up'!$J$16)*'[6]Set Up'!$N$17+'[6]Set Up'!$O$15+'[6]Set Up'!$O$16,(AW11-'[6]Set Up'!$J$17)*'[6]Set Up'!$N$18 + SUM('[6]Set Up'!$O$15:'[6]Set Up'!$O$17)))))</f>
        <v>0</v>
      </c>
      <c r="AX15" s="30">
        <f>IF(AX11="","",IF(AX11&lt;'[6]Set Up'!$J$15,AX11*'[6]Set Up'!$N$15,IF(AX11&lt;'[6]Set Up'!$J$16,(AX11-'[6]Set Up'!$J$15)*'[6]Set Up'!$N$16+'[6]Set Up'!$O$15,IF(AX11&lt;'[6]Set Up'!$J$17,(AX11-'[6]Set Up'!$J$16)*'[6]Set Up'!$N$17+'[6]Set Up'!$O$15+'[6]Set Up'!$O$16,(AX11-'[6]Set Up'!$J$17)*'[6]Set Up'!$N$18 + SUM('[6]Set Up'!$O$15:'[6]Set Up'!$O$17)))))</f>
        <v>0</v>
      </c>
      <c r="AY15" s="30">
        <f>IF(AY11="","",IF(AY11&lt;'[6]Set Up'!$J$15,AY11*'[6]Set Up'!$N$15,IF(AY11&lt;'[6]Set Up'!$J$16,(AY11-'[6]Set Up'!$J$15)*'[6]Set Up'!$N$16+'[6]Set Up'!$O$15,IF(AY11&lt;'[6]Set Up'!$J$17,(AY11-'[6]Set Up'!$J$16)*'[6]Set Up'!$N$17+'[6]Set Up'!$O$15+'[6]Set Up'!$O$16,(AY11-'[6]Set Up'!$J$17)*'[6]Set Up'!$N$18 + SUM('[6]Set Up'!$O$15:'[6]Set Up'!$O$17)))))</f>
        <v>0</v>
      </c>
      <c r="AZ15" s="30">
        <f>IF(AZ11="","",IF(AZ11&lt;'[6]Set Up'!$J$15,AZ11*'[6]Set Up'!$N$15,IF(AZ11&lt;'[6]Set Up'!$J$16,(AZ11-'[6]Set Up'!$J$15)*'[6]Set Up'!$N$16+'[6]Set Up'!$O$15,IF(AZ11&lt;'[6]Set Up'!$J$17,(AZ11-'[6]Set Up'!$J$16)*'[6]Set Up'!$N$17+'[6]Set Up'!$O$15+'[6]Set Up'!$O$16,(AZ11-'[6]Set Up'!$J$17)*'[6]Set Up'!$N$18 + SUM('[6]Set Up'!$O$15:'[6]Set Up'!$O$17)))))</f>
        <v>0</v>
      </c>
      <c r="BA15" s="30">
        <f>IF(BA11="","",IF(BA11&lt;'[6]Set Up'!$J$15,BA11*'[6]Set Up'!$N$15,IF(BA11&lt;'[6]Set Up'!$J$16,(BA11-'[6]Set Up'!$J$15)*'[6]Set Up'!$N$16+'[6]Set Up'!$O$15,IF(BA11&lt;'[6]Set Up'!$J$17,(BA11-'[6]Set Up'!$J$16)*'[6]Set Up'!$N$17+'[6]Set Up'!$O$15+'[6]Set Up'!$O$16,(BA11-'[6]Set Up'!$J$17)*'[6]Set Up'!$N$18 + SUM('[6]Set Up'!$O$15:'[6]Set Up'!$O$17)))))</f>
        <v>0</v>
      </c>
      <c r="BB15" s="30">
        <f>IF(BB11="","",IF(BB11&lt;'[6]Set Up'!$J$15,BB11*'[6]Set Up'!$N$15,IF(BB11&lt;'[6]Set Up'!$J$16,(BB11-'[6]Set Up'!$J$15)*'[6]Set Up'!$N$16+'[6]Set Up'!$O$15,IF(BB11&lt;'[6]Set Up'!$J$17,(BB11-'[6]Set Up'!$J$16)*'[6]Set Up'!$N$17+'[6]Set Up'!$O$15+'[6]Set Up'!$O$16,(BB11-'[6]Set Up'!$J$17)*'[6]Set Up'!$N$18 + SUM('[6]Set Up'!$O$15:'[6]Set Up'!$O$17)))))</f>
        <v>0</v>
      </c>
      <c r="BC15" s="30">
        <f>IF(BC11="","",IF(BC11&lt;'[6]Set Up'!$J$15,BC11*'[6]Set Up'!$N$15,IF(BC11&lt;'[6]Set Up'!$J$16,(BC11-'[6]Set Up'!$J$15)*'[6]Set Up'!$N$16+'[6]Set Up'!$O$15,IF(BC11&lt;'[6]Set Up'!$J$17,(BC11-'[6]Set Up'!$J$16)*'[6]Set Up'!$N$17+'[6]Set Up'!$O$15+'[6]Set Up'!$O$16,(BC11-'[6]Set Up'!$J$17)*'[6]Set Up'!$N$18 + SUM('[6]Set Up'!$O$15:'[6]Set Up'!$O$17)))))</f>
        <v>0</v>
      </c>
      <c r="BD15" s="30">
        <f>IF(BD11="","",IF(BD11&lt;'[6]Set Up'!$J$15,BD11*'[6]Set Up'!$N$15,IF(BD11&lt;'[6]Set Up'!$J$16,(BD11-'[6]Set Up'!$J$15)*'[6]Set Up'!$N$16+'[6]Set Up'!$O$15,IF(BD11&lt;'[6]Set Up'!$J$17,(BD11-'[6]Set Up'!$J$16)*'[6]Set Up'!$N$17+'[6]Set Up'!$O$15+'[6]Set Up'!$O$16,(BD11-'[6]Set Up'!$J$17)*'[6]Set Up'!$N$18 + SUM('[6]Set Up'!$O$15:'[6]Set Up'!$O$17)))))</f>
        <v>0</v>
      </c>
      <c r="BE15" s="30">
        <f>IF(BE11="","",IF(BE11&lt;'[6]Set Up'!$J$15,BE11*'[6]Set Up'!$N$15,IF(BE11&lt;'[6]Set Up'!$J$16,(BE11-'[6]Set Up'!$J$15)*'[6]Set Up'!$N$16+'[6]Set Up'!$O$15,IF(BE11&lt;'[6]Set Up'!$J$17,(BE11-'[6]Set Up'!$J$16)*'[6]Set Up'!$N$17+'[6]Set Up'!$O$15+'[6]Set Up'!$O$16,(BE11-'[6]Set Up'!$J$17)*'[6]Set Up'!$N$18 + SUM('[6]Set Up'!$O$15:'[6]Set Up'!$O$17)))))</f>
        <v>0</v>
      </c>
      <c r="BF15" s="30">
        <f>IF(BF11="","",IF(BF11&lt;'[6]Set Up'!$J$15,BF11*'[6]Set Up'!$N$15,IF(BF11&lt;'[6]Set Up'!$J$16,(BF11-'[6]Set Up'!$J$15)*'[6]Set Up'!$N$16+'[6]Set Up'!$O$15,IF(BF11&lt;'[6]Set Up'!$J$17,(BF11-'[6]Set Up'!$J$16)*'[6]Set Up'!$N$17+'[6]Set Up'!$O$15+'[6]Set Up'!$O$16,(BF11-'[6]Set Up'!$J$17)*'[6]Set Up'!$N$18 + SUM('[6]Set Up'!$O$15:'[6]Set Up'!$O$17)))))</f>
        <v>0</v>
      </c>
      <c r="BG15" s="30">
        <f>IF(BG11="","",IF(BG11&lt;'[6]Set Up'!$J$15,BG11*'[6]Set Up'!$N$15,IF(BG11&lt;'[6]Set Up'!$J$16,(BG11-'[6]Set Up'!$J$15)*'[6]Set Up'!$N$16+'[6]Set Up'!$O$15,IF(BG11&lt;'[6]Set Up'!$J$17,(BG11-'[6]Set Up'!$J$16)*'[6]Set Up'!$N$17+'[6]Set Up'!$O$15+'[6]Set Up'!$O$16,(BG11-'[6]Set Up'!$J$17)*'[6]Set Up'!$N$18 + SUM('[6]Set Up'!$O$15:'[6]Set Up'!$O$17)))))</f>
        <v>0</v>
      </c>
      <c r="BH15" s="30">
        <f>IF(BH11="","",IF(BH11&lt;'[6]Set Up'!$J$15,BH11*'[6]Set Up'!$N$15,IF(BH11&lt;'[6]Set Up'!$J$16,(BH11-'[6]Set Up'!$J$15)*'[6]Set Up'!$N$16+'[6]Set Up'!$O$15,IF(BH11&lt;'[6]Set Up'!$J$17,(BH11-'[6]Set Up'!$J$16)*'[6]Set Up'!$N$17+'[6]Set Up'!$O$15+'[6]Set Up'!$O$16,(BH11-'[6]Set Up'!$J$17)*'[6]Set Up'!$N$18 + SUM('[6]Set Up'!$O$15:'[6]Set Up'!$O$17)))))</f>
        <v>0</v>
      </c>
      <c r="BI15" s="30">
        <f>IF(BI11="","",IF(BI11&lt;'[6]Set Up'!$J$15,BI11*'[6]Set Up'!$N$15,IF(BI11&lt;'[6]Set Up'!$J$16,(BI11-'[6]Set Up'!$J$15)*'[6]Set Up'!$N$16+'[6]Set Up'!$O$15,IF(BI11&lt;'[6]Set Up'!$J$17,(BI11-'[6]Set Up'!$J$16)*'[6]Set Up'!$N$17+'[6]Set Up'!$O$15+'[6]Set Up'!$O$16,(BI11-'[6]Set Up'!$J$17)*'[6]Set Up'!$N$18 + SUM('[6]Set Up'!$O$15:'[6]Set Up'!$O$17)))))</f>
        <v>0</v>
      </c>
      <c r="BJ15" s="30">
        <f>IF(BJ11="","",IF(BJ11&lt;'[6]Set Up'!$J$15,BJ11*'[6]Set Up'!$N$15,IF(BJ11&lt;'[6]Set Up'!$J$16,(BJ11-'[6]Set Up'!$J$15)*'[6]Set Up'!$N$16+'[6]Set Up'!$O$15,IF(BJ11&lt;'[6]Set Up'!$J$17,(BJ11-'[6]Set Up'!$J$16)*'[6]Set Up'!$N$17+'[6]Set Up'!$O$15+'[6]Set Up'!$O$16,(BJ11-'[6]Set Up'!$J$17)*'[6]Set Up'!$N$18 + SUM('[6]Set Up'!$O$15:'[6]Set Up'!$O$17)))))</f>
        <v>0</v>
      </c>
      <c r="BK15" s="30">
        <f>IF(BK11="","",IF(BK11&lt;'[6]Set Up'!$J$15,BK11*'[6]Set Up'!$N$15,IF(BK11&lt;'[6]Set Up'!$J$16,(BK11-'[6]Set Up'!$J$15)*'[6]Set Up'!$N$16+'[6]Set Up'!$O$15,IF(BK11&lt;'[6]Set Up'!$J$17,(BK11-'[6]Set Up'!$J$16)*'[6]Set Up'!$N$17+'[6]Set Up'!$O$15+'[6]Set Up'!$O$16,(BK11-'[6]Set Up'!$J$17)*'[6]Set Up'!$N$18 + SUM('[6]Set Up'!$O$15:'[6]Set Up'!$O$17)))))</f>
        <v>0</v>
      </c>
      <c r="BL15" s="30">
        <f>IF(BL11="","",IF(BL11&lt;'[6]Set Up'!$J$15,BL11*'[6]Set Up'!$N$15,IF(BL11&lt;'[6]Set Up'!$J$16,(BL11-'[6]Set Up'!$J$15)*'[6]Set Up'!$N$16+'[6]Set Up'!$O$15,IF(BL11&lt;'[6]Set Up'!$J$17,(BL11-'[6]Set Up'!$J$16)*'[6]Set Up'!$N$17+'[6]Set Up'!$O$15+'[6]Set Up'!$O$16,(BL11-'[6]Set Up'!$J$17)*'[6]Set Up'!$N$18 + SUM('[6]Set Up'!$O$15:'[6]Set Up'!$O$17)))))</f>
        <v>0</v>
      </c>
      <c r="BM15" s="30">
        <f>IF(BM11="","",IF(BM11&lt;'[6]Set Up'!$J$15,BM11*'[6]Set Up'!$N$15,IF(BM11&lt;'[6]Set Up'!$J$16,(BM11-'[6]Set Up'!$J$15)*'[6]Set Up'!$N$16+'[6]Set Up'!$O$15,IF(BM11&lt;'[6]Set Up'!$J$17,(BM11-'[6]Set Up'!$J$16)*'[6]Set Up'!$N$17+'[6]Set Up'!$O$15+'[6]Set Up'!$O$16,(BM11-'[6]Set Up'!$J$17)*'[6]Set Up'!$N$18 + SUM('[6]Set Up'!$O$15:'[6]Set Up'!$O$17)))))</f>
        <v>0</v>
      </c>
      <c r="BN15" s="30">
        <f>IF(BN11="","",IF(BN11&lt;'[6]Set Up'!$J$15,BN11*'[6]Set Up'!$N$15,IF(BN11&lt;'[6]Set Up'!$J$16,(BN11-'[6]Set Up'!$J$15)*'[6]Set Up'!$N$16+'[6]Set Up'!$O$15,IF(BN11&lt;'[6]Set Up'!$J$17,(BN11-'[6]Set Up'!$J$16)*'[6]Set Up'!$N$17+'[6]Set Up'!$O$15+'[6]Set Up'!$O$16,(BN11-'[6]Set Up'!$J$17)*'[6]Set Up'!$N$18 + SUM('[6]Set Up'!$O$15:'[6]Set Up'!$O$17)))))</f>
        <v>0</v>
      </c>
      <c r="BO15" s="30">
        <f>IF(BO11="","",IF(BO11&lt;'[6]Set Up'!$J$15,BO11*'[6]Set Up'!$N$15,IF(BO11&lt;'[6]Set Up'!$J$16,(BO11-'[6]Set Up'!$J$15)*'[6]Set Up'!$N$16+'[6]Set Up'!$O$15,IF(BO11&lt;'[6]Set Up'!$J$17,(BO11-'[6]Set Up'!$J$16)*'[6]Set Up'!$N$17+'[6]Set Up'!$O$15+'[6]Set Up'!$O$16,(BO11-'[6]Set Up'!$J$17)*'[6]Set Up'!$N$18 + SUM('[6]Set Up'!$O$15:'[6]Set Up'!$O$17)))))</f>
        <v>0</v>
      </c>
      <c r="BP15" s="30">
        <f>IF(BP11="","",IF(BP11&lt;'[6]Set Up'!$J$15,BP11*'[6]Set Up'!$N$15,IF(BP11&lt;'[6]Set Up'!$J$16,(BP11-'[6]Set Up'!$J$15)*'[6]Set Up'!$N$16+'[6]Set Up'!$O$15,IF(BP11&lt;'[6]Set Up'!$J$17,(BP11-'[6]Set Up'!$J$16)*'[6]Set Up'!$N$17+'[6]Set Up'!$O$15+'[6]Set Up'!$O$16,(BP11-'[6]Set Up'!$J$17)*'[6]Set Up'!$N$18 + SUM('[6]Set Up'!$O$15:'[6]Set Up'!$O$17)))))</f>
        <v>0</v>
      </c>
      <c r="BQ15" s="30">
        <f>IF(BQ11="","",IF(BQ11&lt;'[6]Set Up'!$J$15,BQ11*'[6]Set Up'!$N$15,IF(BQ11&lt;'[6]Set Up'!$J$16,(BQ11-'[6]Set Up'!$J$15)*'[6]Set Up'!$N$16+'[6]Set Up'!$O$15,IF(BQ11&lt;'[6]Set Up'!$J$17,(BQ11-'[6]Set Up'!$J$16)*'[6]Set Up'!$N$17+'[6]Set Up'!$O$15+'[6]Set Up'!$O$16,(BQ11-'[6]Set Up'!$J$17)*'[6]Set Up'!$N$18 + SUM('[6]Set Up'!$O$15:'[6]Set Up'!$O$17)))))</f>
        <v>0</v>
      </c>
      <c r="BR15" s="30">
        <f>IF(BR11="","",IF(BR11&lt;'[6]Set Up'!$J$15,BR11*'[6]Set Up'!$N$15,IF(BR11&lt;'[6]Set Up'!$J$16,(BR11-'[6]Set Up'!$J$15)*'[6]Set Up'!$N$16+'[6]Set Up'!$O$15,IF(BR11&lt;'[6]Set Up'!$J$17,(BR11-'[6]Set Up'!$J$16)*'[6]Set Up'!$N$17+'[6]Set Up'!$O$15+'[6]Set Up'!$O$16,(BR11-'[6]Set Up'!$J$17)*'[6]Set Up'!$N$18 + SUM('[6]Set Up'!$O$15:'[6]Set Up'!$O$17)))))</f>
        <v>0</v>
      </c>
      <c r="BS15" s="30">
        <f>IF(BS11="","",IF(BS11&lt;'[6]Set Up'!$J$15,BS11*'[6]Set Up'!$N$15,IF(BS11&lt;'[6]Set Up'!$J$16,(BS11-'[6]Set Up'!$J$15)*'[6]Set Up'!$N$16+'[6]Set Up'!$O$15,IF(BS11&lt;'[6]Set Up'!$J$17,(BS11-'[6]Set Up'!$J$16)*'[6]Set Up'!$N$17+'[6]Set Up'!$O$15+'[6]Set Up'!$O$16,(BS11-'[6]Set Up'!$J$17)*'[6]Set Up'!$N$18 + SUM('[6]Set Up'!$O$15:'[6]Set Up'!$O$17)))))</f>
        <v>0</v>
      </c>
      <c r="BT15" s="30">
        <f>IF(BT11="","",IF(BT11&lt;'[6]Set Up'!$J$15,BT11*'[6]Set Up'!$N$15,IF(BT11&lt;'[6]Set Up'!$J$16,(BT11-'[6]Set Up'!$J$15)*'[6]Set Up'!$N$16+'[6]Set Up'!$O$15,IF(BT11&lt;'[6]Set Up'!$J$17,(BT11-'[6]Set Up'!$J$16)*'[6]Set Up'!$N$17+'[6]Set Up'!$O$15+'[6]Set Up'!$O$16,(BT11-'[6]Set Up'!$J$17)*'[6]Set Up'!$N$18 + SUM('[6]Set Up'!$O$15:'[6]Set Up'!$O$17)))))</f>
        <v>0</v>
      </c>
      <c r="BU15" s="30">
        <f>IF(BU11="","",IF(BU11&lt;'[6]Set Up'!$J$15,BU11*'[6]Set Up'!$N$15,IF(BU11&lt;'[6]Set Up'!$J$16,(BU11-'[6]Set Up'!$J$15)*'[6]Set Up'!$N$16+'[6]Set Up'!$O$15,IF(BU11&lt;'[6]Set Up'!$J$17,(BU11-'[6]Set Up'!$J$16)*'[6]Set Up'!$N$17+'[6]Set Up'!$O$15+'[6]Set Up'!$O$16,(BU11-'[6]Set Up'!$J$17)*'[6]Set Up'!$N$18 + SUM('[6]Set Up'!$O$15:'[6]Set Up'!$O$17)))))</f>
        <v>0</v>
      </c>
      <c r="BV15" s="30">
        <f>IF(BV11="","",IF(BV11&lt;'[6]Set Up'!$J$15,BV11*'[6]Set Up'!$N$15,IF(BV11&lt;'[6]Set Up'!$J$16,(BV11-'[6]Set Up'!$J$15)*'[6]Set Up'!$N$16+'[6]Set Up'!$O$15,IF(BV11&lt;'[6]Set Up'!$J$17,(BV11-'[6]Set Up'!$J$16)*'[6]Set Up'!$N$17+'[6]Set Up'!$O$15+'[6]Set Up'!$O$16,(BV11-'[6]Set Up'!$J$17)*'[6]Set Up'!$N$18 + SUM('[6]Set Up'!$O$15:'[6]Set Up'!$O$17)))))</f>
        <v>0</v>
      </c>
      <c r="BW15" s="30">
        <f>IF(BW11="","",IF(BW11&lt;'[6]Set Up'!$J$15,BW11*'[6]Set Up'!$N$15,IF(BW11&lt;'[6]Set Up'!$J$16,(BW11-'[6]Set Up'!$J$15)*'[6]Set Up'!$N$16+'[6]Set Up'!$O$15,IF(BW11&lt;'[6]Set Up'!$J$17,(BW11-'[6]Set Up'!$J$16)*'[6]Set Up'!$N$17+'[6]Set Up'!$O$15+'[6]Set Up'!$O$16,(BW11-'[6]Set Up'!$J$17)*'[6]Set Up'!$N$18 + SUM('[6]Set Up'!$O$15:'[6]Set Up'!$O$17)))))</f>
        <v>0</v>
      </c>
      <c r="BX15" s="30">
        <f>IF(BX11="","",IF(BX11&lt;'[6]Set Up'!$J$15,BX11*'[6]Set Up'!$N$15,IF(BX11&lt;'[6]Set Up'!$J$16,(BX11-'[6]Set Up'!$J$15)*'[6]Set Up'!$N$16+'[6]Set Up'!$O$15,IF(BX11&lt;'[6]Set Up'!$J$17,(BX11-'[6]Set Up'!$J$16)*'[6]Set Up'!$N$17+'[6]Set Up'!$O$15+'[6]Set Up'!$O$16,(BX11-'[6]Set Up'!$J$17)*'[6]Set Up'!$N$18 + SUM('[6]Set Up'!$O$15:'[6]Set Up'!$O$17)))))</f>
        <v>0</v>
      </c>
      <c r="BY15" s="30">
        <f>IF(BY11="","",IF(BY11&lt;'[6]Set Up'!$J$15,BY11*'[6]Set Up'!$N$15,IF(BY11&lt;'[6]Set Up'!$J$16,(BY11-'[6]Set Up'!$J$15)*'[6]Set Up'!$N$16+'[6]Set Up'!$O$15,IF(BY11&lt;'[6]Set Up'!$J$17,(BY11-'[6]Set Up'!$J$16)*'[6]Set Up'!$N$17+'[6]Set Up'!$O$15+'[6]Set Up'!$O$16,(BY11-'[6]Set Up'!$J$17)*'[6]Set Up'!$N$18 + SUM('[6]Set Up'!$O$15:'[6]Set Up'!$O$17)))))</f>
        <v>0</v>
      </c>
      <c r="BZ15" s="170"/>
    </row>
    <row r="16" spans="1:78" ht="15" thickBot="1" x14ac:dyDescent="0.4">
      <c r="A16" s="31"/>
      <c r="B16" s="32"/>
      <c r="C16" s="183" t="s">
        <v>23</v>
      </c>
      <c r="D16" s="184"/>
      <c r="E16" s="184"/>
      <c r="F16" s="184"/>
      <c r="G16" s="184"/>
      <c r="H16" s="184"/>
      <c r="I16" s="185"/>
      <c r="J16" s="32"/>
      <c r="K16" s="32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170"/>
    </row>
    <row r="17" spans="1:78" x14ac:dyDescent="0.35">
      <c r="A17" s="34" t="s">
        <v>24</v>
      </c>
      <c r="B17" s="35" t="s">
        <v>11</v>
      </c>
      <c r="C17" s="36">
        <v>43307</v>
      </c>
      <c r="D17" s="36">
        <v>43308</v>
      </c>
      <c r="E17" s="36">
        <v>43310</v>
      </c>
      <c r="F17" s="36">
        <v>43310</v>
      </c>
      <c r="G17" s="36">
        <v>43312</v>
      </c>
      <c r="H17" s="36">
        <v>43316</v>
      </c>
      <c r="I17" s="36">
        <v>43317</v>
      </c>
      <c r="J17" s="36">
        <v>43318</v>
      </c>
      <c r="K17" s="36">
        <v>43318</v>
      </c>
      <c r="L17" s="36">
        <v>43318</v>
      </c>
      <c r="M17" s="36">
        <v>43319</v>
      </c>
      <c r="N17" s="36">
        <v>43319</v>
      </c>
      <c r="O17" s="36">
        <v>43319</v>
      </c>
      <c r="P17" s="36">
        <v>43319</v>
      </c>
      <c r="Q17" s="36">
        <v>43322</v>
      </c>
      <c r="R17" s="36">
        <v>43322</v>
      </c>
      <c r="S17" s="36">
        <v>43323</v>
      </c>
      <c r="T17" s="36">
        <v>43323</v>
      </c>
      <c r="U17" s="36">
        <v>43323</v>
      </c>
      <c r="V17" s="36">
        <v>43324</v>
      </c>
      <c r="W17" s="36">
        <v>43324</v>
      </c>
      <c r="X17" s="36">
        <v>43324</v>
      </c>
      <c r="Y17" s="36">
        <v>43325</v>
      </c>
      <c r="Z17" s="36">
        <v>43325</v>
      </c>
      <c r="AA17" s="36">
        <v>43325</v>
      </c>
      <c r="AB17" s="36">
        <v>43326</v>
      </c>
      <c r="AC17" s="36">
        <v>43326</v>
      </c>
      <c r="AD17" s="36">
        <v>43326</v>
      </c>
      <c r="AE17" s="36">
        <v>43327</v>
      </c>
      <c r="AF17" s="36">
        <v>43327</v>
      </c>
      <c r="AG17" s="36">
        <v>43327</v>
      </c>
      <c r="AH17" s="36">
        <v>43328</v>
      </c>
      <c r="AI17" s="36">
        <v>43328</v>
      </c>
      <c r="AJ17" s="36">
        <v>43334</v>
      </c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171"/>
    </row>
    <row r="18" spans="1:78" x14ac:dyDescent="0.35">
      <c r="A18" s="38" t="s">
        <v>25</v>
      </c>
      <c r="B18" s="39">
        <f>IF(C18="","",AVERAGE(C18:BY18))</f>
        <v>5263.3235294117649</v>
      </c>
      <c r="C18" s="40">
        <v>5600</v>
      </c>
      <c r="D18" s="40">
        <v>5420</v>
      </c>
      <c r="E18" s="41">
        <v>5300</v>
      </c>
      <c r="F18" s="41">
        <v>5450</v>
      </c>
      <c r="G18" s="41">
        <v>5550</v>
      </c>
      <c r="H18" s="41">
        <v>5180</v>
      </c>
      <c r="I18" s="41">
        <v>5470</v>
      </c>
      <c r="J18" s="41">
        <v>5063</v>
      </c>
      <c r="K18" s="41">
        <v>5520</v>
      </c>
      <c r="L18" s="41">
        <v>4970</v>
      </c>
      <c r="M18" s="41">
        <v>5220</v>
      </c>
      <c r="N18" s="41">
        <v>5260</v>
      </c>
      <c r="O18" s="41">
        <v>5350</v>
      </c>
      <c r="P18" s="41">
        <v>5470</v>
      </c>
      <c r="Q18" s="41">
        <v>4610</v>
      </c>
      <c r="R18" s="41">
        <v>5260</v>
      </c>
      <c r="S18" s="41">
        <v>5260</v>
      </c>
      <c r="T18" s="41">
        <v>5300</v>
      </c>
      <c r="U18" s="41">
        <v>5200</v>
      </c>
      <c r="V18" s="41">
        <v>5430</v>
      </c>
      <c r="W18" s="41">
        <v>5270</v>
      </c>
      <c r="X18" s="41">
        <v>4960</v>
      </c>
      <c r="Y18" s="41">
        <v>5350</v>
      </c>
      <c r="Z18" s="41">
        <v>5330</v>
      </c>
      <c r="AA18" s="41">
        <v>5290</v>
      </c>
      <c r="AB18" s="41">
        <v>5240</v>
      </c>
      <c r="AC18" s="41">
        <v>5180</v>
      </c>
      <c r="AD18" s="41">
        <v>5040</v>
      </c>
      <c r="AE18" s="41">
        <v>5150</v>
      </c>
      <c r="AF18" s="41">
        <v>5430</v>
      </c>
      <c r="AG18" s="41">
        <v>5330</v>
      </c>
      <c r="AH18" s="41">
        <v>5230</v>
      </c>
      <c r="AI18" s="41">
        <v>5040</v>
      </c>
      <c r="AJ18" s="41">
        <v>5230</v>
      </c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172"/>
    </row>
    <row r="19" spans="1:78" ht="15" thickBot="1" x14ac:dyDescent="0.4">
      <c r="A19" s="43" t="s">
        <v>26</v>
      </c>
      <c r="B19" s="44">
        <f>IF(C19="","",AVERAGE(C19:BY19))</f>
        <v>7876.7741935483873</v>
      </c>
      <c r="C19" s="45">
        <v>7620</v>
      </c>
      <c r="D19" s="46">
        <v>7500</v>
      </c>
      <c r="E19" s="46">
        <v>8410</v>
      </c>
      <c r="F19" s="46">
        <v>8390</v>
      </c>
      <c r="G19" s="46">
        <v>8450</v>
      </c>
      <c r="H19" s="46">
        <v>7930</v>
      </c>
      <c r="I19" s="46">
        <v>7490</v>
      </c>
      <c r="J19" s="46">
        <v>7680</v>
      </c>
      <c r="K19" s="46">
        <v>7680</v>
      </c>
      <c r="L19" s="46">
        <v>7540</v>
      </c>
      <c r="M19" s="46">
        <v>7450</v>
      </c>
      <c r="N19" s="46" t="s">
        <v>42</v>
      </c>
      <c r="O19" s="46">
        <v>7690</v>
      </c>
      <c r="P19" s="46">
        <v>7690</v>
      </c>
      <c r="Q19" s="46" t="s">
        <v>42</v>
      </c>
      <c r="R19" s="46" t="s">
        <v>42</v>
      </c>
      <c r="S19" s="46">
        <v>8000</v>
      </c>
      <c r="T19" s="46">
        <v>7830</v>
      </c>
      <c r="U19" s="46">
        <v>8090</v>
      </c>
      <c r="V19" s="46">
        <v>7980</v>
      </c>
      <c r="W19" s="46">
        <v>7790</v>
      </c>
      <c r="X19" s="46">
        <v>7690</v>
      </c>
      <c r="Y19" s="46">
        <v>7690</v>
      </c>
      <c r="Z19" s="46">
        <v>7660</v>
      </c>
      <c r="AA19" s="46">
        <v>7660</v>
      </c>
      <c r="AB19" s="46">
        <v>7620</v>
      </c>
      <c r="AC19" s="46">
        <v>8020</v>
      </c>
      <c r="AD19" s="46">
        <v>7920</v>
      </c>
      <c r="AE19" s="46">
        <v>7690</v>
      </c>
      <c r="AF19" s="46">
        <v>7820</v>
      </c>
      <c r="AG19" s="46">
        <v>8010</v>
      </c>
      <c r="AH19" s="46">
        <v>8190</v>
      </c>
      <c r="AI19" s="46">
        <v>8500</v>
      </c>
      <c r="AJ19" s="46">
        <v>8500</v>
      </c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173"/>
    </row>
    <row r="20" spans="1:78" x14ac:dyDescent="0.35">
      <c r="A20" s="48" t="s">
        <v>27</v>
      </c>
      <c r="B20" s="49"/>
      <c r="C20" s="50">
        <v>0.31180555555555556</v>
      </c>
      <c r="D20" s="51">
        <v>0.58958333333333335</v>
      </c>
      <c r="E20" s="51">
        <v>0.15555555555555556</v>
      </c>
      <c r="F20" s="51">
        <v>0.68333333333333324</v>
      </c>
      <c r="G20" s="51">
        <v>0.16597222222222222</v>
      </c>
      <c r="H20" s="51">
        <v>43316.097916666666</v>
      </c>
      <c r="I20" s="51">
        <v>0.34930555555555554</v>
      </c>
      <c r="J20" s="51">
        <v>1.5277777777777777E-2</v>
      </c>
      <c r="K20" s="51">
        <v>0.2986111111111111</v>
      </c>
      <c r="L20" s="51">
        <v>0.72638888888888886</v>
      </c>
      <c r="M20" s="51">
        <v>9.0277777777777787E-3</v>
      </c>
      <c r="N20" s="51">
        <v>0.32569444444444445</v>
      </c>
      <c r="O20" s="51">
        <v>0.63194444444444442</v>
      </c>
      <c r="P20" s="51">
        <v>6.1805555555555558E-2</v>
      </c>
      <c r="Q20" s="51">
        <v>0.49583333333333335</v>
      </c>
      <c r="R20" s="51">
        <v>0.79236111111111107</v>
      </c>
      <c r="S20" s="51">
        <v>9.7916666666666666E-2</v>
      </c>
      <c r="T20" s="51">
        <v>0.35069444444444442</v>
      </c>
      <c r="U20" s="51">
        <v>0.6333333333333333</v>
      </c>
      <c r="V20" s="51">
        <v>0.87708333333333333</v>
      </c>
      <c r="W20" s="51">
        <v>0.2298611111111111</v>
      </c>
      <c r="X20" s="51">
        <v>0.65972222222222221</v>
      </c>
      <c r="Y20" s="51">
        <v>0.90694444444444444</v>
      </c>
      <c r="Z20" s="51">
        <v>0.35833333333333334</v>
      </c>
      <c r="AA20" s="51">
        <v>0.73055555555555562</v>
      </c>
      <c r="AB20" s="51">
        <v>3.1944444444444449E-2</v>
      </c>
      <c r="AC20" s="51">
        <v>0.33263888888888887</v>
      </c>
      <c r="AD20" s="51">
        <v>0.61111111111111105</v>
      </c>
      <c r="AE20" s="51">
        <v>6.5277777777777782E-2</v>
      </c>
      <c r="AF20" s="51">
        <v>0.32430555555555557</v>
      </c>
      <c r="AG20" s="51">
        <v>0.55902777777777779</v>
      </c>
      <c r="AH20" s="51">
        <v>0.8520833333333333</v>
      </c>
      <c r="AI20" s="51">
        <v>0.42569444444444443</v>
      </c>
      <c r="AJ20" s="51">
        <v>0.69513888888888886</v>
      </c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174"/>
    </row>
    <row r="21" spans="1:78" x14ac:dyDescent="0.35">
      <c r="A21" s="53" t="s">
        <v>28</v>
      </c>
      <c r="B21" s="54"/>
      <c r="C21" s="55">
        <v>0.16319444444444445</v>
      </c>
      <c r="D21" s="54">
        <v>0.58402777777777781</v>
      </c>
      <c r="E21" s="54">
        <v>0.44097222222222227</v>
      </c>
      <c r="F21" s="54">
        <v>0.53819444444444442</v>
      </c>
      <c r="G21" s="54">
        <v>0.35625000000000001</v>
      </c>
      <c r="H21" s="54">
        <v>43317.017361111109</v>
      </c>
      <c r="I21" s="54">
        <v>0.54583333333333328</v>
      </c>
      <c r="J21" s="54">
        <v>0.15763888888888888</v>
      </c>
      <c r="K21" s="54">
        <v>0.42569444444444443</v>
      </c>
      <c r="L21" s="54">
        <v>0.86458333333333337</v>
      </c>
      <c r="M21" s="54">
        <v>0.14166666666666666</v>
      </c>
      <c r="N21" s="54">
        <v>0.45902777777777781</v>
      </c>
      <c r="O21" s="54">
        <v>0.8534722222222223</v>
      </c>
      <c r="P21" s="54">
        <v>0.60902777777777783</v>
      </c>
      <c r="Q21" s="54">
        <v>0.62430555555555556</v>
      </c>
      <c r="R21" s="54">
        <v>0.92152777777777783</v>
      </c>
      <c r="S21" s="54">
        <v>0.22847222222222222</v>
      </c>
      <c r="T21" s="54">
        <v>0.47569444444444442</v>
      </c>
      <c r="U21" s="54">
        <v>0.76041666666666663</v>
      </c>
      <c r="V21" s="54">
        <v>6.2499999999999995E-3</v>
      </c>
      <c r="W21" s="54">
        <v>0.48958333333333331</v>
      </c>
      <c r="X21" s="54">
        <v>0.78541666666666676</v>
      </c>
      <c r="Y21" s="54">
        <v>0.24027777777777778</v>
      </c>
      <c r="Z21" s="54">
        <v>0.61249999999999993</v>
      </c>
      <c r="AA21" s="54">
        <v>0.85833333333333339</v>
      </c>
      <c r="AB21" s="54">
        <v>0.15833333333333333</v>
      </c>
      <c r="AC21" s="54">
        <v>0.46319444444444446</v>
      </c>
      <c r="AD21" s="54">
        <v>0.75416666666666676</v>
      </c>
      <c r="AE21" s="54">
        <v>0.21249999999999999</v>
      </c>
      <c r="AF21" s="54">
        <v>0.45069444444444445</v>
      </c>
      <c r="AG21" s="54">
        <v>0.68958333333333333</v>
      </c>
      <c r="AH21" s="54">
        <v>0.97638888888888886</v>
      </c>
      <c r="AI21" s="54">
        <v>0.55486111111111114</v>
      </c>
      <c r="AJ21" s="54">
        <v>0.90972222222222221</v>
      </c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174"/>
    </row>
    <row r="22" spans="1:78" ht="15" thickBot="1" x14ac:dyDescent="0.4">
      <c r="A22" s="56" t="s">
        <v>29</v>
      </c>
      <c r="B22" s="57">
        <f t="shared" ref="B22:B31" si="0">IF(C22="","",AVERAGE(C22:BY22))</f>
        <v>0.26109068627449072</v>
      </c>
      <c r="C22" s="58">
        <v>0.85138888888888886</v>
      </c>
      <c r="D22" s="59">
        <v>0.99444444444444446</v>
      </c>
      <c r="E22" s="59">
        <v>0.28541666666666671</v>
      </c>
      <c r="F22" s="59">
        <v>0.85486111111111118</v>
      </c>
      <c r="G22" s="59">
        <v>0.1902777777777778</v>
      </c>
      <c r="H22" s="59">
        <v>0.91944444444379769</v>
      </c>
      <c r="I22" s="59">
        <v>0.19652777777777775</v>
      </c>
      <c r="J22" s="59">
        <v>0.1423611111111111</v>
      </c>
      <c r="K22" s="59">
        <v>0.12708333333333333</v>
      </c>
      <c r="L22" s="59">
        <v>0.13819444444444451</v>
      </c>
      <c r="M22" s="59">
        <v>0.13263888888888889</v>
      </c>
      <c r="N22" s="59">
        <v>0.13333333333333336</v>
      </c>
      <c r="O22" s="59">
        <v>0.22152777777777788</v>
      </c>
      <c r="P22" s="59">
        <v>0.54722222222222228</v>
      </c>
      <c r="Q22" s="59">
        <v>0.12847222222222221</v>
      </c>
      <c r="R22" s="59">
        <v>0.12916666666666676</v>
      </c>
      <c r="S22" s="59">
        <v>0.13055555555555554</v>
      </c>
      <c r="T22" s="59">
        <v>0.125</v>
      </c>
      <c r="U22" s="59">
        <v>0.12708333333333333</v>
      </c>
      <c r="V22" s="59">
        <v>0.12916666666666665</v>
      </c>
      <c r="W22" s="59">
        <v>0.25972222222222219</v>
      </c>
      <c r="X22" s="59">
        <v>0.12569444444444455</v>
      </c>
      <c r="Y22" s="59">
        <v>0.33333333333333337</v>
      </c>
      <c r="Z22" s="59">
        <v>0.2541666666666666</v>
      </c>
      <c r="AA22" s="59">
        <v>0.12777777777777777</v>
      </c>
      <c r="AB22" s="59">
        <v>0.12638888888888888</v>
      </c>
      <c r="AC22" s="59">
        <v>0.13055555555555559</v>
      </c>
      <c r="AD22" s="59">
        <v>0.14305555555555571</v>
      </c>
      <c r="AE22" s="59">
        <v>0.1472222222222222</v>
      </c>
      <c r="AF22" s="59">
        <v>0.12638888888888888</v>
      </c>
      <c r="AG22" s="59">
        <v>0.13055555555555554</v>
      </c>
      <c r="AH22" s="59">
        <v>0.12430555555555556</v>
      </c>
      <c r="AI22" s="59">
        <v>0.12916666666666671</v>
      </c>
      <c r="AJ22" s="59">
        <v>0.21458333333333335</v>
      </c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  <c r="AV22" s="59"/>
      <c r="AW22" s="59"/>
      <c r="AX22" s="59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174"/>
    </row>
    <row r="23" spans="1:78" x14ac:dyDescent="0.35">
      <c r="A23" s="60" t="s">
        <v>30</v>
      </c>
      <c r="B23" s="61">
        <f t="shared" si="0"/>
        <v>66.376960784313724</v>
      </c>
      <c r="C23" s="62">
        <v>58.7</v>
      </c>
      <c r="D23" s="63">
        <v>53.3</v>
      </c>
      <c r="E23" s="63">
        <v>59.9</v>
      </c>
      <c r="F23" s="63">
        <v>57.2</v>
      </c>
      <c r="G23" s="63">
        <v>67.7</v>
      </c>
      <c r="H23" s="63">
        <v>60.6</v>
      </c>
      <c r="I23" s="63">
        <v>65.599999999999994</v>
      </c>
      <c r="J23" s="63">
        <v>65.8</v>
      </c>
      <c r="K23" s="63">
        <v>68.3</v>
      </c>
      <c r="L23" s="63">
        <v>64.7</v>
      </c>
      <c r="M23" s="63">
        <v>66.7</v>
      </c>
      <c r="N23" s="63">
        <v>63.8</v>
      </c>
      <c r="O23" s="63">
        <v>66.8</v>
      </c>
      <c r="P23" s="63">
        <v>67.7</v>
      </c>
      <c r="Q23" s="63">
        <v>69.2</v>
      </c>
      <c r="R23" s="63">
        <v>70</v>
      </c>
      <c r="S23" s="63">
        <v>69.8</v>
      </c>
      <c r="T23" s="63">
        <v>69.900000000000006</v>
      </c>
      <c r="U23" s="63">
        <v>70</v>
      </c>
      <c r="V23" s="63">
        <v>69.599999999999994</v>
      </c>
      <c r="W23" s="63">
        <v>64.599999999999994</v>
      </c>
      <c r="X23" s="63">
        <v>70.5</v>
      </c>
      <c r="Y23" s="63">
        <v>67.400000000000006</v>
      </c>
      <c r="Z23" s="63">
        <v>57.266666666666673</v>
      </c>
      <c r="AA23" s="63">
        <v>70</v>
      </c>
      <c r="AB23" s="63">
        <v>69.8</v>
      </c>
      <c r="AC23" s="63">
        <v>67.150000000000006</v>
      </c>
      <c r="AD23" s="63">
        <v>69.3</v>
      </c>
      <c r="AE23" s="63">
        <v>69.900000000000006</v>
      </c>
      <c r="AF23" s="63">
        <v>69.3</v>
      </c>
      <c r="AG23" s="63">
        <v>68.400000000000006</v>
      </c>
      <c r="AH23" s="63">
        <v>70.099999999999994</v>
      </c>
      <c r="AI23" s="63">
        <v>68.3</v>
      </c>
      <c r="AJ23" s="63">
        <v>69.5</v>
      </c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175"/>
    </row>
    <row r="24" spans="1:78" x14ac:dyDescent="0.35">
      <c r="A24" s="65" t="s">
        <v>31</v>
      </c>
      <c r="B24" s="66">
        <f t="shared" si="0"/>
        <v>10925.980392156862</v>
      </c>
      <c r="C24" s="67">
        <v>11663</v>
      </c>
      <c r="D24" s="68">
        <v>11854</v>
      </c>
      <c r="E24" s="68">
        <v>11507</v>
      </c>
      <c r="F24" s="68">
        <v>11567</v>
      </c>
      <c r="G24" s="68">
        <v>11460</v>
      </c>
      <c r="H24" s="68">
        <v>10949</v>
      </c>
      <c r="I24" s="68">
        <v>11298</v>
      </c>
      <c r="J24" s="68">
        <v>11259</v>
      </c>
      <c r="K24" s="68">
        <v>11024</v>
      </c>
      <c r="L24" s="68">
        <v>10924</v>
      </c>
      <c r="M24" s="68">
        <v>11054</v>
      </c>
      <c r="N24" s="68">
        <v>11246</v>
      </c>
      <c r="O24" s="68">
        <v>10917</v>
      </c>
      <c r="P24" s="68">
        <v>10600</v>
      </c>
      <c r="Q24" s="68">
        <v>10366</v>
      </c>
      <c r="R24" s="68">
        <v>10446</v>
      </c>
      <c r="S24" s="68">
        <v>10815</v>
      </c>
      <c r="T24" s="68">
        <v>10725</v>
      </c>
      <c r="U24" s="68">
        <v>10732</v>
      </c>
      <c r="V24" s="68">
        <v>11010</v>
      </c>
      <c r="W24" s="68">
        <v>10641</v>
      </c>
      <c r="X24" s="68">
        <v>10644</v>
      </c>
      <c r="Y24" s="68">
        <v>10601</v>
      </c>
      <c r="Z24" s="68">
        <v>10325.333333333334</v>
      </c>
      <c r="AA24" s="68">
        <v>10771</v>
      </c>
      <c r="AB24" s="68">
        <v>10388</v>
      </c>
      <c r="AC24" s="68">
        <v>10613</v>
      </c>
      <c r="AD24" s="68">
        <v>10945</v>
      </c>
      <c r="AE24" s="68">
        <v>10828</v>
      </c>
      <c r="AF24" s="68">
        <v>10756</v>
      </c>
      <c r="AG24" s="68">
        <v>10942</v>
      </c>
      <c r="AH24" s="68">
        <v>10554</v>
      </c>
      <c r="AI24" s="68">
        <v>10928</v>
      </c>
      <c r="AJ24" s="68">
        <v>11131</v>
      </c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8"/>
      <c r="BY24" s="68"/>
      <c r="BZ24" s="176"/>
    </row>
    <row r="25" spans="1:78" x14ac:dyDescent="0.35">
      <c r="A25" s="70" t="s">
        <v>32</v>
      </c>
      <c r="B25" s="71">
        <f t="shared" si="0"/>
        <v>70.394705882352952</v>
      </c>
      <c r="C25" s="72">
        <v>70.7</v>
      </c>
      <c r="D25" s="73">
        <v>70.2</v>
      </c>
      <c r="E25" s="73">
        <v>66.2</v>
      </c>
      <c r="F25" s="73">
        <v>70</v>
      </c>
      <c r="G25" s="73">
        <v>70.7</v>
      </c>
      <c r="H25" s="73">
        <v>70.7</v>
      </c>
      <c r="I25" s="73">
        <v>70.3</v>
      </c>
      <c r="J25" s="73">
        <v>70.599999999999994</v>
      </c>
      <c r="K25" s="73">
        <v>70.400000000000006</v>
      </c>
      <c r="L25" s="73">
        <v>70.099999999999994</v>
      </c>
      <c r="M25" s="73">
        <v>70</v>
      </c>
      <c r="N25" s="73">
        <v>70.599999999999994</v>
      </c>
      <c r="O25" s="73">
        <v>70.099999999999994</v>
      </c>
      <c r="P25" s="73">
        <v>70.099999999999994</v>
      </c>
      <c r="Q25" s="73">
        <v>70.540000000000006</v>
      </c>
      <c r="R25" s="73">
        <v>71</v>
      </c>
      <c r="S25" s="73">
        <v>70.599999999999994</v>
      </c>
      <c r="T25" s="73">
        <v>70.400000000000006</v>
      </c>
      <c r="U25" s="73">
        <v>71</v>
      </c>
      <c r="V25" s="73">
        <v>70.8</v>
      </c>
      <c r="W25" s="73">
        <v>68.819999999999993</v>
      </c>
      <c r="X25" s="73">
        <v>71</v>
      </c>
      <c r="Y25" s="73">
        <v>71.400000000000006</v>
      </c>
      <c r="Z25" s="73">
        <v>70.3</v>
      </c>
      <c r="AA25" s="73">
        <v>71.099999999999994</v>
      </c>
      <c r="AB25" s="73">
        <v>70.900000000000006</v>
      </c>
      <c r="AC25" s="73">
        <v>70.5</v>
      </c>
      <c r="AD25" s="73">
        <v>70.599999999999994</v>
      </c>
      <c r="AE25" s="73">
        <v>70.7</v>
      </c>
      <c r="AF25" s="73">
        <v>69.8</v>
      </c>
      <c r="AG25" s="73">
        <v>70.400000000000006</v>
      </c>
      <c r="AH25" s="73">
        <v>71.3</v>
      </c>
      <c r="AI25" s="73">
        <v>70.760000000000005</v>
      </c>
      <c r="AJ25" s="73">
        <v>70.8</v>
      </c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175"/>
    </row>
    <row r="26" spans="1:78" ht="15" thickBot="1" x14ac:dyDescent="0.4">
      <c r="A26" s="74" t="s">
        <v>33</v>
      </c>
      <c r="B26" s="75">
        <f t="shared" si="0"/>
        <v>11748.970588235294</v>
      </c>
      <c r="C26" s="76">
        <v>12380</v>
      </c>
      <c r="D26" s="77">
        <v>12470</v>
      </c>
      <c r="E26" s="77">
        <v>12100</v>
      </c>
      <c r="F26" s="77">
        <v>12160</v>
      </c>
      <c r="G26" s="77">
        <v>12420</v>
      </c>
      <c r="H26" s="77">
        <v>12490</v>
      </c>
      <c r="I26" s="77">
        <v>11850</v>
      </c>
      <c r="J26" s="77">
        <v>11900</v>
      </c>
      <c r="K26" s="77">
        <v>11550</v>
      </c>
      <c r="L26" s="77">
        <v>11730</v>
      </c>
      <c r="M26" s="77">
        <v>11920</v>
      </c>
      <c r="N26" s="77">
        <v>11785</v>
      </c>
      <c r="O26" s="77">
        <v>12180</v>
      </c>
      <c r="P26" s="77">
        <v>11530</v>
      </c>
      <c r="Q26" s="77">
        <v>10850</v>
      </c>
      <c r="R26" s="77">
        <v>11500</v>
      </c>
      <c r="S26" s="77">
        <v>11450</v>
      </c>
      <c r="T26" s="77">
        <v>11130</v>
      </c>
      <c r="U26" s="77">
        <v>11690</v>
      </c>
      <c r="V26" s="77">
        <v>11750</v>
      </c>
      <c r="W26" s="77">
        <v>11580</v>
      </c>
      <c r="X26" s="77">
        <v>11570</v>
      </c>
      <c r="Y26" s="77">
        <v>11570</v>
      </c>
      <c r="Z26" s="77">
        <v>11730</v>
      </c>
      <c r="AA26" s="77">
        <v>11860</v>
      </c>
      <c r="AB26" s="77">
        <v>11970</v>
      </c>
      <c r="AC26" s="77">
        <v>11290</v>
      </c>
      <c r="AD26" s="77">
        <v>11400</v>
      </c>
      <c r="AE26" s="77">
        <v>11810</v>
      </c>
      <c r="AF26" s="77">
        <v>11650</v>
      </c>
      <c r="AG26" s="77">
        <v>11560</v>
      </c>
      <c r="AH26" s="77">
        <v>11630</v>
      </c>
      <c r="AI26" s="77">
        <v>11480</v>
      </c>
      <c r="AJ26" s="77">
        <v>11530</v>
      </c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77"/>
      <c r="BX26" s="77"/>
      <c r="BY26" s="77"/>
      <c r="BZ26" s="175"/>
    </row>
    <row r="27" spans="1:78" x14ac:dyDescent="0.35">
      <c r="A27" s="78" t="s">
        <v>34</v>
      </c>
      <c r="B27" s="79">
        <f t="shared" si="0"/>
        <v>6518.6176470588234</v>
      </c>
      <c r="C27" s="80">
        <v>6960</v>
      </c>
      <c r="D27" s="81">
        <v>6420</v>
      </c>
      <c r="E27" s="81">
        <v>6160</v>
      </c>
      <c r="F27" s="81">
        <v>6350</v>
      </c>
      <c r="G27" s="81">
        <v>12480</v>
      </c>
      <c r="H27" s="81">
        <v>6760</v>
      </c>
      <c r="I27" s="81">
        <v>6667</v>
      </c>
      <c r="J27" s="81">
        <v>6600</v>
      </c>
      <c r="K27" s="81">
        <v>6630</v>
      </c>
      <c r="L27" s="81">
        <v>6373</v>
      </c>
      <c r="M27" s="81">
        <v>6370</v>
      </c>
      <c r="N27" s="81">
        <v>6623</v>
      </c>
      <c r="O27" s="81">
        <v>6630</v>
      </c>
      <c r="P27" s="81">
        <v>5400</v>
      </c>
      <c r="Q27" s="81">
        <v>6207</v>
      </c>
      <c r="R27" s="81">
        <v>6460</v>
      </c>
      <c r="S27" s="81">
        <v>6340</v>
      </c>
      <c r="T27" s="81">
        <v>6273</v>
      </c>
      <c r="U27" s="81">
        <v>6121</v>
      </c>
      <c r="V27" s="81">
        <v>6295</v>
      </c>
      <c r="W27" s="81">
        <v>6280</v>
      </c>
      <c r="X27" s="81">
        <v>6145</v>
      </c>
      <c r="Y27" s="81">
        <v>6360</v>
      </c>
      <c r="Z27" s="81">
        <v>5957</v>
      </c>
      <c r="AA27" s="81">
        <v>6303</v>
      </c>
      <c r="AB27" s="81">
        <v>6279</v>
      </c>
      <c r="AC27" s="81">
        <v>6120</v>
      </c>
      <c r="AD27" s="81">
        <v>6222</v>
      </c>
      <c r="AE27" s="81">
        <v>6095</v>
      </c>
      <c r="AF27" s="81">
        <v>6330</v>
      </c>
      <c r="AG27" s="81">
        <v>6190</v>
      </c>
      <c r="AH27" s="81">
        <v>6450</v>
      </c>
      <c r="AI27" s="81">
        <v>5983</v>
      </c>
      <c r="AJ27" s="81">
        <v>6800</v>
      </c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175"/>
    </row>
    <row r="28" spans="1:78" x14ac:dyDescent="0.35">
      <c r="A28" s="82" t="s">
        <v>35</v>
      </c>
      <c r="B28" s="83">
        <f t="shared" si="0"/>
        <v>0.95268565741403677</v>
      </c>
      <c r="C28" s="84">
        <v>0.98457725877040092</v>
      </c>
      <c r="D28" s="84">
        <v>0.94256162320875991</v>
      </c>
      <c r="E28" s="84">
        <v>0.92197039979368356</v>
      </c>
      <c r="F28" s="84">
        <v>0.93704737170290431</v>
      </c>
      <c r="G28" s="84">
        <v>1.4248158342073896</v>
      </c>
      <c r="H28" s="84">
        <v>0.97150424613363062</v>
      </c>
      <c r="I28" s="84">
        <v>0.96354891702466183</v>
      </c>
      <c r="J28" s="84">
        <v>0.95834410835521611</v>
      </c>
      <c r="K28" s="84">
        <v>0.96068933551877778</v>
      </c>
      <c r="L28" s="84">
        <v>0.94032128367022116</v>
      </c>
      <c r="M28" s="84">
        <v>0.94004220654889792</v>
      </c>
      <c r="N28" s="84">
        <v>0.96025818475925173</v>
      </c>
      <c r="O28" s="84">
        <v>0.96106737295166811</v>
      </c>
      <c r="P28" s="84">
        <v>0.86347227236433177</v>
      </c>
      <c r="Q28" s="84">
        <v>0.92833261416035107</v>
      </c>
      <c r="R28" s="84">
        <v>0.94843388663157036</v>
      </c>
      <c r="S28" s="84">
        <v>0.93870092282114648</v>
      </c>
      <c r="T28" s="84">
        <v>0.9330794060248645</v>
      </c>
      <c r="U28" s="84">
        <v>0.92119928497847225</v>
      </c>
      <c r="V28" s="84">
        <v>0.93527284331977334</v>
      </c>
      <c r="W28" s="84">
        <v>0.93423625630734863</v>
      </c>
      <c r="X28" s="84">
        <v>0.9234646932338626</v>
      </c>
      <c r="Y28" s="84">
        <v>0.94070039758199664</v>
      </c>
      <c r="Z28" s="84">
        <v>0.90895782204472853</v>
      </c>
      <c r="AA28" s="84">
        <v>0.93659360479233233</v>
      </c>
      <c r="AB28" s="84">
        <v>0.93475679931298916</v>
      </c>
      <c r="AC28" s="84">
        <v>0.9220941483342654</v>
      </c>
      <c r="AD28" s="84">
        <v>0.93016365307931936</v>
      </c>
      <c r="AE28" s="84">
        <v>0.92025252284024628</v>
      </c>
      <c r="AF28" s="84">
        <v>0.93959961524121927</v>
      </c>
      <c r="AG28" s="84">
        <v>0.92863656738173372</v>
      </c>
      <c r="AH28" s="84">
        <v>0.94903528971446849</v>
      </c>
      <c r="AI28" s="84">
        <v>0.91137826713292303</v>
      </c>
      <c r="AJ28" s="84">
        <v>0.9762033421338443</v>
      </c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  <c r="BS28" s="84"/>
      <c r="BT28" s="84"/>
      <c r="BU28" s="84"/>
      <c r="BV28" s="84"/>
      <c r="BW28" s="84"/>
      <c r="BX28" s="84"/>
      <c r="BY28" s="84"/>
      <c r="BZ28" s="175"/>
    </row>
    <row r="29" spans="1:78" x14ac:dyDescent="0.35">
      <c r="A29" s="85" t="s">
        <v>36</v>
      </c>
      <c r="B29" s="86">
        <f t="shared" si="0"/>
        <v>1626.9117647058824</v>
      </c>
      <c r="C29" s="87">
        <v>55</v>
      </c>
      <c r="D29" s="88">
        <v>55</v>
      </c>
      <c r="E29" s="88">
        <v>55</v>
      </c>
      <c r="F29" s="88">
        <v>55</v>
      </c>
      <c r="G29" s="88">
        <v>55</v>
      </c>
      <c r="H29" s="88">
        <v>55</v>
      </c>
      <c r="I29" s="88">
        <v>55</v>
      </c>
      <c r="J29" s="88">
        <v>55</v>
      </c>
      <c r="K29" s="88">
        <v>55</v>
      </c>
      <c r="L29" s="88">
        <v>55</v>
      </c>
      <c r="M29" s="88">
        <v>55</v>
      </c>
      <c r="N29" s="88">
        <v>55</v>
      </c>
      <c r="O29" s="88">
        <v>7690</v>
      </c>
      <c r="P29" s="88">
        <v>7690</v>
      </c>
      <c r="Q29" s="88">
        <v>7690</v>
      </c>
      <c r="R29" s="88">
        <v>55</v>
      </c>
      <c r="S29" s="88">
        <v>55</v>
      </c>
      <c r="T29" s="88">
        <v>7690</v>
      </c>
      <c r="U29" s="88">
        <v>55</v>
      </c>
      <c r="V29" s="88">
        <v>7690</v>
      </c>
      <c r="W29" s="88">
        <v>7690</v>
      </c>
      <c r="X29" s="88">
        <v>7690</v>
      </c>
      <c r="Y29" s="88">
        <v>55</v>
      </c>
      <c r="Z29" s="88">
        <v>55</v>
      </c>
      <c r="AA29" s="88">
        <v>55</v>
      </c>
      <c r="AB29" s="88">
        <v>55</v>
      </c>
      <c r="AC29" s="88">
        <v>55</v>
      </c>
      <c r="AD29" s="88">
        <v>55</v>
      </c>
      <c r="AE29" s="88">
        <v>55</v>
      </c>
      <c r="AF29" s="88">
        <v>55</v>
      </c>
      <c r="AG29" s="88">
        <v>55</v>
      </c>
      <c r="AH29" s="88">
        <v>55</v>
      </c>
      <c r="AI29" s="88">
        <v>55</v>
      </c>
      <c r="AJ29" s="88">
        <v>55</v>
      </c>
      <c r="AK29" s="88"/>
      <c r="AL29" s="88"/>
      <c r="AM29" s="88"/>
      <c r="AN29" s="88"/>
      <c r="AO29" s="88"/>
      <c r="AP29" s="88"/>
      <c r="AQ29" s="88"/>
      <c r="AR29" s="88"/>
      <c r="AS29" s="88"/>
      <c r="AT29" s="88"/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88"/>
      <c r="BT29" s="88"/>
      <c r="BU29" s="88"/>
      <c r="BV29" s="88"/>
      <c r="BW29" s="88"/>
      <c r="BX29" s="88"/>
      <c r="BY29" s="88"/>
      <c r="BZ29" s="175"/>
    </row>
    <row r="30" spans="1:78" x14ac:dyDescent="0.35">
      <c r="A30" s="89" t="s">
        <v>37</v>
      </c>
      <c r="B30" s="90">
        <f t="shared" si="0"/>
        <v>17751.632549179805</v>
      </c>
      <c r="C30" s="91">
        <v>16779.855392156864</v>
      </c>
      <c r="D30" s="92">
        <v>15485.740196078432</v>
      </c>
      <c r="E30" s="92">
        <v>16893.855392156864</v>
      </c>
      <c r="F30" s="92">
        <v>16216.480392156864</v>
      </c>
      <c r="G30" s="92">
        <v>19015.735294117647</v>
      </c>
      <c r="H30" s="92">
        <v>16262.485294117649</v>
      </c>
      <c r="I30" s="92">
        <v>18165.411764705881</v>
      </c>
      <c r="J30" s="92">
        <v>18157.897058823528</v>
      </c>
      <c r="K30" s="92">
        <v>18454.392156862745</v>
      </c>
      <c r="L30" s="92">
        <v>17323.107843137259</v>
      </c>
      <c r="M30" s="92">
        <v>18071.122549019612</v>
      </c>
      <c r="N30" s="92">
        <v>17585.656862745098</v>
      </c>
      <c r="O30" s="92">
        <v>17873.911764705885</v>
      </c>
      <c r="P30" s="92">
        <v>17588.725490196081</v>
      </c>
      <c r="Q30" s="92">
        <v>17581.549019607846</v>
      </c>
      <c r="R30" s="92">
        <v>17922.058823529413</v>
      </c>
      <c r="S30" s="92">
        <v>18502.132352941178</v>
      </c>
      <c r="T30" s="92">
        <v>18374.448529411769</v>
      </c>
      <c r="U30" s="92">
        <v>18412.745098039217</v>
      </c>
      <c r="V30" s="92">
        <v>18781.764705882353</v>
      </c>
      <c r="W30" s="92">
        <v>16848.25</v>
      </c>
      <c r="X30" s="92">
        <v>18392.205882352944</v>
      </c>
      <c r="Y30" s="92">
        <v>17512.436274509804</v>
      </c>
      <c r="Z30" s="92">
        <v>14492.583877995647</v>
      </c>
      <c r="AA30" s="92">
        <v>18479.656862745098</v>
      </c>
      <c r="AB30" s="92">
        <v>17771.627450980395</v>
      </c>
      <c r="AC30" s="92">
        <v>17467.229166666668</v>
      </c>
      <c r="AD30" s="92">
        <v>18590.404411764706</v>
      </c>
      <c r="AE30" s="92">
        <v>18550.911764705885</v>
      </c>
      <c r="AF30" s="92">
        <v>18269.382352941175</v>
      </c>
      <c r="AG30" s="92">
        <v>18343.941176470591</v>
      </c>
      <c r="AH30" s="92">
        <v>18133.220588235294</v>
      </c>
      <c r="AI30" s="92">
        <v>18293.686274509804</v>
      </c>
      <c r="AJ30" s="92">
        <v>18960.89460784314</v>
      </c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175"/>
    </row>
    <row r="31" spans="1:78" ht="15" thickBot="1" x14ac:dyDescent="0.4">
      <c r="A31" s="93" t="s">
        <v>38</v>
      </c>
      <c r="B31" s="94" t="str">
        <f t="shared" si="0"/>
        <v/>
      </c>
      <c r="C31" s="95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7"/>
      <c r="BB31" s="97"/>
      <c r="BC31" s="97"/>
      <c r="BD31" s="97"/>
      <c r="BE31" s="97"/>
      <c r="BF31" s="97"/>
      <c r="BG31" s="97"/>
      <c r="BH31" s="97"/>
      <c r="BI31" s="97"/>
      <c r="BJ31" s="97"/>
      <c r="BK31" s="97"/>
      <c r="BL31" s="97"/>
      <c r="BM31" s="97"/>
      <c r="BN31" s="97"/>
      <c r="BO31" s="97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64"/>
    </row>
    <row r="32" spans="1:78" x14ac:dyDescent="0.35">
      <c r="A32" s="99" t="str">
        <f>IF('[6]Set Up'!E41=0,"",'[6]Set Up'!E41&amp;", bbl")</f>
        <v>15% HCl Acid, bbl</v>
      </c>
      <c r="B32" s="100">
        <f>IF(BZ32=0,"",AVERAGE(C32:BY32))</f>
        <v>15.878151260504202</v>
      </c>
      <c r="C32" s="101">
        <v>14.952380952380953</v>
      </c>
      <c r="D32" s="102">
        <v>17.285714285714285</v>
      </c>
      <c r="E32" s="102">
        <v>15.761904761904763</v>
      </c>
      <c r="F32" s="102">
        <v>0</v>
      </c>
      <c r="G32" s="102">
        <v>0</v>
      </c>
      <c r="H32" s="102">
        <v>16.071428571428573</v>
      </c>
      <c r="I32" s="102">
        <v>13.69047619047619</v>
      </c>
      <c r="J32" s="102">
        <v>15.023809523809524</v>
      </c>
      <c r="K32" s="102">
        <v>13.30952380952381</v>
      </c>
      <c r="L32" s="102">
        <v>13.80952380952381</v>
      </c>
      <c r="M32" s="102">
        <v>14.261904761904763</v>
      </c>
      <c r="N32" s="102">
        <v>14.571428571428571</v>
      </c>
      <c r="O32" s="102">
        <v>14.880952380952381</v>
      </c>
      <c r="P32" s="102">
        <v>15.023809523809524</v>
      </c>
      <c r="Q32" s="102">
        <v>49.071428571428569</v>
      </c>
      <c r="R32" s="102">
        <v>0</v>
      </c>
      <c r="S32" s="102">
        <v>0</v>
      </c>
      <c r="T32" s="102">
        <v>0</v>
      </c>
      <c r="U32" s="102">
        <v>0</v>
      </c>
      <c r="V32" s="102">
        <v>0</v>
      </c>
      <c r="W32" s="102">
        <v>0</v>
      </c>
      <c r="X32" s="102">
        <v>0</v>
      </c>
      <c r="Y32" s="102">
        <v>0</v>
      </c>
      <c r="Z32" s="102">
        <v>28.071428571428573</v>
      </c>
      <c r="AA32" s="102">
        <v>29.095238095238095</v>
      </c>
      <c r="AB32" s="102">
        <v>27.523809523809526</v>
      </c>
      <c r="AC32" s="102">
        <v>28.714285714285715</v>
      </c>
      <c r="AD32" s="102">
        <v>29.785714285714285</v>
      </c>
      <c r="AE32" s="102">
        <v>30.214285714285715</v>
      </c>
      <c r="AF32" s="102">
        <v>30.095238095238095</v>
      </c>
      <c r="AG32" s="102">
        <v>29.023809523809526</v>
      </c>
      <c r="AH32" s="102">
        <v>27.904761904761905</v>
      </c>
      <c r="AI32" s="102">
        <v>28.714285714285715</v>
      </c>
      <c r="AJ32" s="102">
        <v>23</v>
      </c>
      <c r="AK32" s="102"/>
      <c r="AL32" s="102"/>
      <c r="AM32" s="102"/>
      <c r="AN32" s="102"/>
      <c r="AO32" s="102"/>
      <c r="AP32" s="102"/>
      <c r="AQ32" s="102"/>
      <c r="AR32" s="102"/>
      <c r="AS32" s="102"/>
      <c r="AT32" s="102"/>
      <c r="AU32" s="102"/>
      <c r="AV32" s="102"/>
      <c r="AW32" s="102"/>
      <c r="AX32" s="102"/>
      <c r="AY32" s="102"/>
      <c r="AZ32" s="102"/>
      <c r="BA32" s="101"/>
      <c r="BB32" s="101"/>
      <c r="BC32" s="101"/>
      <c r="BD32" s="101"/>
      <c r="BE32" s="101"/>
      <c r="BF32" s="101"/>
      <c r="BG32" s="101"/>
      <c r="BH32" s="101"/>
      <c r="BI32" s="101"/>
      <c r="BJ32" s="101"/>
      <c r="BK32" s="101"/>
      <c r="BL32" s="101"/>
      <c r="BM32" s="101"/>
      <c r="BN32" s="101"/>
      <c r="BO32" s="101"/>
      <c r="BP32" s="101"/>
      <c r="BQ32" s="101"/>
      <c r="BR32" s="101"/>
      <c r="BS32" s="101"/>
      <c r="BT32" s="101"/>
      <c r="BU32" s="101"/>
      <c r="BV32" s="101"/>
      <c r="BW32" s="101"/>
      <c r="BX32" s="101"/>
      <c r="BY32" s="101"/>
      <c r="BZ32" s="111">
        <f t="shared" ref="BZ32:BZ58" si="1">SUM(C32:BY32)</f>
        <v>539.85714285714289</v>
      </c>
    </row>
    <row r="33" spans="1:78" x14ac:dyDescent="0.35">
      <c r="A33" s="104" t="str">
        <f>IF('[6]Set Up'!E42=0,"",'[6]Set Up'!E42&amp;", bbl")</f>
        <v>Slickwater, bbl</v>
      </c>
      <c r="B33" s="105">
        <f>IF(BZ33=0,"",AVERAGE(C33:BY33))</f>
        <v>16083.837941176471</v>
      </c>
      <c r="C33" s="106">
        <v>43162.3</v>
      </c>
      <c r="D33" s="107">
        <v>57250</v>
      </c>
      <c r="E33" s="107">
        <v>21325.4</v>
      </c>
      <c r="F33" s="107">
        <v>35853.999999999985</v>
      </c>
      <c r="G33" s="107">
        <v>23830.6</v>
      </c>
      <c r="H33" s="107">
        <v>53254.700000000012</v>
      </c>
      <c r="I33" s="107">
        <v>11881.5</v>
      </c>
      <c r="J33" s="107">
        <v>10935.2</v>
      </c>
      <c r="K33" s="107">
        <v>10844.400000000001</v>
      </c>
      <c r="L33" s="107">
        <v>10631.7</v>
      </c>
      <c r="M33" s="107">
        <v>10755.49</v>
      </c>
      <c r="N33" s="107">
        <v>11150.300000000001</v>
      </c>
      <c r="O33" s="107">
        <v>11547.600000000002</v>
      </c>
      <c r="P33" s="107">
        <v>9390.5</v>
      </c>
      <c r="Q33" s="107">
        <v>11294.499999999996</v>
      </c>
      <c r="R33" s="107">
        <v>11253.800000000001</v>
      </c>
      <c r="S33" s="107">
        <v>11147.8</v>
      </c>
      <c r="T33" s="107">
        <v>10950.3</v>
      </c>
      <c r="U33" s="107">
        <v>10932.7</v>
      </c>
      <c r="V33" s="107">
        <v>10986.1</v>
      </c>
      <c r="W33" s="107">
        <v>11546.400000000001</v>
      </c>
      <c r="X33" s="107">
        <v>11035.400000000001</v>
      </c>
      <c r="Y33" s="107">
        <v>11915.5</v>
      </c>
      <c r="Z33" s="107">
        <v>13317.199999999997</v>
      </c>
      <c r="AA33" s="107">
        <v>11153.1</v>
      </c>
      <c r="AB33" s="107">
        <v>10986.5</v>
      </c>
      <c r="AC33" s="107">
        <v>11004.100000000002</v>
      </c>
      <c r="AD33" s="107">
        <v>11133.400000000001</v>
      </c>
      <c r="AE33" s="107">
        <v>11023</v>
      </c>
      <c r="AF33" s="107">
        <v>11172.5</v>
      </c>
      <c r="AG33" s="107">
        <v>11072.3</v>
      </c>
      <c r="AH33" s="107">
        <v>10937.8</v>
      </c>
      <c r="AI33" s="107">
        <v>10999.9</v>
      </c>
      <c r="AJ33" s="107">
        <v>11174.5</v>
      </c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X33" s="107"/>
      <c r="AY33" s="107"/>
      <c r="AZ33" s="107"/>
      <c r="BA33" s="106"/>
      <c r="BB33" s="106"/>
      <c r="BC33" s="106"/>
      <c r="BD33" s="106"/>
      <c r="BE33" s="106"/>
      <c r="BF33" s="106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8">
        <f t="shared" si="1"/>
        <v>546850.49</v>
      </c>
    </row>
    <row r="34" spans="1:78" x14ac:dyDescent="0.35">
      <c r="A34" s="99" t="str">
        <f>IF('[6]Set Up'!E43=0,"",'[6]Set Up'!E43&amp;", bbl")</f>
        <v>Pump Down, bbl</v>
      </c>
      <c r="B34" s="109">
        <f>IF(BZ34=0,"",AVERAGE(C34:BY34))</f>
        <v>204.26764705882354</v>
      </c>
      <c r="C34" s="110">
        <v>923</v>
      </c>
      <c r="D34" s="111">
        <v>2148</v>
      </c>
      <c r="E34" s="111">
        <v>459</v>
      </c>
      <c r="F34" s="111">
        <v>253</v>
      </c>
      <c r="G34" s="111">
        <v>602</v>
      </c>
      <c r="H34" s="111">
        <v>185</v>
      </c>
      <c r="I34" s="111">
        <v>168</v>
      </c>
      <c r="J34" s="111">
        <v>138</v>
      </c>
      <c r="K34" s="111">
        <v>144</v>
      </c>
      <c r="L34" s="111">
        <v>181</v>
      </c>
      <c r="M34" s="111">
        <v>189</v>
      </c>
      <c r="N34" s="111">
        <v>137</v>
      </c>
      <c r="O34" s="111">
        <v>165</v>
      </c>
      <c r="P34" s="111">
        <v>0</v>
      </c>
      <c r="Q34" s="111">
        <v>140</v>
      </c>
      <c r="R34" s="111">
        <v>118</v>
      </c>
      <c r="S34" s="111">
        <v>128</v>
      </c>
      <c r="T34" s="111">
        <v>103</v>
      </c>
      <c r="U34" s="111">
        <v>97</v>
      </c>
      <c r="V34" s="111">
        <v>96</v>
      </c>
      <c r="W34" s="111">
        <v>89</v>
      </c>
      <c r="X34" s="111">
        <v>76</v>
      </c>
      <c r="Y34" s="111">
        <v>52</v>
      </c>
      <c r="Z34" s="111">
        <v>53</v>
      </c>
      <c r="AA34" s="111">
        <v>62.100000000000009</v>
      </c>
      <c r="AB34" s="111">
        <v>63</v>
      </c>
      <c r="AC34" s="111">
        <v>39</v>
      </c>
      <c r="AD34" s="111">
        <v>36</v>
      </c>
      <c r="AE34" s="111">
        <v>28</v>
      </c>
      <c r="AF34" s="111">
        <v>23</v>
      </c>
      <c r="AG34" s="111">
        <v>21</v>
      </c>
      <c r="AH34" s="111">
        <v>17</v>
      </c>
      <c r="AI34" s="111">
        <v>12</v>
      </c>
      <c r="AJ34" s="111">
        <v>0</v>
      </c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  <c r="AZ34" s="111"/>
      <c r="BA34" s="111"/>
      <c r="BB34" s="111"/>
      <c r="BC34" s="111"/>
      <c r="BD34" s="111"/>
      <c r="BE34" s="111"/>
      <c r="BF34" s="111"/>
      <c r="BG34" s="111"/>
      <c r="BH34" s="111"/>
      <c r="BI34" s="111"/>
      <c r="BJ34" s="111"/>
      <c r="BK34" s="111"/>
      <c r="BL34" s="111"/>
      <c r="BM34" s="111"/>
      <c r="BN34" s="111"/>
      <c r="BO34" s="111"/>
      <c r="BP34" s="111"/>
      <c r="BQ34" s="111"/>
      <c r="BR34" s="111"/>
      <c r="BS34" s="111"/>
      <c r="BT34" s="111"/>
      <c r="BU34" s="111"/>
      <c r="BV34" s="111"/>
      <c r="BW34" s="111"/>
      <c r="BX34" s="111"/>
      <c r="BY34" s="111"/>
      <c r="BZ34" s="109">
        <f t="shared" si="1"/>
        <v>6945.1</v>
      </c>
    </row>
    <row r="35" spans="1:78" x14ac:dyDescent="0.35">
      <c r="A35" s="104" t="str">
        <f>IF('[6]Set Up'!E44=0,"",'[6]Set Up'!E44&amp;", bbl")</f>
        <v>7.5% HCl Acid, bbl</v>
      </c>
      <c r="B35" s="105">
        <f>IF(BZ35=0,"",AVERAGE(C35:BY35))</f>
        <v>15.563025210084033</v>
      </c>
      <c r="C35" s="106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59.285714285714285</v>
      </c>
      <c r="S35" s="107">
        <v>57.047619047619051</v>
      </c>
      <c r="T35" s="107">
        <v>57.428571428571431</v>
      </c>
      <c r="U35" s="107">
        <v>59.571428571428569</v>
      </c>
      <c r="V35" s="107">
        <v>57</v>
      </c>
      <c r="W35" s="107">
        <v>59.285714285714285</v>
      </c>
      <c r="X35" s="107">
        <v>60.428571428571431</v>
      </c>
      <c r="Y35" s="107">
        <v>60.19047619047619</v>
      </c>
      <c r="Z35" s="107">
        <v>58.904761904761905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5">
        <f t="shared" si="1"/>
        <v>529.14285714285711</v>
      </c>
    </row>
    <row r="36" spans="1:78" ht="15" thickBot="1" x14ac:dyDescent="0.4">
      <c r="A36" s="112" t="s">
        <v>39</v>
      </c>
      <c r="B36" s="113">
        <f>IF(BZ36=0,"",AVERAGE(C36:BY36))</f>
        <v>16319.546764705881</v>
      </c>
      <c r="C36" s="114">
        <v>44100.252380952385</v>
      </c>
      <c r="D36" s="115">
        <v>59415.285714285717</v>
      </c>
      <c r="E36" s="115">
        <v>21800.161904761906</v>
      </c>
      <c r="F36" s="115">
        <v>36106.999999999985</v>
      </c>
      <c r="G36" s="115">
        <v>24432.6</v>
      </c>
      <c r="H36" s="115">
        <v>53455.771428571439</v>
      </c>
      <c r="I36" s="115">
        <v>12063.190476190477</v>
      </c>
      <c r="J36" s="115">
        <v>11088.22380952381</v>
      </c>
      <c r="K36" s="115">
        <v>11001.709523809524</v>
      </c>
      <c r="L36" s="115">
        <v>10826.509523809524</v>
      </c>
      <c r="M36" s="115">
        <v>10958.751904761904</v>
      </c>
      <c r="N36" s="115">
        <v>11301.87142857143</v>
      </c>
      <c r="O36" s="115">
        <v>11727.480952380954</v>
      </c>
      <c r="P36" s="115">
        <v>9405.5238095238092</v>
      </c>
      <c r="Q36" s="115">
        <v>11483.571428571426</v>
      </c>
      <c r="R36" s="115">
        <v>11431.085714285715</v>
      </c>
      <c r="S36" s="115">
        <v>11332.847619047618</v>
      </c>
      <c r="T36" s="115">
        <v>11110.72857142857</v>
      </c>
      <c r="U36" s="115">
        <v>11089.27142857143</v>
      </c>
      <c r="V36" s="115">
        <v>11139.1</v>
      </c>
      <c r="W36" s="115">
        <v>11694.685714285715</v>
      </c>
      <c r="X36" s="115">
        <v>11171.828571428572</v>
      </c>
      <c r="Y36" s="115">
        <v>12027.690476190477</v>
      </c>
      <c r="Z36" s="115">
        <v>13457.176190476188</v>
      </c>
      <c r="AA36" s="115">
        <v>11244.295238095239</v>
      </c>
      <c r="AB36" s="115">
        <v>11077.023809523809</v>
      </c>
      <c r="AC36" s="115">
        <v>11071.814285714288</v>
      </c>
      <c r="AD36" s="115">
        <v>11199.185714285715</v>
      </c>
      <c r="AE36" s="115">
        <v>11081.214285714286</v>
      </c>
      <c r="AF36" s="115">
        <v>11225.595238095239</v>
      </c>
      <c r="AG36" s="115">
        <v>11122.323809523808</v>
      </c>
      <c r="AH36" s="115">
        <v>10982.704761904761</v>
      </c>
      <c r="AI36" s="115">
        <v>11040.614285714286</v>
      </c>
      <c r="AJ36" s="115">
        <v>11197.5</v>
      </c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4"/>
      <c r="BB36" s="114"/>
      <c r="BC36" s="114"/>
      <c r="BD36" s="114"/>
      <c r="BE36" s="114"/>
      <c r="BF36" s="114"/>
      <c r="BG36" s="114"/>
      <c r="BH36" s="114"/>
      <c r="BI36" s="114"/>
      <c r="BJ36" s="114"/>
      <c r="BK36" s="114"/>
      <c r="BL36" s="114"/>
      <c r="BM36" s="114"/>
      <c r="BN36" s="114"/>
      <c r="BO36" s="114"/>
      <c r="BP36" s="114"/>
      <c r="BQ36" s="114"/>
      <c r="BR36" s="114"/>
      <c r="BS36" s="114"/>
      <c r="BT36" s="114"/>
      <c r="BU36" s="114"/>
      <c r="BV36" s="114"/>
      <c r="BW36" s="114"/>
      <c r="BX36" s="114"/>
      <c r="BY36" s="114"/>
      <c r="BZ36" s="116">
        <f t="shared" si="1"/>
        <v>554864.59</v>
      </c>
    </row>
    <row r="37" spans="1:78" x14ac:dyDescent="0.35">
      <c r="A37" s="117" t="str">
        <f>IF('[6]Set Up'!E35=0,"",'[6]Set Up'!E35&amp;", lb")</f>
        <v>100 Mesh, lb</v>
      </c>
      <c r="B37" s="118">
        <f t="shared" ref="B37:B58" si="2">IF(C37="","",AVERAGE(C37:BY37))</f>
        <v>712320.8823529412</v>
      </c>
      <c r="C37" s="119">
        <v>1966420</v>
      </c>
      <c r="D37" s="120">
        <v>2484700</v>
      </c>
      <c r="E37" s="120">
        <v>999220</v>
      </c>
      <c r="F37" s="120">
        <v>1490680</v>
      </c>
      <c r="G37" s="120">
        <v>976440</v>
      </c>
      <c r="H37" s="120">
        <v>2516200</v>
      </c>
      <c r="I37" s="120">
        <v>501560</v>
      </c>
      <c r="J37" s="120">
        <v>499170</v>
      </c>
      <c r="K37" s="120">
        <v>508340</v>
      </c>
      <c r="L37" s="120">
        <v>496920</v>
      </c>
      <c r="M37" s="120">
        <v>502280</v>
      </c>
      <c r="N37" s="120">
        <v>498300</v>
      </c>
      <c r="O37" s="120">
        <v>500680</v>
      </c>
      <c r="P37" s="120">
        <v>368780</v>
      </c>
      <c r="Q37" s="120">
        <v>496300</v>
      </c>
      <c r="R37" s="120">
        <v>498720</v>
      </c>
      <c r="S37" s="120">
        <v>499440</v>
      </c>
      <c r="T37" s="120">
        <v>482420</v>
      </c>
      <c r="U37" s="120">
        <v>484220</v>
      </c>
      <c r="V37" s="120">
        <v>484140</v>
      </c>
      <c r="W37" s="120">
        <v>501560</v>
      </c>
      <c r="X37" s="120">
        <v>499000</v>
      </c>
      <c r="Y37" s="120">
        <v>504520</v>
      </c>
      <c r="Z37" s="120">
        <v>500840</v>
      </c>
      <c r="AA37" s="120">
        <v>494320</v>
      </c>
      <c r="AB37" s="120">
        <v>494020</v>
      </c>
      <c r="AC37" s="120">
        <v>495320</v>
      </c>
      <c r="AD37" s="120">
        <v>492140</v>
      </c>
      <c r="AE37" s="120">
        <v>498240</v>
      </c>
      <c r="AF37" s="120">
        <v>496100</v>
      </c>
      <c r="AG37" s="120">
        <v>495320</v>
      </c>
      <c r="AH37" s="120">
        <v>497740</v>
      </c>
      <c r="AI37" s="120">
        <v>497160</v>
      </c>
      <c r="AJ37" s="120">
        <v>497700</v>
      </c>
      <c r="AK37" s="120"/>
      <c r="AL37" s="120"/>
      <c r="AM37" s="120"/>
      <c r="AN37" s="120"/>
      <c r="AO37" s="120"/>
      <c r="AP37" s="120"/>
      <c r="AQ37" s="120"/>
      <c r="AR37" s="120"/>
      <c r="AS37" s="120"/>
      <c r="AT37" s="120"/>
      <c r="AU37" s="120"/>
      <c r="AV37" s="120"/>
      <c r="AW37" s="120"/>
      <c r="AX37" s="120"/>
      <c r="AY37" s="120"/>
      <c r="AZ37" s="120"/>
      <c r="BA37" s="119"/>
      <c r="BB37" s="119"/>
      <c r="BC37" s="119"/>
      <c r="BD37" s="119"/>
      <c r="BE37" s="119"/>
      <c r="BF37" s="119"/>
      <c r="BG37" s="119"/>
      <c r="BH37" s="119"/>
      <c r="BI37" s="119"/>
      <c r="BJ37" s="119"/>
      <c r="BK37" s="119"/>
      <c r="BL37" s="119"/>
      <c r="BM37" s="119"/>
      <c r="BN37" s="119"/>
      <c r="BO37" s="119"/>
      <c r="BP37" s="119"/>
      <c r="BQ37" s="119"/>
      <c r="BR37" s="119"/>
      <c r="BS37" s="119"/>
      <c r="BT37" s="119"/>
      <c r="BU37" s="119"/>
      <c r="BV37" s="119"/>
      <c r="BW37" s="119"/>
      <c r="BX37" s="119"/>
      <c r="BY37" s="119"/>
      <c r="BZ37" s="121">
        <f t="shared" si="1"/>
        <v>24218910</v>
      </c>
    </row>
    <row r="38" spans="1:78" x14ac:dyDescent="0.35">
      <c r="A38" s="122" t="str">
        <f>IF('[6]Set Up'!E36=0,"",'[6]Set Up'!E36&amp;", lb")</f>
        <v/>
      </c>
      <c r="B38" s="105" t="str">
        <f t="shared" si="2"/>
        <v/>
      </c>
      <c r="C38" s="123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  <c r="AZ38" s="124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08">
        <f t="shared" si="1"/>
        <v>0</v>
      </c>
    </row>
    <row r="39" spans="1:78" x14ac:dyDescent="0.35">
      <c r="A39" s="125" t="str">
        <f>IF('[6]Set Up'!E37=0,"",'[6]Set Up'!E37&amp;", lb")</f>
        <v/>
      </c>
      <c r="B39" s="126" t="str">
        <f t="shared" si="2"/>
        <v/>
      </c>
      <c r="C39" s="127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7"/>
      <c r="BB39" s="127"/>
      <c r="BC39" s="127"/>
      <c r="BD39" s="127"/>
      <c r="BE39" s="127"/>
      <c r="BF39" s="127"/>
      <c r="BG39" s="127"/>
      <c r="BH39" s="127"/>
      <c r="BI39" s="127"/>
      <c r="BJ39" s="127"/>
      <c r="BK39" s="127"/>
      <c r="BL39" s="127"/>
      <c r="BM39" s="127"/>
      <c r="BN39" s="127"/>
      <c r="BO39" s="127"/>
      <c r="BP39" s="127"/>
      <c r="BQ39" s="127"/>
      <c r="BR39" s="127"/>
      <c r="BS39" s="127"/>
      <c r="BT39" s="127"/>
      <c r="BU39" s="127"/>
      <c r="BV39" s="127"/>
      <c r="BW39" s="127"/>
      <c r="BX39" s="127"/>
      <c r="BY39" s="127"/>
      <c r="BZ39" s="129">
        <f t="shared" si="1"/>
        <v>0</v>
      </c>
    </row>
    <row r="40" spans="1:78" x14ac:dyDescent="0.35">
      <c r="A40" s="122" t="str">
        <f>IF('[6]Set Up'!E38=0,"",'[6]Set Up'!E38&amp;", lb")</f>
        <v/>
      </c>
      <c r="B40" s="105" t="str">
        <f t="shared" si="2"/>
        <v/>
      </c>
      <c r="C40" s="123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24"/>
      <c r="AX40" s="124"/>
      <c r="AY40" s="124"/>
      <c r="AZ40" s="124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08">
        <f t="shared" si="1"/>
        <v>0</v>
      </c>
    </row>
    <row r="41" spans="1:78" ht="15" thickBot="1" x14ac:dyDescent="0.4">
      <c r="A41" s="130" t="s">
        <v>40</v>
      </c>
      <c r="B41" s="131">
        <f t="shared" si="2"/>
        <v>712320.8823529412</v>
      </c>
      <c r="C41" s="131">
        <v>1966420</v>
      </c>
      <c r="D41" s="132">
        <v>2484700</v>
      </c>
      <c r="E41" s="132">
        <v>999220</v>
      </c>
      <c r="F41" s="132">
        <v>1490680</v>
      </c>
      <c r="G41" s="132">
        <v>976440</v>
      </c>
      <c r="H41" s="132">
        <v>2516200</v>
      </c>
      <c r="I41" s="132">
        <v>501560</v>
      </c>
      <c r="J41" s="132">
        <v>499170</v>
      </c>
      <c r="K41" s="132">
        <v>508340</v>
      </c>
      <c r="L41" s="132">
        <v>496920</v>
      </c>
      <c r="M41" s="132">
        <v>502280</v>
      </c>
      <c r="N41" s="132">
        <v>498300</v>
      </c>
      <c r="O41" s="132">
        <v>500680</v>
      </c>
      <c r="P41" s="132">
        <v>368780</v>
      </c>
      <c r="Q41" s="132">
        <v>496300</v>
      </c>
      <c r="R41" s="132">
        <v>498720</v>
      </c>
      <c r="S41" s="132">
        <v>499440</v>
      </c>
      <c r="T41" s="132">
        <v>482420</v>
      </c>
      <c r="U41" s="132">
        <v>484220</v>
      </c>
      <c r="V41" s="132">
        <v>484140</v>
      </c>
      <c r="W41" s="132">
        <v>501560</v>
      </c>
      <c r="X41" s="132">
        <v>499000</v>
      </c>
      <c r="Y41" s="132">
        <v>504520</v>
      </c>
      <c r="Z41" s="132">
        <v>500840</v>
      </c>
      <c r="AA41" s="132">
        <v>494320</v>
      </c>
      <c r="AB41" s="132">
        <v>494020</v>
      </c>
      <c r="AC41" s="132">
        <v>495320</v>
      </c>
      <c r="AD41" s="132">
        <v>492140</v>
      </c>
      <c r="AE41" s="132">
        <v>498240</v>
      </c>
      <c r="AF41" s="132">
        <v>496100</v>
      </c>
      <c r="AG41" s="132">
        <v>495320</v>
      </c>
      <c r="AH41" s="132">
        <v>497740</v>
      </c>
      <c r="AI41" s="132">
        <v>497160</v>
      </c>
      <c r="AJ41" s="132">
        <v>497700</v>
      </c>
      <c r="AK41" s="132"/>
      <c r="AL41" s="132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32"/>
      <c r="BE41" s="132"/>
      <c r="BF41" s="132"/>
      <c r="BG41" s="132"/>
      <c r="BH41" s="132"/>
      <c r="BI41" s="132"/>
      <c r="BJ41" s="132"/>
      <c r="BK41" s="132"/>
      <c r="BL41" s="132"/>
      <c r="BM41" s="132"/>
      <c r="BN41" s="132"/>
      <c r="BO41" s="132"/>
      <c r="BP41" s="132"/>
      <c r="BQ41" s="132"/>
      <c r="BR41" s="132"/>
      <c r="BS41" s="132"/>
      <c r="BT41" s="132"/>
      <c r="BU41" s="132"/>
      <c r="BV41" s="132"/>
      <c r="BW41" s="132"/>
      <c r="BX41" s="132"/>
      <c r="BY41" s="132"/>
      <c r="BZ41" s="133">
        <f t="shared" si="1"/>
        <v>24218910</v>
      </c>
    </row>
    <row r="42" spans="1:78" x14ac:dyDescent="0.35">
      <c r="A42" s="134" t="str">
        <f>A37</f>
        <v>100 Mesh, lb</v>
      </c>
      <c r="B42" s="135">
        <f t="shared" si="2"/>
        <v>712320.8823529412</v>
      </c>
      <c r="C42" s="136">
        <v>1966420</v>
      </c>
      <c r="D42" s="136">
        <v>2484700</v>
      </c>
      <c r="E42" s="136">
        <v>999220</v>
      </c>
      <c r="F42" s="136">
        <v>1490680</v>
      </c>
      <c r="G42" s="136">
        <v>976440</v>
      </c>
      <c r="H42" s="136">
        <v>2516200</v>
      </c>
      <c r="I42" s="136">
        <v>501560</v>
      </c>
      <c r="J42" s="136">
        <v>499170</v>
      </c>
      <c r="K42" s="136">
        <v>508340</v>
      </c>
      <c r="L42" s="136">
        <v>496920</v>
      </c>
      <c r="M42" s="136">
        <v>502280</v>
      </c>
      <c r="N42" s="136">
        <v>498300</v>
      </c>
      <c r="O42" s="136">
        <v>500680</v>
      </c>
      <c r="P42" s="136">
        <v>368780</v>
      </c>
      <c r="Q42" s="136">
        <v>496300</v>
      </c>
      <c r="R42" s="136">
        <v>498720</v>
      </c>
      <c r="S42" s="136">
        <v>499440</v>
      </c>
      <c r="T42" s="136">
        <v>482420</v>
      </c>
      <c r="U42" s="136">
        <v>484220</v>
      </c>
      <c r="V42" s="136">
        <v>484140</v>
      </c>
      <c r="W42" s="136">
        <v>501560</v>
      </c>
      <c r="X42" s="136">
        <v>499000</v>
      </c>
      <c r="Y42" s="136">
        <v>504520</v>
      </c>
      <c r="Z42" s="136">
        <v>500840</v>
      </c>
      <c r="AA42" s="136">
        <v>494320</v>
      </c>
      <c r="AB42" s="136">
        <v>494020</v>
      </c>
      <c r="AC42" s="136">
        <v>495320</v>
      </c>
      <c r="AD42" s="136">
        <v>492140</v>
      </c>
      <c r="AE42" s="136">
        <v>498240</v>
      </c>
      <c r="AF42" s="136">
        <v>496100</v>
      </c>
      <c r="AG42" s="136">
        <v>495320</v>
      </c>
      <c r="AH42" s="136">
        <v>497740</v>
      </c>
      <c r="AI42" s="136">
        <v>497160</v>
      </c>
      <c r="AJ42" s="136">
        <v>497700</v>
      </c>
      <c r="AK42" s="136"/>
      <c r="AL42" s="136"/>
      <c r="AM42" s="136"/>
      <c r="AN42" s="136"/>
      <c r="AO42" s="136"/>
      <c r="AP42" s="136"/>
      <c r="AQ42" s="136"/>
      <c r="AR42" s="136"/>
      <c r="AS42" s="136"/>
      <c r="AT42" s="136"/>
      <c r="AU42" s="136"/>
      <c r="AV42" s="136"/>
      <c r="AW42" s="136"/>
      <c r="AX42" s="136"/>
      <c r="AY42" s="136"/>
      <c r="AZ42" s="136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8">
        <f t="shared" si="1"/>
        <v>24218910</v>
      </c>
    </row>
    <row r="43" spans="1:78" x14ac:dyDescent="0.35">
      <c r="A43" s="122" t="str">
        <f>A38</f>
        <v/>
      </c>
      <c r="B43" s="105" t="str">
        <f t="shared" si="2"/>
        <v/>
      </c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  <c r="AZ43" s="124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08">
        <f t="shared" si="1"/>
        <v>0</v>
      </c>
    </row>
    <row r="44" spans="1:78" x14ac:dyDescent="0.35">
      <c r="A44" s="139" t="str">
        <f>A39</f>
        <v/>
      </c>
      <c r="B44" s="140" t="str">
        <f t="shared" si="2"/>
        <v/>
      </c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  <c r="AO44" s="141"/>
      <c r="AP44" s="141"/>
      <c r="AQ44" s="141"/>
      <c r="AR44" s="141"/>
      <c r="AS44" s="141"/>
      <c r="AT44" s="141"/>
      <c r="AU44" s="141"/>
      <c r="AV44" s="141"/>
      <c r="AW44" s="141"/>
      <c r="AX44" s="141"/>
      <c r="AY44" s="141"/>
      <c r="AZ44" s="141"/>
      <c r="BA44" s="141"/>
      <c r="BB44" s="141"/>
      <c r="BC44" s="141"/>
      <c r="BD44" s="141"/>
      <c r="BE44" s="141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1"/>
      <c r="BQ44" s="141"/>
      <c r="BR44" s="141"/>
      <c r="BS44" s="141"/>
      <c r="BT44" s="141"/>
      <c r="BU44" s="141"/>
      <c r="BV44" s="141"/>
      <c r="BW44" s="141"/>
      <c r="BX44" s="141"/>
      <c r="BY44" s="141"/>
      <c r="BZ44" s="140">
        <f t="shared" si="1"/>
        <v>0</v>
      </c>
    </row>
    <row r="45" spans="1:78" x14ac:dyDescent="0.35">
      <c r="A45" s="142" t="str">
        <f>A40</f>
        <v/>
      </c>
      <c r="B45" s="143" t="str">
        <f t="shared" si="2"/>
        <v/>
      </c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24"/>
      <c r="BL45" s="124"/>
      <c r="BM45" s="124"/>
      <c r="BN45" s="124"/>
      <c r="BO45" s="124"/>
      <c r="BP45" s="124"/>
      <c r="BQ45" s="124"/>
      <c r="BR45" s="124"/>
      <c r="BS45" s="124"/>
      <c r="BT45" s="124"/>
      <c r="BU45" s="124"/>
      <c r="BV45" s="124"/>
      <c r="BW45" s="124"/>
      <c r="BX45" s="124"/>
      <c r="BY45" s="124"/>
      <c r="BZ45" s="105">
        <f t="shared" si="1"/>
        <v>0</v>
      </c>
    </row>
    <row r="46" spans="1:78" ht="15" thickBot="1" x14ac:dyDescent="0.4">
      <c r="A46" s="144" t="s">
        <v>41</v>
      </c>
      <c r="B46" s="145">
        <f t="shared" si="2"/>
        <v>712320.8823529412</v>
      </c>
      <c r="C46" s="146">
        <v>1966420</v>
      </c>
      <c r="D46" s="146">
        <v>2484700</v>
      </c>
      <c r="E46" s="146">
        <v>999220</v>
      </c>
      <c r="F46" s="146">
        <v>1490680</v>
      </c>
      <c r="G46" s="146">
        <v>976440</v>
      </c>
      <c r="H46" s="146">
        <v>2516200</v>
      </c>
      <c r="I46" s="146">
        <v>501560</v>
      </c>
      <c r="J46" s="146">
        <v>499170</v>
      </c>
      <c r="K46" s="146">
        <v>508340</v>
      </c>
      <c r="L46" s="146">
        <v>496920</v>
      </c>
      <c r="M46" s="146">
        <v>502280</v>
      </c>
      <c r="N46" s="146">
        <v>498300</v>
      </c>
      <c r="O46" s="146">
        <v>500680</v>
      </c>
      <c r="P46" s="146">
        <v>368780</v>
      </c>
      <c r="Q46" s="146">
        <v>496300</v>
      </c>
      <c r="R46" s="146">
        <v>498720</v>
      </c>
      <c r="S46" s="146">
        <v>499440</v>
      </c>
      <c r="T46" s="146">
        <v>482420</v>
      </c>
      <c r="U46" s="146">
        <v>484220</v>
      </c>
      <c r="V46" s="146">
        <v>484140</v>
      </c>
      <c r="W46" s="146">
        <v>501560</v>
      </c>
      <c r="X46" s="146">
        <v>499000</v>
      </c>
      <c r="Y46" s="146">
        <v>504520</v>
      </c>
      <c r="Z46" s="146">
        <v>500840</v>
      </c>
      <c r="AA46" s="146">
        <v>494320</v>
      </c>
      <c r="AB46" s="146">
        <v>494020</v>
      </c>
      <c r="AC46" s="146">
        <v>495320</v>
      </c>
      <c r="AD46" s="146">
        <v>492140</v>
      </c>
      <c r="AE46" s="146">
        <v>498240</v>
      </c>
      <c r="AF46" s="146">
        <v>496100</v>
      </c>
      <c r="AG46" s="146">
        <v>495320</v>
      </c>
      <c r="AH46" s="146">
        <v>497740</v>
      </c>
      <c r="AI46" s="146">
        <v>497160</v>
      </c>
      <c r="AJ46" s="146">
        <v>497700</v>
      </c>
      <c r="AK46" s="146"/>
      <c r="AL46" s="146"/>
      <c r="AM46" s="146"/>
      <c r="AN46" s="146"/>
      <c r="AO46" s="146"/>
      <c r="AP46" s="146"/>
      <c r="AQ46" s="146"/>
      <c r="AR46" s="146"/>
      <c r="AS46" s="146"/>
      <c r="AT46" s="146"/>
      <c r="AU46" s="146"/>
      <c r="AV46" s="146"/>
      <c r="AW46" s="146"/>
      <c r="AX46" s="146"/>
      <c r="AY46" s="146"/>
      <c r="AZ46" s="146"/>
      <c r="BA46" s="146"/>
      <c r="BB46" s="146"/>
      <c r="BC46" s="146"/>
      <c r="BD46" s="146"/>
      <c r="BE46" s="146"/>
      <c r="BF46" s="146"/>
      <c r="BG46" s="146"/>
      <c r="BH46" s="146"/>
      <c r="BI46" s="146"/>
      <c r="BJ46" s="146"/>
      <c r="BK46" s="146"/>
      <c r="BL46" s="146"/>
      <c r="BM46" s="146"/>
      <c r="BN46" s="146"/>
      <c r="BO46" s="146"/>
      <c r="BP46" s="146"/>
      <c r="BQ46" s="146"/>
      <c r="BR46" s="146"/>
      <c r="BS46" s="146"/>
      <c r="BT46" s="146"/>
      <c r="BU46" s="146"/>
      <c r="BV46" s="146"/>
      <c r="BW46" s="146"/>
      <c r="BX46" s="146"/>
      <c r="BY46" s="146"/>
      <c r="BZ46" s="145">
        <f t="shared" si="1"/>
        <v>24218910</v>
      </c>
    </row>
    <row r="47" spans="1:78" x14ac:dyDescent="0.35">
      <c r="A47" s="147" t="str">
        <f>'[6]Set Up'!E51</f>
        <v>Plexslick 957, gal</v>
      </c>
      <c r="B47" s="148">
        <f t="shared" si="2"/>
        <v>588.64705882352939</v>
      </c>
      <c r="C47" s="149">
        <v>1813</v>
      </c>
      <c r="D47" s="150">
        <v>2389</v>
      </c>
      <c r="E47" s="150">
        <v>886</v>
      </c>
      <c r="F47" s="150">
        <v>1456</v>
      </c>
      <c r="G47" s="150">
        <v>1031</v>
      </c>
      <c r="H47" s="150">
        <v>2232</v>
      </c>
      <c r="I47" s="150">
        <v>515</v>
      </c>
      <c r="J47" s="150">
        <v>456</v>
      </c>
      <c r="K47" s="150">
        <v>451</v>
      </c>
      <c r="L47" s="151">
        <v>436</v>
      </c>
      <c r="M47" s="151">
        <v>430</v>
      </c>
      <c r="N47" s="151">
        <v>433</v>
      </c>
      <c r="O47" s="151">
        <v>484</v>
      </c>
      <c r="P47" s="151">
        <v>384</v>
      </c>
      <c r="Q47" s="151">
        <v>447</v>
      </c>
      <c r="R47" s="151">
        <v>272</v>
      </c>
      <c r="S47" s="151">
        <v>283</v>
      </c>
      <c r="T47" s="151">
        <v>309</v>
      </c>
      <c r="U47" s="151">
        <v>269</v>
      </c>
      <c r="V47" s="151">
        <v>290</v>
      </c>
      <c r="W47" s="151">
        <v>359</v>
      </c>
      <c r="X47" s="151">
        <v>298</v>
      </c>
      <c r="Y47" s="151">
        <v>370</v>
      </c>
      <c r="Z47" s="151">
        <v>518</v>
      </c>
      <c r="AA47" s="151">
        <v>260</v>
      </c>
      <c r="AB47" s="151">
        <v>248</v>
      </c>
      <c r="AC47" s="151">
        <v>403</v>
      </c>
      <c r="AD47" s="151">
        <v>352</v>
      </c>
      <c r="AE47" s="151">
        <v>292</v>
      </c>
      <c r="AF47" s="151">
        <v>318</v>
      </c>
      <c r="AG47" s="151">
        <v>401</v>
      </c>
      <c r="AH47" s="151">
        <v>239</v>
      </c>
      <c r="AI47" s="151">
        <v>409</v>
      </c>
      <c r="AJ47" s="151">
        <v>281</v>
      </c>
      <c r="AK47" s="151"/>
      <c r="AL47" s="151"/>
      <c r="AM47" s="151"/>
      <c r="AN47" s="151"/>
      <c r="AO47" s="151"/>
      <c r="AP47" s="151"/>
      <c r="AQ47" s="151"/>
      <c r="AR47" s="151"/>
      <c r="AS47" s="151"/>
      <c r="AT47" s="151"/>
      <c r="AU47" s="151"/>
      <c r="AV47" s="151"/>
      <c r="AW47" s="151"/>
      <c r="AX47" s="151"/>
      <c r="AY47" s="151"/>
      <c r="AZ47" s="151"/>
      <c r="BA47" s="152"/>
      <c r="BB47" s="152"/>
      <c r="BC47" s="152"/>
      <c r="BD47" s="152"/>
      <c r="BE47" s="152"/>
      <c r="BF47" s="152"/>
      <c r="BG47" s="152"/>
      <c r="BH47" s="152"/>
      <c r="BI47" s="152"/>
      <c r="BJ47" s="152"/>
      <c r="BK47" s="152"/>
      <c r="BL47" s="152"/>
      <c r="BM47" s="152"/>
      <c r="BN47" s="152"/>
      <c r="BO47" s="152"/>
      <c r="BP47" s="152"/>
      <c r="BQ47" s="152"/>
      <c r="BR47" s="152"/>
      <c r="BS47" s="152"/>
      <c r="BT47" s="152"/>
      <c r="BU47" s="152"/>
      <c r="BV47" s="152"/>
      <c r="BW47" s="152"/>
      <c r="BX47" s="152"/>
      <c r="BY47" s="152"/>
      <c r="BZ47" s="153">
        <f t="shared" si="1"/>
        <v>20014</v>
      </c>
    </row>
    <row r="48" spans="1:78" x14ac:dyDescent="0.35">
      <c r="A48" s="154" t="str">
        <f>'[6]Set Up'!E52</f>
        <v>Chemplex 4-N-1, gal</v>
      </c>
      <c r="B48" s="155">
        <f t="shared" si="2"/>
        <v>6.40625</v>
      </c>
      <c r="C48" s="156">
        <v>4</v>
      </c>
      <c r="D48" s="157">
        <v>4</v>
      </c>
      <c r="E48" s="157">
        <v>4</v>
      </c>
      <c r="F48" s="157"/>
      <c r="G48" s="157"/>
      <c r="H48" s="157">
        <v>4</v>
      </c>
      <c r="I48" s="157">
        <v>3</v>
      </c>
      <c r="J48" s="157">
        <v>4</v>
      </c>
      <c r="K48" s="157">
        <v>3</v>
      </c>
      <c r="L48" s="107">
        <v>3</v>
      </c>
      <c r="M48" s="107">
        <v>4</v>
      </c>
      <c r="N48" s="107">
        <v>4</v>
      </c>
      <c r="O48" s="107">
        <v>4</v>
      </c>
      <c r="P48" s="107">
        <v>4</v>
      </c>
      <c r="Q48" s="107">
        <v>12</v>
      </c>
      <c r="R48" s="107">
        <v>8</v>
      </c>
      <c r="S48" s="107">
        <v>7</v>
      </c>
      <c r="T48" s="107">
        <v>7</v>
      </c>
      <c r="U48" s="107">
        <v>8</v>
      </c>
      <c r="V48" s="107">
        <v>7</v>
      </c>
      <c r="W48" s="107">
        <v>8</v>
      </c>
      <c r="X48" s="107">
        <v>8</v>
      </c>
      <c r="Y48" s="107">
        <v>8</v>
      </c>
      <c r="Z48" s="107">
        <v>14</v>
      </c>
      <c r="AA48" s="107">
        <v>7</v>
      </c>
      <c r="AB48" s="107">
        <v>7</v>
      </c>
      <c r="AC48" s="107">
        <v>7</v>
      </c>
      <c r="AD48" s="107">
        <v>8</v>
      </c>
      <c r="AE48" s="107">
        <v>8</v>
      </c>
      <c r="AF48" s="107">
        <v>8</v>
      </c>
      <c r="AG48" s="107">
        <v>7</v>
      </c>
      <c r="AH48" s="107">
        <v>7</v>
      </c>
      <c r="AI48" s="107">
        <v>7</v>
      </c>
      <c r="AJ48" s="107">
        <v>7</v>
      </c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  <c r="AX48" s="107"/>
      <c r="AY48" s="107"/>
      <c r="AZ48" s="107"/>
      <c r="BA48" s="106"/>
      <c r="BB48" s="106"/>
      <c r="BC48" s="106"/>
      <c r="BD48" s="106"/>
      <c r="BE48" s="106"/>
      <c r="BF48" s="106"/>
      <c r="BG48" s="106"/>
      <c r="BH48" s="106"/>
      <c r="BI48" s="106"/>
      <c r="BJ48" s="106"/>
      <c r="BK48" s="106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58">
        <f t="shared" si="1"/>
        <v>205</v>
      </c>
    </row>
    <row r="49" spans="1:78" x14ac:dyDescent="0.35">
      <c r="A49" s="147" t="str">
        <f>'[6]Set Up'!E53</f>
        <v>Payzone 845, gal</v>
      </c>
      <c r="B49" s="148">
        <f t="shared" si="2"/>
        <v>134.88235294117646</v>
      </c>
      <c r="C49" s="159">
        <v>364</v>
      </c>
      <c r="D49" s="160">
        <v>477</v>
      </c>
      <c r="E49" s="160">
        <v>179</v>
      </c>
      <c r="F49" s="160">
        <v>300</v>
      </c>
      <c r="G49" s="160">
        <v>200</v>
      </c>
      <c r="H49" s="160">
        <v>447</v>
      </c>
      <c r="I49" s="160">
        <v>100</v>
      </c>
      <c r="J49" s="160">
        <v>92</v>
      </c>
      <c r="K49" s="160">
        <v>91</v>
      </c>
      <c r="L49" s="161">
        <v>89</v>
      </c>
      <c r="M49" s="161">
        <v>90</v>
      </c>
      <c r="N49" s="161">
        <v>93</v>
      </c>
      <c r="O49" s="161">
        <v>97</v>
      </c>
      <c r="P49" s="161">
        <v>79</v>
      </c>
      <c r="Q49" s="161">
        <v>95</v>
      </c>
      <c r="R49" s="161">
        <v>94</v>
      </c>
      <c r="S49" s="161">
        <v>93</v>
      </c>
      <c r="T49" s="161">
        <v>92</v>
      </c>
      <c r="U49" s="161">
        <v>93</v>
      </c>
      <c r="V49" s="161">
        <v>92</v>
      </c>
      <c r="W49" s="161">
        <v>97</v>
      </c>
      <c r="X49" s="161">
        <v>92</v>
      </c>
      <c r="Y49" s="161">
        <v>100</v>
      </c>
      <c r="Z49" s="161">
        <v>115</v>
      </c>
      <c r="AA49" s="161">
        <v>94</v>
      </c>
      <c r="AB49" s="161">
        <v>92</v>
      </c>
      <c r="AC49" s="161">
        <v>92</v>
      </c>
      <c r="AD49" s="161">
        <v>90</v>
      </c>
      <c r="AE49" s="161">
        <v>93</v>
      </c>
      <c r="AF49" s="161">
        <v>93</v>
      </c>
      <c r="AG49" s="161">
        <v>93</v>
      </c>
      <c r="AH49" s="161">
        <v>93</v>
      </c>
      <c r="AI49" s="161">
        <v>92</v>
      </c>
      <c r="AJ49" s="161">
        <v>93</v>
      </c>
      <c r="AK49" s="161"/>
      <c r="AL49" s="161"/>
      <c r="AM49" s="161"/>
      <c r="AN49" s="161"/>
      <c r="AO49" s="161"/>
      <c r="AP49" s="161"/>
      <c r="AQ49" s="161"/>
      <c r="AR49" s="161"/>
      <c r="AS49" s="161"/>
      <c r="AT49" s="161"/>
      <c r="AU49" s="161"/>
      <c r="AV49" s="161"/>
      <c r="AW49" s="161"/>
      <c r="AX49" s="161"/>
      <c r="AY49" s="161"/>
      <c r="AZ49" s="161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3">
        <f t="shared" si="1"/>
        <v>4586</v>
      </c>
    </row>
    <row r="50" spans="1:78" x14ac:dyDescent="0.35">
      <c r="A50" s="154" t="str">
        <f>'[6]Set Up'!E54</f>
        <v>Payzone 850, gal</v>
      </c>
      <c r="B50" s="155">
        <f t="shared" si="2"/>
        <v>50.647058823529413</v>
      </c>
      <c r="C50" s="156">
        <v>135</v>
      </c>
      <c r="D50" s="157">
        <v>180</v>
      </c>
      <c r="E50" s="157">
        <v>67</v>
      </c>
      <c r="F50" s="157">
        <v>113</v>
      </c>
      <c r="G50" s="157">
        <v>75</v>
      </c>
      <c r="H50" s="157">
        <v>167</v>
      </c>
      <c r="I50" s="157">
        <v>37</v>
      </c>
      <c r="J50" s="157">
        <v>34</v>
      </c>
      <c r="K50" s="157">
        <v>34</v>
      </c>
      <c r="L50" s="157">
        <v>34</v>
      </c>
      <c r="M50" s="157">
        <v>34</v>
      </c>
      <c r="N50" s="157">
        <v>35</v>
      </c>
      <c r="O50" s="157">
        <v>36</v>
      </c>
      <c r="P50" s="157">
        <v>30</v>
      </c>
      <c r="Q50" s="157">
        <v>35</v>
      </c>
      <c r="R50" s="157">
        <v>35</v>
      </c>
      <c r="S50" s="157">
        <v>35</v>
      </c>
      <c r="T50" s="107">
        <v>35</v>
      </c>
      <c r="U50" s="107">
        <v>35</v>
      </c>
      <c r="V50" s="107">
        <v>35</v>
      </c>
      <c r="W50" s="107">
        <v>36</v>
      </c>
      <c r="X50" s="107">
        <v>35</v>
      </c>
      <c r="Y50" s="107">
        <v>38</v>
      </c>
      <c r="Z50" s="107">
        <v>44</v>
      </c>
      <c r="AA50" s="107">
        <v>35</v>
      </c>
      <c r="AB50" s="107">
        <v>34</v>
      </c>
      <c r="AC50" s="107">
        <v>35</v>
      </c>
      <c r="AD50" s="107">
        <v>34</v>
      </c>
      <c r="AE50" s="107">
        <v>35</v>
      </c>
      <c r="AF50" s="107">
        <v>35</v>
      </c>
      <c r="AG50" s="107">
        <v>35</v>
      </c>
      <c r="AH50" s="107">
        <v>35</v>
      </c>
      <c r="AI50" s="107">
        <v>35</v>
      </c>
      <c r="AJ50" s="107">
        <v>35</v>
      </c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X50" s="107"/>
      <c r="AY50" s="107"/>
      <c r="AZ50" s="107"/>
      <c r="BA50" s="106"/>
      <c r="BB50" s="106"/>
      <c r="BC50" s="106"/>
      <c r="BD50" s="106"/>
      <c r="BE50" s="106"/>
      <c r="BF50" s="106"/>
      <c r="BG50" s="106"/>
      <c r="BH50" s="106"/>
      <c r="BI50" s="106"/>
      <c r="BJ50" s="106"/>
      <c r="BK50" s="106"/>
      <c r="BL50" s="106"/>
      <c r="BM50" s="106"/>
      <c r="BN50" s="106"/>
      <c r="BO50" s="106"/>
      <c r="BP50" s="106"/>
      <c r="BQ50" s="106"/>
      <c r="BR50" s="106"/>
      <c r="BS50" s="106"/>
      <c r="BT50" s="106"/>
      <c r="BU50" s="106"/>
      <c r="BV50" s="106"/>
      <c r="BW50" s="106"/>
      <c r="BX50" s="106"/>
      <c r="BY50" s="106"/>
      <c r="BZ50" s="158">
        <f t="shared" si="1"/>
        <v>1722</v>
      </c>
    </row>
    <row r="51" spans="1:78" x14ac:dyDescent="0.35">
      <c r="A51" s="147" t="str">
        <f>'[6]Set Up'!E55</f>
        <v>Payzone 217, gal</v>
      </c>
      <c r="B51" s="148">
        <f t="shared" si="2"/>
        <v>134.88235294117646</v>
      </c>
      <c r="C51" s="159">
        <v>364</v>
      </c>
      <c r="D51" s="160">
        <v>477</v>
      </c>
      <c r="E51" s="160">
        <v>179</v>
      </c>
      <c r="F51" s="160">
        <v>300</v>
      </c>
      <c r="G51" s="160">
        <v>200</v>
      </c>
      <c r="H51" s="160">
        <v>447</v>
      </c>
      <c r="I51" s="160">
        <v>100</v>
      </c>
      <c r="J51" s="160">
        <v>92</v>
      </c>
      <c r="K51" s="160">
        <v>91</v>
      </c>
      <c r="L51" s="161">
        <v>89</v>
      </c>
      <c r="M51" s="161">
        <v>90</v>
      </c>
      <c r="N51" s="161">
        <v>93</v>
      </c>
      <c r="O51" s="161">
        <v>97</v>
      </c>
      <c r="P51" s="161">
        <v>79</v>
      </c>
      <c r="Q51" s="161">
        <v>95</v>
      </c>
      <c r="R51" s="161">
        <v>94</v>
      </c>
      <c r="S51" s="161">
        <v>93</v>
      </c>
      <c r="T51" s="161">
        <v>92</v>
      </c>
      <c r="U51" s="161">
        <v>93</v>
      </c>
      <c r="V51" s="161">
        <v>92</v>
      </c>
      <c r="W51" s="161">
        <v>97</v>
      </c>
      <c r="X51" s="161">
        <v>92</v>
      </c>
      <c r="Y51" s="161">
        <v>100</v>
      </c>
      <c r="Z51" s="161">
        <v>115</v>
      </c>
      <c r="AA51" s="161">
        <v>94</v>
      </c>
      <c r="AB51" s="161">
        <v>92</v>
      </c>
      <c r="AC51" s="161">
        <v>92</v>
      </c>
      <c r="AD51" s="161">
        <v>90</v>
      </c>
      <c r="AE51" s="161">
        <v>93</v>
      </c>
      <c r="AF51" s="161">
        <v>93</v>
      </c>
      <c r="AG51" s="161">
        <v>93</v>
      </c>
      <c r="AH51" s="161">
        <v>93</v>
      </c>
      <c r="AI51" s="161">
        <v>92</v>
      </c>
      <c r="AJ51" s="161">
        <v>93</v>
      </c>
      <c r="AK51" s="161"/>
      <c r="AL51" s="161"/>
      <c r="AM51" s="161"/>
      <c r="AN51" s="161"/>
      <c r="AO51" s="161"/>
      <c r="AP51" s="161"/>
      <c r="AQ51" s="161"/>
      <c r="AR51" s="161"/>
      <c r="AS51" s="161"/>
      <c r="AT51" s="161"/>
      <c r="AU51" s="161"/>
      <c r="AV51" s="161"/>
      <c r="AW51" s="161"/>
      <c r="AX51" s="161"/>
      <c r="AY51" s="161"/>
      <c r="AZ51" s="161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3">
        <f t="shared" si="1"/>
        <v>4586</v>
      </c>
    </row>
    <row r="52" spans="1:78" x14ac:dyDescent="0.35">
      <c r="A52" s="154" t="str">
        <f>'[6]Set Up'!E56</f>
        <v>Stim741 Gel, gal</v>
      </c>
      <c r="B52" s="155">
        <f t="shared" si="2"/>
        <v>17.1875</v>
      </c>
      <c r="C52" s="156">
        <v>30</v>
      </c>
      <c r="D52" s="157">
        <v>30</v>
      </c>
      <c r="E52" s="157">
        <v>30</v>
      </c>
      <c r="F52" s="157">
        <v>30</v>
      </c>
      <c r="G52" s="157">
        <v>40</v>
      </c>
      <c r="H52" s="157">
        <v>30</v>
      </c>
      <c r="I52" s="157">
        <v>20</v>
      </c>
      <c r="J52" s="157">
        <v>20</v>
      </c>
      <c r="K52" s="157">
        <v>10</v>
      </c>
      <c r="L52" s="107">
        <v>20</v>
      </c>
      <c r="M52" s="107">
        <v>20</v>
      </c>
      <c r="N52" s="107">
        <v>20</v>
      </c>
      <c r="O52" s="107">
        <v>30</v>
      </c>
      <c r="P52" s="107"/>
      <c r="Q52" s="107">
        <v>10</v>
      </c>
      <c r="R52" s="107">
        <v>10</v>
      </c>
      <c r="S52" s="107">
        <v>10</v>
      </c>
      <c r="T52" s="107">
        <v>10</v>
      </c>
      <c r="U52" s="107">
        <v>10</v>
      </c>
      <c r="V52" s="107">
        <v>10</v>
      </c>
      <c r="W52" s="107">
        <v>10</v>
      </c>
      <c r="X52" s="107">
        <v>10</v>
      </c>
      <c r="Y52" s="107">
        <v>10</v>
      </c>
      <c r="Z52" s="107">
        <v>40</v>
      </c>
      <c r="AA52" s="107">
        <v>10</v>
      </c>
      <c r="AB52" s="107">
        <v>10</v>
      </c>
      <c r="AC52" s="107">
        <v>10</v>
      </c>
      <c r="AD52" s="107">
        <v>10</v>
      </c>
      <c r="AE52" s="107">
        <v>10</v>
      </c>
      <c r="AF52" s="107">
        <v>10</v>
      </c>
      <c r="AG52" s="107">
        <v>10</v>
      </c>
      <c r="AH52" s="107">
        <v>10</v>
      </c>
      <c r="AI52" s="107">
        <v>10</v>
      </c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  <c r="AY52" s="107"/>
      <c r="AZ52" s="107"/>
      <c r="BA52" s="106"/>
      <c r="BB52" s="106"/>
      <c r="BC52" s="106"/>
      <c r="BD52" s="106"/>
      <c r="BE52" s="106"/>
      <c r="BF52" s="106"/>
      <c r="BG52" s="106"/>
      <c r="BH52" s="106"/>
      <c r="BI52" s="106"/>
      <c r="BJ52" s="106"/>
      <c r="BK52" s="106"/>
      <c r="BL52" s="106"/>
      <c r="BM52" s="106"/>
      <c r="BN52" s="106"/>
      <c r="BO52" s="106"/>
      <c r="BP52" s="106"/>
      <c r="BQ52" s="106"/>
      <c r="BR52" s="106"/>
      <c r="BS52" s="106"/>
      <c r="BT52" s="106"/>
      <c r="BU52" s="106"/>
      <c r="BV52" s="106"/>
      <c r="BW52" s="106"/>
      <c r="BX52" s="106"/>
      <c r="BY52" s="106"/>
      <c r="BZ52" s="158">
        <f t="shared" si="1"/>
        <v>550</v>
      </c>
    </row>
    <row r="53" spans="1:78" x14ac:dyDescent="0.35">
      <c r="A53" s="147" t="str">
        <f>'[6]Set Up'!E57</f>
        <v>Becker Lube, gal</v>
      </c>
      <c r="B53" s="148" t="str">
        <f t="shared" si="2"/>
        <v/>
      </c>
      <c r="C53" s="159"/>
      <c r="D53" s="160"/>
      <c r="E53" s="160">
        <v>15</v>
      </c>
      <c r="F53" s="160"/>
      <c r="G53" s="160"/>
      <c r="H53" s="160"/>
      <c r="I53" s="160"/>
      <c r="J53" s="160"/>
      <c r="K53" s="160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  <c r="AF53" s="161"/>
      <c r="AG53" s="161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1"/>
      <c r="AS53" s="161"/>
      <c r="AT53" s="161"/>
      <c r="AU53" s="161"/>
      <c r="AV53" s="161"/>
      <c r="AW53" s="161"/>
      <c r="AX53" s="161"/>
      <c r="AY53" s="161"/>
      <c r="AZ53" s="161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3">
        <f t="shared" si="1"/>
        <v>15</v>
      </c>
    </row>
    <row r="54" spans="1:78" x14ac:dyDescent="0.35">
      <c r="A54" s="154" t="str">
        <f>'[6]Set Up'!E58</f>
        <v>Diesel</v>
      </c>
      <c r="B54" s="155">
        <f t="shared" si="2"/>
        <v>5464.3749999999991</v>
      </c>
      <c r="C54" s="156">
        <v>14639.4</v>
      </c>
      <c r="D54" s="157">
        <v>19641.8</v>
      </c>
      <c r="E54" s="157">
        <v>7894</v>
      </c>
      <c r="F54" s="157">
        <v>12176</v>
      </c>
      <c r="G54" s="157">
        <v>9852</v>
      </c>
      <c r="H54" s="157">
        <v>16555.5</v>
      </c>
      <c r="I54" s="157">
        <v>4093.02</v>
      </c>
      <c r="J54" s="157">
        <v>4357.3</v>
      </c>
      <c r="K54" s="157">
        <v>3711.93</v>
      </c>
      <c r="L54" s="107">
        <v>3539.7</v>
      </c>
      <c r="M54" s="107">
        <v>3426.8</v>
      </c>
      <c r="N54" s="107">
        <v>4268.8900000000003</v>
      </c>
      <c r="O54" s="107">
        <v>4036.6</v>
      </c>
      <c r="P54" s="107">
        <v>3571.66</v>
      </c>
      <c r="Q54" s="107">
        <v>3461.45</v>
      </c>
      <c r="R54" s="107">
        <v>3242.1</v>
      </c>
      <c r="S54" s="107">
        <v>4062.93</v>
      </c>
      <c r="T54" s="107">
        <v>3304.21</v>
      </c>
      <c r="U54" s="107">
        <v>3804.96</v>
      </c>
      <c r="V54" s="107">
        <v>3602</v>
      </c>
      <c r="W54" s="107">
        <v>3806.95</v>
      </c>
      <c r="X54" s="107">
        <v>3672</v>
      </c>
      <c r="Y54" s="107">
        <v>3967.63</v>
      </c>
      <c r="Z54" s="107">
        <v>4703.74</v>
      </c>
      <c r="AA54" s="107">
        <v>3175</v>
      </c>
      <c r="AB54" s="107">
        <v>3751</v>
      </c>
      <c r="AC54" s="107">
        <v>3545.99</v>
      </c>
      <c r="AD54" s="107">
        <v>3497</v>
      </c>
      <c r="AE54" s="107">
        <v>3952.43</v>
      </c>
      <c r="AF54" s="107">
        <v>3106.36</v>
      </c>
      <c r="AG54" s="107">
        <v>3779.8</v>
      </c>
      <c r="AH54" s="107">
        <v>3671.4</v>
      </c>
      <c r="AI54" s="107">
        <v>3722.1</v>
      </c>
      <c r="AJ54" s="107">
        <v>4195.1000000000004</v>
      </c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6"/>
      <c r="BB54" s="106"/>
      <c r="BC54" s="106"/>
      <c r="BD54" s="106"/>
      <c r="BE54" s="106"/>
      <c r="BF54" s="106"/>
      <c r="BG54" s="106"/>
      <c r="BH54" s="106"/>
      <c r="BI54" s="106"/>
      <c r="BJ54" s="106"/>
      <c r="BK54" s="106"/>
      <c r="BL54" s="106"/>
      <c r="BM54" s="106"/>
      <c r="BN54" s="106"/>
      <c r="BO54" s="106"/>
      <c r="BP54" s="106"/>
      <c r="BQ54" s="106"/>
      <c r="BR54" s="106"/>
      <c r="BS54" s="106"/>
      <c r="BT54" s="106"/>
      <c r="BU54" s="106"/>
      <c r="BV54" s="106"/>
      <c r="BW54" s="106"/>
      <c r="BX54" s="106"/>
      <c r="BY54" s="106"/>
      <c r="BZ54" s="158">
        <f t="shared" si="1"/>
        <v>185788.74999999997</v>
      </c>
    </row>
    <row r="55" spans="1:78" x14ac:dyDescent="0.35">
      <c r="A55" s="147">
        <f>'[6]Set Up'!E59</f>
        <v>0</v>
      </c>
      <c r="B55" s="148" t="str">
        <f t="shared" si="2"/>
        <v/>
      </c>
      <c r="C55" s="159"/>
      <c r="D55" s="160"/>
      <c r="E55" s="160"/>
      <c r="F55" s="160"/>
      <c r="G55" s="160"/>
      <c r="H55" s="160"/>
      <c r="I55" s="160"/>
      <c r="J55" s="160"/>
      <c r="K55" s="160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1"/>
      <c r="AU55" s="161"/>
      <c r="AV55" s="161"/>
      <c r="AW55" s="161"/>
      <c r="AX55" s="161"/>
      <c r="AY55" s="161"/>
      <c r="AZ55" s="161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3">
        <f t="shared" si="1"/>
        <v>0</v>
      </c>
    </row>
    <row r="56" spans="1:78" x14ac:dyDescent="0.35">
      <c r="A56" s="154">
        <f>'[6]Set Up'!E60</f>
        <v>0</v>
      </c>
      <c r="B56" s="155" t="str">
        <f t="shared" si="2"/>
        <v/>
      </c>
      <c r="C56" s="156"/>
      <c r="D56" s="157"/>
      <c r="E56" s="157"/>
      <c r="F56" s="157"/>
      <c r="G56" s="157"/>
      <c r="H56" s="157"/>
      <c r="I56" s="157"/>
      <c r="J56" s="157"/>
      <c r="K56" s="15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6"/>
      <c r="BB56" s="106"/>
      <c r="BC56" s="106"/>
      <c r="BD56" s="106"/>
      <c r="BE56" s="106"/>
      <c r="BF56" s="106"/>
      <c r="BG56" s="106"/>
      <c r="BH56" s="106"/>
      <c r="BI56" s="106"/>
      <c r="BJ56" s="106"/>
      <c r="BK56" s="106"/>
      <c r="BL56" s="106"/>
      <c r="BM56" s="106"/>
      <c r="BN56" s="106"/>
      <c r="BO56" s="106"/>
      <c r="BP56" s="106"/>
      <c r="BQ56" s="106"/>
      <c r="BR56" s="106"/>
      <c r="BS56" s="106"/>
      <c r="BT56" s="106"/>
      <c r="BU56" s="106"/>
      <c r="BV56" s="106"/>
      <c r="BW56" s="106"/>
      <c r="BX56" s="106"/>
      <c r="BY56" s="106"/>
      <c r="BZ56" s="158">
        <f t="shared" si="1"/>
        <v>0</v>
      </c>
    </row>
    <row r="57" spans="1:78" x14ac:dyDescent="0.35">
      <c r="A57" s="164" t="str">
        <f>'[6]Set Up'!E61</f>
        <v>7.5% HCl Acid, gal</v>
      </c>
      <c r="B57" s="165" t="str">
        <f t="shared" si="2"/>
        <v/>
      </c>
      <c r="C57" s="159"/>
      <c r="D57" s="160"/>
      <c r="E57" s="160"/>
      <c r="F57" s="160"/>
      <c r="G57" s="160"/>
      <c r="H57" s="160"/>
      <c r="I57" s="160"/>
      <c r="J57" s="160"/>
      <c r="K57" s="160"/>
      <c r="L57" s="161"/>
      <c r="M57" s="161"/>
      <c r="N57" s="161"/>
      <c r="O57" s="161"/>
      <c r="P57" s="161"/>
      <c r="Q57" s="161"/>
      <c r="R57" s="161">
        <v>2490</v>
      </c>
      <c r="S57" s="161">
        <v>2396</v>
      </c>
      <c r="T57" s="161">
        <v>2412</v>
      </c>
      <c r="U57" s="161">
        <v>2502</v>
      </c>
      <c r="V57" s="161">
        <v>2394</v>
      </c>
      <c r="W57" s="161">
        <v>2490</v>
      </c>
      <c r="X57" s="161">
        <v>2538</v>
      </c>
      <c r="Y57" s="161">
        <v>2528</v>
      </c>
      <c r="Z57" s="161">
        <v>2474</v>
      </c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3">
        <f t="shared" si="1"/>
        <v>22224</v>
      </c>
    </row>
    <row r="58" spans="1:78" x14ac:dyDescent="0.35">
      <c r="A58" s="166" t="str">
        <f>'[6]Set Up'!E62</f>
        <v>15% HCl Acid, gal</v>
      </c>
      <c r="B58" s="167">
        <f t="shared" si="2"/>
        <v>944.75</v>
      </c>
      <c r="C58" s="156">
        <v>628</v>
      </c>
      <c r="D58" s="157">
        <v>726</v>
      </c>
      <c r="E58" s="157">
        <v>662</v>
      </c>
      <c r="F58" s="157"/>
      <c r="G58" s="157"/>
      <c r="H58" s="157">
        <v>675</v>
      </c>
      <c r="I58" s="157">
        <v>575</v>
      </c>
      <c r="J58" s="157">
        <v>631</v>
      </c>
      <c r="K58" s="157">
        <v>559</v>
      </c>
      <c r="L58" s="107">
        <v>580</v>
      </c>
      <c r="M58" s="107">
        <v>599</v>
      </c>
      <c r="N58" s="107">
        <v>612</v>
      </c>
      <c r="O58" s="107">
        <v>625</v>
      </c>
      <c r="P58" s="107">
        <v>631</v>
      </c>
      <c r="Q58" s="107">
        <v>2061</v>
      </c>
      <c r="R58" s="107"/>
      <c r="S58" s="107"/>
      <c r="T58" s="107"/>
      <c r="U58" s="107"/>
      <c r="V58" s="107"/>
      <c r="W58" s="107"/>
      <c r="X58" s="107"/>
      <c r="Y58" s="107"/>
      <c r="Z58" s="107">
        <v>1179</v>
      </c>
      <c r="AA58" s="107">
        <v>1222</v>
      </c>
      <c r="AB58" s="107">
        <v>1156</v>
      </c>
      <c r="AC58" s="107">
        <v>1206</v>
      </c>
      <c r="AD58" s="107">
        <v>1251</v>
      </c>
      <c r="AE58" s="107">
        <v>1269</v>
      </c>
      <c r="AF58" s="107">
        <v>1264</v>
      </c>
      <c r="AG58" s="107">
        <v>1219</v>
      </c>
      <c r="AH58" s="107">
        <v>1172</v>
      </c>
      <c r="AI58" s="107">
        <v>1206</v>
      </c>
      <c r="AJ58" s="107">
        <v>966</v>
      </c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90">
        <f t="shared" si="1"/>
        <v>22674</v>
      </c>
    </row>
  </sheetData>
  <mergeCells count="17">
    <mergeCell ref="A1:D1"/>
    <mergeCell ref="E1:K1"/>
    <mergeCell ref="L1:V6"/>
    <mergeCell ref="B2:D2"/>
    <mergeCell ref="F2:G2"/>
    <mergeCell ref="B3:D3"/>
    <mergeCell ref="F3:G3"/>
    <mergeCell ref="B4:D4"/>
    <mergeCell ref="F4:G4"/>
    <mergeCell ref="B5:D5"/>
    <mergeCell ref="C16:I16"/>
    <mergeCell ref="F5:G5"/>
    <mergeCell ref="B6:E6"/>
    <mergeCell ref="F6:H6"/>
    <mergeCell ref="I6:K6"/>
    <mergeCell ref="B8:B12"/>
    <mergeCell ref="B13:B1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Z58"/>
  <sheetViews>
    <sheetView topLeftCell="A31" workbookViewId="0">
      <selection sqref="A1:XFD1048576"/>
    </sheetView>
  </sheetViews>
  <sheetFormatPr defaultRowHeight="14.5" x14ac:dyDescent="0.35"/>
  <cols>
    <col min="1" max="1" width="21.1796875" bestFit="1" customWidth="1"/>
    <col min="2" max="2" width="17.81640625" bestFit="1" customWidth="1"/>
    <col min="3" max="4" width="7.453125" bestFit="1" customWidth="1"/>
    <col min="5" max="5" width="9.54296875" bestFit="1" customWidth="1"/>
    <col min="6" max="7" width="7.453125" bestFit="1" customWidth="1"/>
    <col min="8" max="8" width="8.1796875" bestFit="1" customWidth="1"/>
    <col min="9" max="9" width="7.453125" bestFit="1" customWidth="1"/>
    <col min="10" max="10" width="8" bestFit="1" customWidth="1"/>
    <col min="11" max="11" width="7.7265625" bestFit="1" customWidth="1"/>
    <col min="12" max="55" width="7.453125" bestFit="1" customWidth="1"/>
    <col min="56" max="77" width="3.1796875" bestFit="1" customWidth="1"/>
    <col min="78" max="78" width="9.81640625" bestFit="1" customWidth="1"/>
  </cols>
  <sheetData>
    <row r="1" spans="1:78" ht="24" thickTop="1" x14ac:dyDescent="0.35">
      <c r="A1" s="198"/>
      <c r="B1" s="199"/>
      <c r="C1" s="199"/>
      <c r="D1" s="199"/>
      <c r="E1" s="200" t="s">
        <v>0</v>
      </c>
      <c r="F1" s="199"/>
      <c r="G1" s="199"/>
      <c r="H1" s="199"/>
      <c r="I1" s="199"/>
      <c r="J1" s="199"/>
      <c r="K1" s="201"/>
      <c r="L1" s="202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2"/>
    </row>
    <row r="2" spans="1:78" x14ac:dyDescent="0.35">
      <c r="A2" s="3" t="s">
        <v>1</v>
      </c>
      <c r="B2" s="188" t="str">
        <f>'[7]Set Up'!E5</f>
        <v>Anadarko Petroleum Corporation</v>
      </c>
      <c r="C2" s="207"/>
      <c r="D2" s="208"/>
      <c r="E2" s="4" t="s">
        <v>2</v>
      </c>
      <c r="F2" s="209" t="str">
        <f>'[7]Set Up'!E9</f>
        <v>Bone Spring 3 D</v>
      </c>
      <c r="G2" s="210"/>
      <c r="H2" s="5">
        <f>'[7]Set Up'!K15</f>
        <v>11178</v>
      </c>
      <c r="I2" s="6" t="str">
        <f>'[7]Set Up'!E15</f>
        <v>7"</v>
      </c>
      <c r="J2" s="7">
        <f>'[7]Set Up'!F15</f>
        <v>29</v>
      </c>
      <c r="K2" s="6" t="str">
        <f>'[7]Set Up'!H15</f>
        <v>HCP-110</v>
      </c>
      <c r="L2" s="204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8"/>
    </row>
    <row r="3" spans="1:78" x14ac:dyDescent="0.35">
      <c r="A3" s="3" t="s">
        <v>3</v>
      </c>
      <c r="B3" s="188" t="str">
        <f>'[7]Set Up'!E7</f>
        <v>Silvertip 76-7 Unit A 7H</v>
      </c>
      <c r="C3" s="207"/>
      <c r="D3" s="208"/>
      <c r="E3" s="4" t="s">
        <v>4</v>
      </c>
      <c r="F3" s="209" t="str">
        <f>'[7]Set Up'!J7</f>
        <v>2136271.CMP</v>
      </c>
      <c r="G3" s="210"/>
      <c r="H3" s="5">
        <f>'[7]Set Up'!K16</f>
        <v>11882</v>
      </c>
      <c r="I3" s="6" t="str">
        <f>'[7]Set Up'!E16</f>
        <v>4-1/2"</v>
      </c>
      <c r="J3" s="7">
        <f>'[7]Set Up'!F16</f>
        <v>13.5</v>
      </c>
      <c r="K3" s="6" t="str">
        <f>'[7]Set Up'!H16</f>
        <v>P-110</v>
      </c>
      <c r="L3" s="204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8"/>
    </row>
    <row r="4" spans="1:78" x14ac:dyDescent="0.35">
      <c r="A4" s="3" t="s">
        <v>5</v>
      </c>
      <c r="B4" s="188" t="str">
        <f>'[7]Set Up'!E6</f>
        <v>Matt Jones</v>
      </c>
      <c r="C4" s="207"/>
      <c r="D4" s="208"/>
      <c r="E4" s="4" t="s">
        <v>6</v>
      </c>
      <c r="F4" s="211">
        <f>'[7]Set Up'!R2</f>
        <v>8900</v>
      </c>
      <c r="G4" s="212"/>
      <c r="H4" s="5" t="str">
        <f>'[7]Set Up'!K17</f>
        <v/>
      </c>
      <c r="I4" s="6" t="str">
        <f>'[7]Set Up'!E17</f>
        <v/>
      </c>
      <c r="J4" s="7" t="str">
        <f>'[7]Set Up'!F17</f>
        <v/>
      </c>
      <c r="K4" s="6" t="str">
        <f>'[7]Set Up'!H17</f>
        <v/>
      </c>
      <c r="L4" s="204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9"/>
    </row>
    <row r="5" spans="1:78" x14ac:dyDescent="0.35">
      <c r="A5" s="3" t="s">
        <v>7</v>
      </c>
      <c r="B5" s="188" t="str">
        <f>'[7]Set Up'!E8</f>
        <v>Loving County, TX</v>
      </c>
      <c r="C5" s="207"/>
      <c r="D5" s="208"/>
      <c r="E5" s="10" t="s">
        <v>8</v>
      </c>
      <c r="F5" s="186" t="str">
        <f>'[7]Set Up'!R11</f>
        <v>53-Stage SW Plug &amp; Perf</v>
      </c>
      <c r="G5" s="187"/>
      <c r="H5" s="5" t="str">
        <f>'[7]Set Up'!K18</f>
        <v/>
      </c>
      <c r="I5" s="6" t="str">
        <f>'[7]Set Up'!E18</f>
        <v/>
      </c>
      <c r="J5" s="7" t="str">
        <f>'[7]Set Up'!F18</f>
        <v/>
      </c>
      <c r="K5" s="6" t="str">
        <f>'[7]Set Up'!H18</f>
        <v/>
      </c>
      <c r="L5" s="204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8"/>
    </row>
    <row r="6" spans="1:78" x14ac:dyDescent="0.35">
      <c r="A6" s="3" t="s">
        <v>9</v>
      </c>
      <c r="B6" s="188" t="str">
        <f>'[7]Set Up'!E10</f>
        <v>PumpCo 3</v>
      </c>
      <c r="C6" s="189"/>
      <c r="D6" s="189"/>
      <c r="E6" s="190"/>
      <c r="F6" s="191" t="str">
        <f>'[7]Set Up'!E11</f>
        <v>Odessa</v>
      </c>
      <c r="G6" s="192"/>
      <c r="H6" s="193"/>
      <c r="I6" s="191" t="str">
        <f>'[7]Set Up'!E12</f>
        <v>Nick Glock / James Crosby</v>
      </c>
      <c r="J6" s="192"/>
      <c r="K6" s="193"/>
      <c r="L6" s="205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3"/>
    </row>
    <row r="7" spans="1:78" ht="15" thickBot="1" x14ac:dyDescent="0.4">
      <c r="A7" s="14" t="s">
        <v>10</v>
      </c>
      <c r="B7" s="15" t="s">
        <v>11</v>
      </c>
      <c r="C7" s="15">
        <v>1</v>
      </c>
      <c r="D7" s="15">
        <v>2</v>
      </c>
      <c r="E7" s="15">
        <v>3</v>
      </c>
      <c r="F7" s="16">
        <v>4</v>
      </c>
      <c r="G7" s="15">
        <v>5</v>
      </c>
      <c r="H7" s="15">
        <v>6</v>
      </c>
      <c r="I7" s="15">
        <v>7</v>
      </c>
      <c r="J7" s="15">
        <v>8</v>
      </c>
      <c r="K7" s="15">
        <v>9</v>
      </c>
      <c r="L7" s="15">
        <v>10</v>
      </c>
      <c r="M7" s="15">
        <v>11</v>
      </c>
      <c r="N7" s="15">
        <v>12</v>
      </c>
      <c r="O7" s="15">
        <v>13</v>
      </c>
      <c r="P7" s="15">
        <v>14</v>
      </c>
      <c r="Q7" s="15">
        <v>15</v>
      </c>
      <c r="R7" s="15">
        <v>16</v>
      </c>
      <c r="S7" s="15">
        <v>17</v>
      </c>
      <c r="T7" s="15">
        <v>18</v>
      </c>
      <c r="U7" s="15">
        <v>19</v>
      </c>
      <c r="V7" s="15">
        <v>20</v>
      </c>
      <c r="W7" s="15">
        <v>21</v>
      </c>
      <c r="X7" s="15">
        <v>22</v>
      </c>
      <c r="Y7" s="15">
        <v>23</v>
      </c>
      <c r="Z7" s="15">
        <v>24</v>
      </c>
      <c r="AA7" s="15">
        <v>25</v>
      </c>
      <c r="AB7" s="15">
        <v>26</v>
      </c>
      <c r="AC7" s="15">
        <v>27</v>
      </c>
      <c r="AD7" s="15">
        <v>28</v>
      </c>
      <c r="AE7" s="15">
        <v>29</v>
      </c>
      <c r="AF7" s="15">
        <v>30</v>
      </c>
      <c r="AG7" s="15">
        <v>31</v>
      </c>
      <c r="AH7" s="15">
        <v>32</v>
      </c>
      <c r="AI7" s="15">
        <v>33</v>
      </c>
      <c r="AJ7" s="15">
        <v>34</v>
      </c>
      <c r="AK7" s="15">
        <v>35</v>
      </c>
      <c r="AL7" s="15">
        <v>36</v>
      </c>
      <c r="AM7" s="15">
        <v>37</v>
      </c>
      <c r="AN7" s="15">
        <v>38</v>
      </c>
      <c r="AO7" s="15">
        <v>39</v>
      </c>
      <c r="AP7" s="15">
        <v>40</v>
      </c>
      <c r="AQ7" s="15">
        <v>41</v>
      </c>
      <c r="AR7" s="15">
        <v>42</v>
      </c>
      <c r="AS7" s="15">
        <v>43</v>
      </c>
      <c r="AT7" s="15">
        <v>44</v>
      </c>
      <c r="AU7" s="15">
        <v>45</v>
      </c>
      <c r="AV7" s="15">
        <v>46</v>
      </c>
      <c r="AW7" s="15">
        <v>47</v>
      </c>
      <c r="AX7" s="15">
        <v>48</v>
      </c>
      <c r="AY7" s="15">
        <v>49</v>
      </c>
      <c r="AZ7" s="15">
        <v>50</v>
      </c>
      <c r="BA7" s="15">
        <v>51</v>
      </c>
      <c r="BB7" s="15">
        <v>52</v>
      </c>
      <c r="BC7" s="15">
        <v>53</v>
      </c>
      <c r="BD7" s="15">
        <v>54</v>
      </c>
      <c r="BE7" s="15">
        <v>55</v>
      </c>
      <c r="BF7" s="15">
        <v>56</v>
      </c>
      <c r="BG7" s="15">
        <v>57</v>
      </c>
      <c r="BH7" s="15">
        <v>58</v>
      </c>
      <c r="BI7" s="15">
        <v>59</v>
      </c>
      <c r="BJ7" s="15">
        <v>60</v>
      </c>
      <c r="BK7" s="15">
        <v>61</v>
      </c>
      <c r="BL7" s="15">
        <v>62</v>
      </c>
      <c r="BM7" s="15">
        <v>63</v>
      </c>
      <c r="BN7" s="15">
        <v>64</v>
      </c>
      <c r="BO7" s="15">
        <v>65</v>
      </c>
      <c r="BP7" s="15">
        <v>66</v>
      </c>
      <c r="BQ7" s="15">
        <v>67</v>
      </c>
      <c r="BR7" s="15">
        <v>68</v>
      </c>
      <c r="BS7" s="15">
        <v>69</v>
      </c>
      <c r="BT7" s="15">
        <v>70</v>
      </c>
      <c r="BU7" s="15">
        <v>71</v>
      </c>
      <c r="BV7" s="15">
        <v>72</v>
      </c>
      <c r="BW7" s="15">
        <v>73</v>
      </c>
      <c r="BX7" s="15">
        <v>74</v>
      </c>
      <c r="BY7" s="15">
        <v>75</v>
      </c>
      <c r="BZ7" s="17" t="s">
        <v>12</v>
      </c>
    </row>
    <row r="8" spans="1:78" x14ac:dyDescent="0.35">
      <c r="A8" s="18" t="s">
        <v>13</v>
      </c>
      <c r="B8" s="194" t="s">
        <v>14</v>
      </c>
      <c r="C8" s="19">
        <f>'[7]Set Up'!$U$2</f>
        <v>22737</v>
      </c>
      <c r="D8" s="19">
        <f>'[7]Set Up'!$U$3</f>
        <v>22538</v>
      </c>
      <c r="E8" s="19">
        <f>'[7]Set Up'!$U$4</f>
        <v>22339</v>
      </c>
      <c r="F8" s="19">
        <f>'[7]Set Up'!$U$5</f>
        <v>22140</v>
      </c>
      <c r="G8" s="19">
        <f>'[7]Set Up'!$U$6</f>
        <v>21942</v>
      </c>
      <c r="H8" s="19">
        <f>'[7]Set Up'!$U$7</f>
        <v>21743</v>
      </c>
      <c r="I8" s="19">
        <f>'[7]Set Up'!$U$8</f>
        <v>21544</v>
      </c>
      <c r="J8" s="19">
        <f>'[7]Set Up'!$U$9</f>
        <v>21345</v>
      </c>
      <c r="K8" s="19">
        <f>'[7]Set Up'!$U$10</f>
        <v>21147</v>
      </c>
      <c r="L8" s="19">
        <f>'[7]Set Up'!$U$11</f>
        <v>20948</v>
      </c>
      <c r="M8" s="19">
        <f>'[7]Set Up'!$U$12</f>
        <v>20749</v>
      </c>
      <c r="N8" s="19">
        <f>'[7]Set Up'!$U$13</f>
        <v>20550</v>
      </c>
      <c r="O8" s="19">
        <f>'[7]Set Up'!$U$14</f>
        <v>20351</v>
      </c>
      <c r="P8" s="19">
        <f>'[7]Set Up'!$U$15</f>
        <v>20153</v>
      </c>
      <c r="Q8" s="19">
        <f>'[7]Set Up'!$U$16</f>
        <v>19954</v>
      </c>
      <c r="R8" s="19">
        <f>'[7]Set Up'!$U$17</f>
        <v>19755</v>
      </c>
      <c r="S8" s="19">
        <f>'[7]Set Up'!$U$18</f>
        <v>19556</v>
      </c>
      <c r="T8" s="19">
        <f>'[7]Set Up'!$U$19</f>
        <v>19357</v>
      </c>
      <c r="U8" s="19">
        <f>'[7]Set Up'!$U$20</f>
        <v>19159</v>
      </c>
      <c r="V8" s="19">
        <f>'[7]Set Up'!$U$21</f>
        <v>18960</v>
      </c>
      <c r="W8" s="19">
        <f>'[7]Set Up'!$U$22</f>
        <v>18761</v>
      </c>
      <c r="X8" s="19">
        <f>'[7]Set Up'!$U$23</f>
        <v>18562</v>
      </c>
      <c r="Y8" s="19">
        <f>'[7]Set Up'!$U$24</f>
        <v>18364</v>
      </c>
      <c r="Z8" s="19">
        <f>'[7]Set Up'!$U$25</f>
        <v>18165</v>
      </c>
      <c r="AA8" s="19">
        <f>'[7]Set Up'!$U$26</f>
        <v>17966</v>
      </c>
      <c r="AB8" s="19">
        <f>'[7]Set Up'!$U$27</f>
        <v>17767</v>
      </c>
      <c r="AC8" s="19">
        <f>'[7]Set Up'!$U$28</f>
        <v>17568</v>
      </c>
      <c r="AD8" s="19">
        <f>'[7]Set Up'!$U$29</f>
        <v>17370</v>
      </c>
      <c r="AE8" s="19">
        <f>'[7]Set Up'!$U$30</f>
        <v>17171</v>
      </c>
      <c r="AF8" s="19">
        <f>'[7]Set Up'!$U$31</f>
        <v>16972</v>
      </c>
      <c r="AG8" s="19">
        <f>'[7]Set Up'!$U$32</f>
        <v>16773</v>
      </c>
      <c r="AH8" s="19">
        <f>'[7]Set Up'!$U$33</f>
        <v>16574</v>
      </c>
      <c r="AI8" s="19">
        <f>'[7]Set Up'!$U$34</f>
        <v>16376</v>
      </c>
      <c r="AJ8" s="19">
        <f>'[7]Set Up'!$U$35</f>
        <v>16177</v>
      </c>
      <c r="AK8" s="19">
        <f>'[7]Set Up'!$U$36</f>
        <v>18978</v>
      </c>
      <c r="AL8" s="19">
        <f>'[7]Set Up'!$U$37</f>
        <v>15779</v>
      </c>
      <c r="AM8" s="19">
        <f>'[7]Set Up'!$U$38</f>
        <v>15581</v>
      </c>
      <c r="AN8" s="19">
        <f>'[7]Set Up'!$U$39</f>
        <v>15382</v>
      </c>
      <c r="AO8" s="19">
        <f>'[7]Set Up'!$U$40</f>
        <v>15183</v>
      </c>
      <c r="AP8" s="19">
        <f>'[7]Set Up'!$U$41</f>
        <v>14984</v>
      </c>
      <c r="AQ8" s="19">
        <f>'[7]Set Up'!$U$42</f>
        <v>14785</v>
      </c>
      <c r="AR8" s="19">
        <f>'[7]Set Up'!$U$43</f>
        <v>14587</v>
      </c>
      <c r="AS8" s="19">
        <f>'[7]Set Up'!$U$44</f>
        <v>14388</v>
      </c>
      <c r="AT8" s="19">
        <f>'[7]Set Up'!$U$45</f>
        <v>14189</v>
      </c>
      <c r="AU8" s="19">
        <f>'[7]Set Up'!$U$46</f>
        <v>13990</v>
      </c>
      <c r="AV8" s="19">
        <f>'[7]Set Up'!$U$47</f>
        <v>13791</v>
      </c>
      <c r="AW8" s="19">
        <f>'[7]Set Up'!$U$48</f>
        <v>13593</v>
      </c>
      <c r="AX8" s="19">
        <f>'[7]Set Up'!$U$49</f>
        <v>13394</v>
      </c>
      <c r="AY8" s="19">
        <f>'[7]Set Up'!$U$50</f>
        <v>13195</v>
      </c>
      <c r="AZ8" s="19">
        <f>'[7]Set Up'!$U$51</f>
        <v>12996</v>
      </c>
      <c r="BA8" s="19">
        <f>'[7]Set Up'!$U$52</f>
        <v>12798</v>
      </c>
      <c r="BB8" s="19">
        <f>'[7]Set Up'!$U$53</f>
        <v>12599</v>
      </c>
      <c r="BC8" s="19">
        <f>'[7]Set Up'!$U$54</f>
        <v>12400</v>
      </c>
      <c r="BD8" s="19">
        <f>'[7]Set Up'!$U$55</f>
        <v>0</v>
      </c>
      <c r="BE8" s="19">
        <f>'[7]Set Up'!$U$56</f>
        <v>0</v>
      </c>
      <c r="BF8" s="19">
        <f>'[7]Set Up'!$U$57</f>
        <v>0</v>
      </c>
      <c r="BG8" s="19">
        <f>'[7]Set Up'!$U$58</f>
        <v>0</v>
      </c>
      <c r="BH8" s="19">
        <f>'[7]Set Up'!$U$59</f>
        <v>0</v>
      </c>
      <c r="BI8" s="19">
        <f>'[7]Set Up'!$U$60</f>
        <v>0</v>
      </c>
      <c r="BJ8" s="19">
        <f>'[7]Set Up'!$U$61</f>
        <v>0</v>
      </c>
      <c r="BK8" s="19">
        <f>'[7]Set Up'!$U$62</f>
        <v>0</v>
      </c>
      <c r="BL8" s="19">
        <f>'[7]Set Up'!$U$63</f>
        <v>0</v>
      </c>
      <c r="BM8" s="19">
        <f>'[7]Set Up'!$U$64</f>
        <v>0</v>
      </c>
      <c r="BN8" s="19">
        <f>'[7]Set Up'!$U$65</f>
        <v>0</v>
      </c>
      <c r="BO8" s="19">
        <f>'[7]Set Up'!$U$66</f>
        <v>0</v>
      </c>
      <c r="BP8" s="19">
        <f>'[7]Set Up'!$U$67</f>
        <v>0</v>
      </c>
      <c r="BQ8" s="19">
        <f>'[7]Set Up'!$U$68</f>
        <v>0</v>
      </c>
      <c r="BR8" s="19">
        <f>'[7]Set Up'!$U$69</f>
        <v>0</v>
      </c>
      <c r="BS8" s="19">
        <f>'[7]Set Up'!$U$70</f>
        <v>0</v>
      </c>
      <c r="BT8" s="19">
        <f>'[7]Set Up'!$U$71</f>
        <v>0</v>
      </c>
      <c r="BU8" s="19">
        <f>'[7]Set Up'!$U$72</f>
        <v>0</v>
      </c>
      <c r="BV8" s="19">
        <f>'[7]Set Up'!$U$73</f>
        <v>0</v>
      </c>
      <c r="BW8" s="19">
        <f>'[7]Set Up'!$U$74</f>
        <v>0</v>
      </c>
      <c r="BX8" s="19">
        <f>'[7]Set Up'!$U$75</f>
        <v>0</v>
      </c>
      <c r="BY8" s="19">
        <f>'[7]Set Up'!$U$76</f>
        <v>0</v>
      </c>
      <c r="BZ8" s="8"/>
    </row>
    <row r="9" spans="1:78" x14ac:dyDescent="0.35">
      <c r="A9" s="20" t="s">
        <v>15</v>
      </c>
      <c r="B9" s="195"/>
      <c r="C9" s="21">
        <f>'[7]Set Up'!$V2</f>
        <v>22897</v>
      </c>
      <c r="D9" s="21">
        <f>'[7]Set Up'!$V3</f>
        <v>22698</v>
      </c>
      <c r="E9" s="21">
        <f>'[7]Set Up'!$V4</f>
        <v>22499</v>
      </c>
      <c r="F9" s="21">
        <f>'[7]Set Up'!$V5</f>
        <v>22300</v>
      </c>
      <c r="G9" s="21">
        <f>'[7]Set Up'!$V6</f>
        <v>22101</v>
      </c>
      <c r="H9" s="21">
        <f>'[7]Set Up'!$V7</f>
        <v>21903</v>
      </c>
      <c r="I9" s="21">
        <f>'[7]Set Up'!$V8</f>
        <v>21704</v>
      </c>
      <c r="J9" s="21">
        <f>'[7]Set Up'!$V9</f>
        <v>21505</v>
      </c>
      <c r="K9" s="21">
        <f>'[7]Set Up'!$V10</f>
        <v>21306</v>
      </c>
      <c r="L9" s="21">
        <f>'[7]Set Up'!$V11</f>
        <v>21108</v>
      </c>
      <c r="M9" s="21">
        <f>'[7]Set Up'!$V12</f>
        <v>20909</v>
      </c>
      <c r="N9" s="21">
        <f>'[7]Set Up'!$V13</f>
        <v>20710</v>
      </c>
      <c r="O9" s="21">
        <f>'[7]Set Up'!$V14</f>
        <v>20511</v>
      </c>
      <c r="P9" s="21">
        <f>'[7]Set Up'!$V15</f>
        <v>20312</v>
      </c>
      <c r="Q9" s="21">
        <f>'[7]Set Up'!$V16</f>
        <v>20114</v>
      </c>
      <c r="R9" s="21">
        <f>'[7]Set Up'!$V17</f>
        <v>19915</v>
      </c>
      <c r="S9" s="21">
        <f>'[7]Set Up'!$V18</f>
        <v>19716</v>
      </c>
      <c r="T9" s="21">
        <f>'[7]Set Up'!$V19</f>
        <v>19517</v>
      </c>
      <c r="U9" s="21">
        <f>'[7]Set Up'!$V20</f>
        <v>19318</v>
      </c>
      <c r="V9" s="21">
        <f>'[7]Set Up'!$V21</f>
        <v>19120</v>
      </c>
      <c r="W9" s="21">
        <f>'[7]Set Up'!$V22</f>
        <v>18921</v>
      </c>
      <c r="X9" s="21">
        <f>'[7]Set Up'!$V23</f>
        <v>18722</v>
      </c>
      <c r="Y9" s="21">
        <f>'[7]Set Up'!$V24</f>
        <v>18523</v>
      </c>
      <c r="Z9" s="21">
        <f>'[7]Set Up'!$V25</f>
        <v>18325</v>
      </c>
      <c r="AA9" s="21">
        <f>'[7]Set Up'!$V26</f>
        <v>18126</v>
      </c>
      <c r="AB9" s="21">
        <f>'[7]Set Up'!$V27</f>
        <v>17927</v>
      </c>
      <c r="AC9" s="21">
        <f>'[7]Set Up'!$V28</f>
        <v>17728</v>
      </c>
      <c r="AD9" s="21">
        <f>'[7]Set Up'!$V29</f>
        <v>17529</v>
      </c>
      <c r="AE9" s="21">
        <f>'[7]Set Up'!$V30</f>
        <v>17331</v>
      </c>
      <c r="AF9" s="21">
        <f>'[7]Set Up'!$V31</f>
        <v>17132</v>
      </c>
      <c r="AG9" s="21">
        <f>'[7]Set Up'!$V32</f>
        <v>16933</v>
      </c>
      <c r="AH9" s="21">
        <f>'[7]Set Up'!$V33</f>
        <v>16734</v>
      </c>
      <c r="AI9" s="21">
        <f>'[7]Set Up'!$V34</f>
        <v>16535</v>
      </c>
      <c r="AJ9" s="21">
        <f>'[7]Set Up'!$V35</f>
        <v>16337</v>
      </c>
      <c r="AK9" s="21">
        <f>'[7]Set Up'!$V36</f>
        <v>16138</v>
      </c>
      <c r="AL9" s="21">
        <f>'[7]Set Up'!$V37</f>
        <v>15939</v>
      </c>
      <c r="AM9" s="21">
        <f>'[7]Set Up'!$V38</f>
        <v>15740</v>
      </c>
      <c r="AN9" s="21">
        <f>'[7]Set Up'!$V39</f>
        <v>15542</v>
      </c>
      <c r="AO9" s="21">
        <f>'[7]Set Up'!$V40</f>
        <v>15343</v>
      </c>
      <c r="AP9" s="21">
        <f>'[7]Set Up'!$V41</f>
        <v>15144</v>
      </c>
      <c r="AQ9" s="21">
        <f>'[7]Set Up'!$V42</f>
        <v>14945</v>
      </c>
      <c r="AR9" s="21">
        <f>'[7]Set Up'!$V43</f>
        <v>14746</v>
      </c>
      <c r="AS9" s="21">
        <f>'[7]Set Up'!$V44</f>
        <v>14548</v>
      </c>
      <c r="AT9" s="21">
        <f>'[7]Set Up'!$V45</f>
        <v>14349</v>
      </c>
      <c r="AU9" s="21">
        <f>'[7]Set Up'!$V46</f>
        <v>14150</v>
      </c>
      <c r="AV9" s="21">
        <f>'[7]Set Up'!$V47</f>
        <v>13951</v>
      </c>
      <c r="AW9" s="21">
        <f>'[7]Set Up'!$V48</f>
        <v>13752</v>
      </c>
      <c r="AX9" s="21">
        <f>'[7]Set Up'!$V49</f>
        <v>13554</v>
      </c>
      <c r="AY9" s="21">
        <f>'[7]Set Up'!$V50</f>
        <v>13355</v>
      </c>
      <c r="AZ9" s="21">
        <f>'[7]Set Up'!$V51</f>
        <v>13156</v>
      </c>
      <c r="BA9" s="21">
        <f>'[7]Set Up'!$V52</f>
        <v>12957</v>
      </c>
      <c r="BB9" s="21">
        <f>'[7]Set Up'!$V53</f>
        <v>12759</v>
      </c>
      <c r="BC9" s="21">
        <f>'[7]Set Up'!$V54</f>
        <v>12560</v>
      </c>
      <c r="BD9" s="21">
        <f>'[7]Set Up'!$V55</f>
        <v>0</v>
      </c>
      <c r="BE9" s="21">
        <f>'[7]Set Up'!$V56</f>
        <v>0</v>
      </c>
      <c r="BF9" s="21">
        <f>'[7]Set Up'!$V57</f>
        <v>0</v>
      </c>
      <c r="BG9" s="21">
        <f>'[7]Set Up'!$V58</f>
        <v>0</v>
      </c>
      <c r="BH9" s="21">
        <f>'[7]Set Up'!$V59</f>
        <v>0</v>
      </c>
      <c r="BI9" s="21">
        <f>'[7]Set Up'!$V60</f>
        <v>0</v>
      </c>
      <c r="BJ9" s="21">
        <f>'[7]Set Up'!$V61</f>
        <v>0</v>
      </c>
      <c r="BK9" s="21">
        <f>'[7]Set Up'!$V62</f>
        <v>0</v>
      </c>
      <c r="BL9" s="21">
        <f>'[7]Set Up'!$V63</f>
        <v>0</v>
      </c>
      <c r="BM9" s="21">
        <f>'[7]Set Up'!$V64</f>
        <v>0</v>
      </c>
      <c r="BN9" s="21">
        <f>'[7]Set Up'!$V65</f>
        <v>0</v>
      </c>
      <c r="BO9" s="21">
        <f>'[7]Set Up'!$V66</f>
        <v>0</v>
      </c>
      <c r="BP9" s="21">
        <f>'[7]Set Up'!$V67</f>
        <v>0</v>
      </c>
      <c r="BQ9" s="21">
        <f>'[7]Set Up'!$V68</f>
        <v>0</v>
      </c>
      <c r="BR9" s="21">
        <f>'[7]Set Up'!$V69</f>
        <v>0</v>
      </c>
      <c r="BS9" s="21">
        <f>'[7]Set Up'!$V70</f>
        <v>0</v>
      </c>
      <c r="BT9" s="21">
        <f>'[7]Set Up'!$V71</f>
        <v>0</v>
      </c>
      <c r="BU9" s="21">
        <f>'[7]Set Up'!$V72</f>
        <v>0</v>
      </c>
      <c r="BV9" s="21">
        <f>'[7]Set Up'!$V73</f>
        <v>0</v>
      </c>
      <c r="BW9" s="21">
        <f>'[7]Set Up'!$V74</f>
        <v>0</v>
      </c>
      <c r="BX9" s="21">
        <f>'[7]Set Up'!$V75</f>
        <v>0</v>
      </c>
      <c r="BY9" s="21">
        <f>'[7]Set Up'!$V76</f>
        <v>0</v>
      </c>
      <c r="BZ9" s="8"/>
    </row>
    <row r="10" spans="1:78" ht="15" thickBot="1" x14ac:dyDescent="0.4">
      <c r="A10" s="22" t="s">
        <v>16</v>
      </c>
      <c r="B10" s="195"/>
      <c r="C10" s="23">
        <f>'[7]Set Up'!$W2</f>
        <v>24</v>
      </c>
      <c r="D10" s="23">
        <f>'[7]Set Up'!$W3</f>
        <v>24</v>
      </c>
      <c r="E10" s="23">
        <f>'[7]Set Up'!$W4</f>
        <v>24</v>
      </c>
      <c r="F10" s="23">
        <f>'[7]Set Up'!$W5</f>
        <v>24</v>
      </c>
      <c r="G10" s="23">
        <f>'[7]Set Up'!$W6</f>
        <v>24</v>
      </c>
      <c r="H10" s="23">
        <f>'[7]Set Up'!$W7</f>
        <v>24</v>
      </c>
      <c r="I10" s="23">
        <f>'[7]Set Up'!$W8</f>
        <v>24</v>
      </c>
      <c r="J10" s="23">
        <f>'[7]Set Up'!$W9</f>
        <v>24</v>
      </c>
      <c r="K10" s="23">
        <f>'[7]Set Up'!$W10</f>
        <v>24</v>
      </c>
      <c r="L10" s="23">
        <f>'[7]Set Up'!$W11</f>
        <v>24</v>
      </c>
      <c r="M10" s="23">
        <f>'[7]Set Up'!$W12</f>
        <v>24</v>
      </c>
      <c r="N10" s="23">
        <f>'[7]Set Up'!$W13</f>
        <v>24</v>
      </c>
      <c r="O10" s="23">
        <f>'[7]Set Up'!$W14</f>
        <v>24</v>
      </c>
      <c r="P10" s="23">
        <f>'[7]Set Up'!$W15</f>
        <v>24</v>
      </c>
      <c r="Q10" s="23">
        <f>'[7]Set Up'!$W16</f>
        <v>24</v>
      </c>
      <c r="R10" s="23">
        <f>'[7]Set Up'!$W17</f>
        <v>24</v>
      </c>
      <c r="S10" s="23">
        <f>'[7]Set Up'!$W18</f>
        <v>24</v>
      </c>
      <c r="T10" s="23">
        <f>'[7]Set Up'!$W19</f>
        <v>24</v>
      </c>
      <c r="U10" s="23">
        <f>'[7]Set Up'!$W20</f>
        <v>24</v>
      </c>
      <c r="V10" s="23">
        <f>'[7]Set Up'!$W21</f>
        <v>24</v>
      </c>
      <c r="W10" s="23">
        <f>'[7]Set Up'!$W22</f>
        <v>24</v>
      </c>
      <c r="X10" s="23">
        <f>'[7]Set Up'!$W23</f>
        <v>24</v>
      </c>
      <c r="Y10" s="23">
        <f>'[7]Set Up'!$W24</f>
        <v>24</v>
      </c>
      <c r="Z10" s="23">
        <f>'[7]Set Up'!$W25</f>
        <v>24</v>
      </c>
      <c r="AA10" s="23">
        <f>'[7]Set Up'!$W26</f>
        <v>24</v>
      </c>
      <c r="AB10" s="23">
        <f>'[7]Set Up'!$W27</f>
        <v>24</v>
      </c>
      <c r="AC10" s="23">
        <f>'[7]Set Up'!$W28</f>
        <v>24</v>
      </c>
      <c r="AD10" s="23">
        <f>'[7]Set Up'!$W29</f>
        <v>24</v>
      </c>
      <c r="AE10" s="23">
        <f>'[7]Set Up'!$W30</f>
        <v>24</v>
      </c>
      <c r="AF10" s="23">
        <f>'[7]Set Up'!$W31</f>
        <v>24</v>
      </c>
      <c r="AG10" s="23">
        <f>'[7]Set Up'!$W32</f>
        <v>24</v>
      </c>
      <c r="AH10" s="23">
        <f>'[7]Set Up'!$W33</f>
        <v>24</v>
      </c>
      <c r="AI10" s="23">
        <f>'[7]Set Up'!$W34</f>
        <v>24</v>
      </c>
      <c r="AJ10" s="23">
        <f>'[7]Set Up'!$W35</f>
        <v>24</v>
      </c>
      <c r="AK10" s="23">
        <f>'[7]Set Up'!$W36</f>
        <v>24</v>
      </c>
      <c r="AL10" s="23">
        <f>'[7]Set Up'!$W37</f>
        <v>24</v>
      </c>
      <c r="AM10" s="23">
        <f>'[7]Set Up'!$W38</f>
        <v>24</v>
      </c>
      <c r="AN10" s="23">
        <f>'[7]Set Up'!$W39</f>
        <v>24</v>
      </c>
      <c r="AO10" s="23">
        <f>'[7]Set Up'!$W40</f>
        <v>24</v>
      </c>
      <c r="AP10" s="23">
        <f>'[7]Set Up'!$W41</f>
        <v>24</v>
      </c>
      <c r="AQ10" s="23">
        <f>'[7]Set Up'!$W42</f>
        <v>24</v>
      </c>
      <c r="AR10" s="23">
        <f>'[7]Set Up'!$W43</f>
        <v>24</v>
      </c>
      <c r="AS10" s="23">
        <f>'[7]Set Up'!$W44</f>
        <v>24</v>
      </c>
      <c r="AT10" s="23">
        <f>'[7]Set Up'!$W45</f>
        <v>24</v>
      </c>
      <c r="AU10" s="23">
        <f>'[7]Set Up'!$W46</f>
        <v>24</v>
      </c>
      <c r="AV10" s="23">
        <f>'[7]Set Up'!$W47</f>
        <v>24</v>
      </c>
      <c r="AW10" s="23">
        <f>'[7]Set Up'!$W48</f>
        <v>24</v>
      </c>
      <c r="AX10" s="23">
        <f>'[7]Set Up'!$W49</f>
        <v>24</v>
      </c>
      <c r="AY10" s="23">
        <f>'[7]Set Up'!$W50</f>
        <v>24</v>
      </c>
      <c r="AZ10" s="23">
        <f>'[7]Set Up'!$W51</f>
        <v>24</v>
      </c>
      <c r="BA10" s="23">
        <f>'[7]Set Up'!$W52</f>
        <v>24</v>
      </c>
      <c r="BB10" s="23">
        <f>'[7]Set Up'!$W53</f>
        <v>24</v>
      </c>
      <c r="BC10" s="23">
        <f>'[7]Set Up'!$W54</f>
        <v>24</v>
      </c>
      <c r="BD10" s="23">
        <f>'[7]Set Up'!$W55</f>
        <v>0</v>
      </c>
      <c r="BE10" s="23">
        <f>'[7]Set Up'!$W56</f>
        <v>0</v>
      </c>
      <c r="BF10" s="23">
        <f>'[7]Set Up'!$W57</f>
        <v>0</v>
      </c>
      <c r="BG10" s="23">
        <f>'[7]Set Up'!$W58</f>
        <v>0</v>
      </c>
      <c r="BH10" s="23">
        <f>'[7]Set Up'!$W59</f>
        <v>0</v>
      </c>
      <c r="BI10" s="23">
        <f>'[7]Set Up'!$W60</f>
        <v>0</v>
      </c>
      <c r="BJ10" s="23">
        <f>'[7]Set Up'!$W61</f>
        <v>0</v>
      </c>
      <c r="BK10" s="23">
        <f>'[7]Set Up'!$W62</f>
        <v>0</v>
      </c>
      <c r="BL10" s="23">
        <f>'[7]Set Up'!$W63</f>
        <v>0</v>
      </c>
      <c r="BM10" s="23">
        <f>'[7]Set Up'!$W64</f>
        <v>0</v>
      </c>
      <c r="BN10" s="23">
        <f>'[7]Set Up'!$W65</f>
        <v>0</v>
      </c>
      <c r="BO10" s="23">
        <f>'[7]Set Up'!$W66</f>
        <v>0</v>
      </c>
      <c r="BP10" s="23">
        <f>'[7]Set Up'!$W67</f>
        <v>0</v>
      </c>
      <c r="BQ10" s="23">
        <f>'[7]Set Up'!$W68</f>
        <v>0</v>
      </c>
      <c r="BR10" s="23">
        <f>'[7]Set Up'!$W69</f>
        <v>0</v>
      </c>
      <c r="BS10" s="23">
        <f>'[7]Set Up'!$W70</f>
        <v>0</v>
      </c>
      <c r="BT10" s="23">
        <f>'[7]Set Up'!$W71</f>
        <v>0</v>
      </c>
      <c r="BU10" s="23">
        <f>'[7]Set Up'!$W72</f>
        <v>0</v>
      </c>
      <c r="BV10" s="23">
        <f>'[7]Set Up'!$W73</f>
        <v>0</v>
      </c>
      <c r="BW10" s="23">
        <f>'[7]Set Up'!$W74</f>
        <v>0</v>
      </c>
      <c r="BX10" s="23">
        <f>'[7]Set Up'!$W75</f>
        <v>0</v>
      </c>
      <c r="BY10" s="23">
        <f>'[7]Set Up'!$W76</f>
        <v>0</v>
      </c>
      <c r="BZ10" s="8"/>
    </row>
    <row r="11" spans="1:78" x14ac:dyDescent="0.35">
      <c r="A11" s="18" t="s">
        <v>17</v>
      </c>
      <c r="B11" s="195"/>
      <c r="C11" s="19">
        <f>'[7]Set Up'!$X2</f>
        <v>22916</v>
      </c>
      <c r="D11" s="19">
        <f>'[7]Set Up'!$X3</f>
        <v>22717</v>
      </c>
      <c r="E11" s="19">
        <f>'[7]Set Up'!$X4</f>
        <v>22518</v>
      </c>
      <c r="F11" s="19">
        <f>'[7]Set Up'!$X5</f>
        <v>22319</v>
      </c>
      <c r="G11" s="19">
        <f>'[7]Set Up'!$X6</f>
        <v>22120</v>
      </c>
      <c r="H11" s="19">
        <f>'[7]Set Up'!$X7</f>
        <v>21922</v>
      </c>
      <c r="I11" s="19">
        <f>'[7]Set Up'!$X8</f>
        <v>21723</v>
      </c>
      <c r="J11" s="19">
        <f>'[7]Set Up'!$X9</f>
        <v>21524</v>
      </c>
      <c r="K11" s="19">
        <f>'[7]Set Up'!$X10</f>
        <v>21325</v>
      </c>
      <c r="L11" s="19">
        <f>'[7]Set Up'!$X11</f>
        <v>21127</v>
      </c>
      <c r="M11" s="19">
        <f>'[7]Set Up'!$X12</f>
        <v>20928</v>
      </c>
      <c r="N11" s="19">
        <f>'[7]Set Up'!$X13</f>
        <v>20729</v>
      </c>
      <c r="O11" s="19">
        <f>'[7]Set Up'!$X14</f>
        <v>20530</v>
      </c>
      <c r="P11" s="19">
        <f>'[7]Set Up'!$X15</f>
        <v>20331</v>
      </c>
      <c r="Q11" s="19">
        <f>'[7]Set Up'!$X16</f>
        <v>20133</v>
      </c>
      <c r="R11" s="19">
        <f>'[7]Set Up'!$X17</f>
        <v>19934</v>
      </c>
      <c r="S11" s="19">
        <f>'[7]Set Up'!$X18</f>
        <v>19735</v>
      </c>
      <c r="T11" s="19">
        <f>'[7]Set Up'!$X19</f>
        <v>19536</v>
      </c>
      <c r="U11" s="19">
        <f>'[7]Set Up'!$X20</f>
        <v>19337</v>
      </c>
      <c r="V11" s="19">
        <f>'[7]Set Up'!$X21</f>
        <v>19139</v>
      </c>
      <c r="W11" s="19">
        <f>'[7]Set Up'!$X22</f>
        <v>18940</v>
      </c>
      <c r="X11" s="19">
        <f>'[7]Set Up'!$X23</f>
        <v>18741</v>
      </c>
      <c r="Y11" s="19">
        <f>'[7]Set Up'!$X24</f>
        <v>18542</v>
      </c>
      <c r="Z11" s="19">
        <f>'[7]Set Up'!$X25</f>
        <v>18344</v>
      </c>
      <c r="AA11" s="19">
        <f>'[7]Set Up'!$X26</f>
        <v>18145</v>
      </c>
      <c r="AB11" s="19">
        <f>'[7]Set Up'!$X27</f>
        <v>17946</v>
      </c>
      <c r="AC11" s="19">
        <f>'[7]Set Up'!$X28</f>
        <v>17747</v>
      </c>
      <c r="AD11" s="19">
        <f>'[7]Set Up'!$X29</f>
        <v>17548</v>
      </c>
      <c r="AE11" s="19">
        <f>'[7]Set Up'!$X30</f>
        <v>17350</v>
      </c>
      <c r="AF11" s="19">
        <f>'[7]Set Up'!$X31</f>
        <v>17151</v>
      </c>
      <c r="AG11" s="19">
        <f>'[7]Set Up'!$X32</f>
        <v>16952</v>
      </c>
      <c r="AH11" s="19">
        <f>'[7]Set Up'!$X33</f>
        <v>16753</v>
      </c>
      <c r="AI11" s="19">
        <f>'[7]Set Up'!$X34</f>
        <v>16554</v>
      </c>
      <c r="AJ11" s="19">
        <f>'[7]Set Up'!$X35</f>
        <v>16356</v>
      </c>
      <c r="AK11" s="19">
        <f>'[7]Set Up'!$X36</f>
        <v>16157</v>
      </c>
      <c r="AL11" s="19">
        <f>'[7]Set Up'!$X37</f>
        <v>15958</v>
      </c>
      <c r="AM11" s="19">
        <f>'[7]Set Up'!$X38</f>
        <v>15759</v>
      </c>
      <c r="AN11" s="19">
        <f>'[7]Set Up'!$X39</f>
        <v>15561</v>
      </c>
      <c r="AO11" s="19">
        <f>'[7]Set Up'!$X40</f>
        <v>15362</v>
      </c>
      <c r="AP11" s="19">
        <f>'[7]Set Up'!$X41</f>
        <v>15163</v>
      </c>
      <c r="AQ11" s="19">
        <f>'[7]Set Up'!$X42</f>
        <v>14964</v>
      </c>
      <c r="AR11" s="19">
        <f>'[7]Set Up'!$X43</f>
        <v>14765</v>
      </c>
      <c r="AS11" s="19">
        <f>'[7]Set Up'!$X44</f>
        <v>14567</v>
      </c>
      <c r="AT11" s="19">
        <f>'[7]Set Up'!$X45</f>
        <v>14368</v>
      </c>
      <c r="AU11" s="19">
        <f>'[7]Set Up'!$X46</f>
        <v>14169</v>
      </c>
      <c r="AV11" s="19">
        <f>'[7]Set Up'!$X47</f>
        <v>13970</v>
      </c>
      <c r="AW11" s="19">
        <f>'[7]Set Up'!$X48</f>
        <v>13771</v>
      </c>
      <c r="AX11" s="19">
        <f>'[7]Set Up'!$X49</f>
        <v>13573</v>
      </c>
      <c r="AY11" s="19">
        <f>'[7]Set Up'!$X50</f>
        <v>13374</v>
      </c>
      <c r="AZ11" s="19">
        <f>'[7]Set Up'!$X51</f>
        <v>13175</v>
      </c>
      <c r="BA11" s="19">
        <f>'[7]Set Up'!$X52</f>
        <v>12976</v>
      </c>
      <c r="BB11" s="19">
        <f>'[7]Set Up'!$X53</f>
        <v>12778</v>
      </c>
      <c r="BC11" s="19">
        <f>'[7]Set Up'!$X54</f>
        <v>12579</v>
      </c>
      <c r="BD11" s="19">
        <f>'[7]Set Up'!$X55</f>
        <v>0</v>
      </c>
      <c r="BE11" s="19">
        <f>'[7]Set Up'!$X56</f>
        <v>0</v>
      </c>
      <c r="BF11" s="19">
        <f>'[7]Set Up'!$X57</f>
        <v>0</v>
      </c>
      <c r="BG11" s="19">
        <f>'[7]Set Up'!$X58</f>
        <v>0</v>
      </c>
      <c r="BH11" s="19">
        <f>'[7]Set Up'!$X59</f>
        <v>0</v>
      </c>
      <c r="BI11" s="19">
        <f>'[7]Set Up'!$X60</f>
        <v>0</v>
      </c>
      <c r="BJ11" s="19">
        <f>'[7]Set Up'!$X61</f>
        <v>0</v>
      </c>
      <c r="BK11" s="19">
        <f>'[7]Set Up'!$X62</f>
        <v>0</v>
      </c>
      <c r="BL11" s="19">
        <f>'[7]Set Up'!$X63</f>
        <v>0</v>
      </c>
      <c r="BM11" s="19">
        <f>'[7]Set Up'!$X64</f>
        <v>0</v>
      </c>
      <c r="BN11" s="19">
        <f>'[7]Set Up'!$X65</f>
        <v>0</v>
      </c>
      <c r="BO11" s="19">
        <f>'[7]Set Up'!$X66</f>
        <v>0</v>
      </c>
      <c r="BP11" s="19">
        <f>'[7]Set Up'!$X67</f>
        <v>0</v>
      </c>
      <c r="BQ11" s="19">
        <f>'[7]Set Up'!$X68</f>
        <v>0</v>
      </c>
      <c r="BR11" s="19">
        <f>'[7]Set Up'!$X69</f>
        <v>0</v>
      </c>
      <c r="BS11" s="19">
        <f>'[7]Set Up'!$X70</f>
        <v>0</v>
      </c>
      <c r="BT11" s="19">
        <f>'[7]Set Up'!$X71</f>
        <v>0</v>
      </c>
      <c r="BU11" s="19">
        <f>'[7]Set Up'!$X72</f>
        <v>0</v>
      </c>
      <c r="BV11" s="19">
        <f>'[7]Set Up'!$X73</f>
        <v>0</v>
      </c>
      <c r="BW11" s="19">
        <f>'[7]Set Up'!$X74</f>
        <v>0</v>
      </c>
      <c r="BX11" s="19">
        <f>'[7]Set Up'!$X75</f>
        <v>0</v>
      </c>
      <c r="BY11" s="19">
        <f>'[7]Set Up'!$X76</f>
        <v>0</v>
      </c>
      <c r="BZ11" s="8"/>
    </row>
    <row r="12" spans="1:78" ht="15" thickBot="1" x14ac:dyDescent="0.4">
      <c r="A12" s="20" t="s">
        <v>18</v>
      </c>
      <c r="B12" s="195"/>
      <c r="C12" s="24">
        <f>'[7]Set Up'!$AA2</f>
        <v>11885.5</v>
      </c>
      <c r="D12" s="24">
        <f>'[7]Set Up'!$AA3</f>
        <v>11886.4</v>
      </c>
      <c r="E12" s="24">
        <f>'[7]Set Up'!$AA4</f>
        <v>11892.6</v>
      </c>
      <c r="F12" s="24">
        <f>'[7]Set Up'!$AA5</f>
        <v>11903</v>
      </c>
      <c r="G12" s="24">
        <f>'[7]Set Up'!$AA6</f>
        <v>11914.3</v>
      </c>
      <c r="H12" s="24">
        <f>'[7]Set Up'!$AA7</f>
        <v>11925.8</v>
      </c>
      <c r="I12" s="24">
        <f>'[7]Set Up'!$AA8</f>
        <v>11931.2</v>
      </c>
      <c r="J12" s="24">
        <f>'[7]Set Up'!$AA9</f>
        <v>11936.3</v>
      </c>
      <c r="K12" s="24">
        <f>'[7]Set Up'!$AA10</f>
        <v>11939.8</v>
      </c>
      <c r="L12" s="24">
        <f>'[7]Set Up'!$AA11</f>
        <v>11947.6</v>
      </c>
      <c r="M12" s="24">
        <f>'[7]Set Up'!$AA12</f>
        <v>11946.3</v>
      </c>
      <c r="N12" s="24">
        <f>'[7]Set Up'!$AA13</f>
        <v>11945.5</v>
      </c>
      <c r="O12" s="24">
        <f>'[7]Set Up'!$AA14</f>
        <v>11948.9</v>
      </c>
      <c r="P12" s="24">
        <f>'[7]Set Up'!$AA15</f>
        <v>11952.4</v>
      </c>
      <c r="Q12" s="24">
        <f>'[7]Set Up'!$AA16</f>
        <v>11959.1</v>
      </c>
      <c r="R12" s="24">
        <f>'[7]Set Up'!$AA17</f>
        <v>11963.5</v>
      </c>
      <c r="S12" s="24">
        <f>'[7]Set Up'!$AA18</f>
        <v>11966.8</v>
      </c>
      <c r="T12" s="24">
        <f>'[7]Set Up'!$AA19</f>
        <v>11972.5</v>
      </c>
      <c r="U12" s="24">
        <f>'[7]Set Up'!$AA20</f>
        <v>11973.4</v>
      </c>
      <c r="V12" s="24">
        <f>'[7]Set Up'!$AA21</f>
        <v>11973.5</v>
      </c>
      <c r="W12" s="24">
        <f>'[7]Set Up'!$AA22</f>
        <v>11979.8</v>
      </c>
      <c r="X12" s="24">
        <f>'[7]Set Up'!$AA23</f>
        <v>11982.3</v>
      </c>
      <c r="Y12" s="24">
        <f>'[7]Set Up'!$AA24</f>
        <v>11983.5</v>
      </c>
      <c r="Z12" s="24">
        <f>'[7]Set Up'!$AA25</f>
        <v>11985.8</v>
      </c>
      <c r="AA12" s="24">
        <f>'[7]Set Up'!$AA26</f>
        <v>11985.9</v>
      </c>
      <c r="AB12" s="24">
        <f>'[7]Set Up'!$AA27</f>
        <v>11986</v>
      </c>
      <c r="AC12" s="24">
        <f>'[7]Set Up'!$AA28</f>
        <v>11986.1</v>
      </c>
      <c r="AD12" s="24">
        <f>'[7]Set Up'!$AA29</f>
        <v>11986.2</v>
      </c>
      <c r="AE12" s="24">
        <f>'[7]Set Up'!$AA30</f>
        <v>11986.4</v>
      </c>
      <c r="AF12" s="24">
        <f>'[7]Set Up'!$AA31</f>
        <v>11986.5</v>
      </c>
      <c r="AG12" s="24">
        <f>'[7]Set Up'!$AA32</f>
        <v>11986.6</v>
      </c>
      <c r="AH12" s="24">
        <f>'[7]Set Up'!$AA33</f>
        <v>11986.7</v>
      </c>
      <c r="AI12" s="24">
        <f>'[7]Set Up'!$AA34</f>
        <v>11986.8</v>
      </c>
      <c r="AJ12" s="24">
        <f>'[7]Set Up'!$AA35</f>
        <v>11987</v>
      </c>
      <c r="AK12" s="24">
        <f>'[7]Set Up'!$AA36</f>
        <v>11987</v>
      </c>
      <c r="AL12" s="24">
        <f>'[7]Set Up'!$AA37</f>
        <v>11987.3</v>
      </c>
      <c r="AM12" s="24">
        <f>'[7]Set Up'!$AA38</f>
        <v>11989.9</v>
      </c>
      <c r="AN12" s="24">
        <f>'[7]Set Up'!$AA39</f>
        <v>11989</v>
      </c>
      <c r="AO12" s="24">
        <f>'[7]Set Up'!$AA40</f>
        <v>11984.2</v>
      </c>
      <c r="AP12" s="24">
        <f>'[7]Set Up'!$AA41</f>
        <v>11982</v>
      </c>
      <c r="AQ12" s="24">
        <f>'[7]Set Up'!$AA42</f>
        <v>11981.3</v>
      </c>
      <c r="AR12" s="24">
        <f>'[7]Set Up'!$AA43</f>
        <v>11981.8</v>
      </c>
      <c r="AS12" s="24">
        <f>'[7]Set Up'!$AA44</f>
        <v>11984</v>
      </c>
      <c r="AT12" s="24">
        <f>'[7]Set Up'!$AA45</f>
        <v>11985.8</v>
      </c>
      <c r="AU12" s="24">
        <f>'[7]Set Up'!$AA46</f>
        <v>11984.5</v>
      </c>
      <c r="AV12" s="24">
        <f>'[7]Set Up'!$AA47</f>
        <v>11984.4</v>
      </c>
      <c r="AW12" s="24">
        <f>'[7]Set Up'!$AA48</f>
        <v>11985.8</v>
      </c>
      <c r="AX12" s="24">
        <f>'[7]Set Up'!$AA49</f>
        <v>11987.4</v>
      </c>
      <c r="AY12" s="24">
        <f>'[7]Set Up'!$AA50</f>
        <v>11987.8</v>
      </c>
      <c r="AZ12" s="24">
        <f>'[7]Set Up'!$AA51</f>
        <v>11988.2</v>
      </c>
      <c r="BA12" s="24">
        <f>'[7]Set Up'!$AA52</f>
        <v>11990.9</v>
      </c>
      <c r="BB12" s="24">
        <f>'[7]Set Up'!$AA53</f>
        <v>11993.6</v>
      </c>
      <c r="BC12" s="24">
        <f>'[7]Set Up'!$AA54</f>
        <v>11994.5</v>
      </c>
      <c r="BD12" s="24">
        <f>'[7]Set Up'!$AA55</f>
        <v>0</v>
      </c>
      <c r="BE12" s="24">
        <f>'[7]Set Up'!$AA56</f>
        <v>0</v>
      </c>
      <c r="BF12" s="24">
        <f>'[7]Set Up'!$AA57</f>
        <v>0</v>
      </c>
      <c r="BG12" s="24">
        <f>'[7]Set Up'!$AA58</f>
        <v>0</v>
      </c>
      <c r="BH12" s="24">
        <f>'[7]Set Up'!$AA59</f>
        <v>0</v>
      </c>
      <c r="BI12" s="24">
        <f>'[7]Set Up'!$AA60</f>
        <v>0</v>
      </c>
      <c r="BJ12" s="24">
        <f>'[7]Set Up'!$AA61</f>
        <v>0</v>
      </c>
      <c r="BK12" s="24">
        <f>'[7]Set Up'!$AA62</f>
        <v>0</v>
      </c>
      <c r="BL12" s="24">
        <f>'[7]Set Up'!$AA63</f>
        <v>0</v>
      </c>
      <c r="BM12" s="24">
        <f>'[7]Set Up'!$AA64</f>
        <v>0</v>
      </c>
      <c r="BN12" s="24">
        <f>'[7]Set Up'!$AA65</f>
        <v>0</v>
      </c>
      <c r="BO12" s="24">
        <f>'[7]Set Up'!$AA66</f>
        <v>0</v>
      </c>
      <c r="BP12" s="24">
        <f>'[7]Set Up'!$AA67</f>
        <v>0</v>
      </c>
      <c r="BQ12" s="24">
        <f>'[7]Set Up'!$AA68</f>
        <v>0</v>
      </c>
      <c r="BR12" s="24">
        <f>'[7]Set Up'!$AA69</f>
        <v>0</v>
      </c>
      <c r="BS12" s="24">
        <f>'[7]Set Up'!$AA70</f>
        <v>0</v>
      </c>
      <c r="BT12" s="24">
        <f>'[7]Set Up'!$AA71</f>
        <v>0</v>
      </c>
      <c r="BU12" s="24">
        <f>'[7]Set Up'!$AA72</f>
        <v>0</v>
      </c>
      <c r="BV12" s="24">
        <f>'[7]Set Up'!$AA73</f>
        <v>0</v>
      </c>
      <c r="BW12" s="24">
        <f>'[7]Set Up'!$AA74</f>
        <v>0</v>
      </c>
      <c r="BX12" s="24">
        <f>'[7]Set Up'!$AA75</f>
        <v>0</v>
      </c>
      <c r="BY12" s="24">
        <f>'[7]Set Up'!$AA76</f>
        <v>0</v>
      </c>
      <c r="BZ12" s="8"/>
    </row>
    <row r="13" spans="1:78" x14ac:dyDescent="0.35">
      <c r="A13" s="25" t="s">
        <v>19</v>
      </c>
      <c r="B13" s="196" t="s">
        <v>20</v>
      </c>
      <c r="C13" s="26">
        <f>IF(C8="","",IF(C8&lt;'[7]Set Up'!$J$15,C8*'[7]Set Up'!$N$15,IF(C8&lt;'[7]Set Up'!$J$16,(C8-'[7]Set Up'!$J$15)*'[7]Set Up'!$N$16+'[7]Set Up'!$O$15,IF(C8&lt;'[7]Set Up'!$J$17,(C8-'[7]Set Up'!$J$16)*'[7]Set Up'!$N$17+'[7]Set Up'!$O$15+'[7]Set Up'!$O$16,(C8-'[7]Set Up'!$J$17)*'[7]Set Up'!$N$18 + SUM('[7]Set Up'!$O$15:'[7]Set Up'!$O$17)))))</f>
        <v>587.96043973086262</v>
      </c>
      <c r="D13" s="26">
        <f>IF(D8="","",IF(D8&lt;'[7]Set Up'!$J$15,D8*'[7]Set Up'!$N$15,IF(D8&lt;'[7]Set Up'!$J$16,(D8-'[7]Set Up'!$J$15)*'[7]Set Up'!$N$16+'[7]Set Up'!$O$15,IF(D8&lt;'[7]Set Up'!$J$17,(D8-'[7]Set Up'!$J$16)*'[7]Set Up'!$N$17+'[7]Set Up'!$O$15+'[7]Set Up'!$O$16,(D8-'[7]Set Up'!$J$17)*'[7]Set Up'!$N$18 + SUM('[7]Set Up'!$O$15:'[7]Set Up'!$O$17)))))</f>
        <v>584.98908157476092</v>
      </c>
      <c r="E13" s="26">
        <f>IF(E8="","",IF(E8&lt;'[7]Set Up'!$J$15,E8*'[7]Set Up'!$N$15,IF(E8&lt;'[7]Set Up'!$J$16,(E8-'[7]Set Up'!$J$15)*'[7]Set Up'!$N$16+'[7]Set Up'!$O$15,IF(E8&lt;'[7]Set Up'!$J$17,(E8-'[7]Set Up'!$J$16)*'[7]Set Up'!$N$17+'[7]Set Up'!$O$15+'[7]Set Up'!$O$16,(E8-'[7]Set Up'!$J$17)*'[7]Set Up'!$N$18 + SUM('[7]Set Up'!$O$15:'[7]Set Up'!$O$17)))))</f>
        <v>582.01772341865922</v>
      </c>
      <c r="F13" s="26">
        <f>IF(F8="","",IF(F8&lt;'[7]Set Up'!$J$15,F8*'[7]Set Up'!$N$15,IF(F8&lt;'[7]Set Up'!$J$16,(F8-'[7]Set Up'!$J$15)*'[7]Set Up'!$N$16+'[7]Set Up'!$O$15,IF(F8&lt;'[7]Set Up'!$J$17,(F8-'[7]Set Up'!$J$16)*'[7]Set Up'!$N$17+'[7]Set Up'!$O$15+'[7]Set Up'!$O$16,(F8-'[7]Set Up'!$J$17)*'[7]Set Up'!$N$18 + SUM('[7]Set Up'!$O$15:'[7]Set Up'!$O$17)))))</f>
        <v>579.04636526255763</v>
      </c>
      <c r="G13" s="26">
        <f>IF(G8="","",IF(G8&lt;'[7]Set Up'!$J$15,G8*'[7]Set Up'!$N$15,IF(G8&lt;'[7]Set Up'!$J$16,(G8-'[7]Set Up'!$J$15)*'[7]Set Up'!$N$16+'[7]Set Up'!$O$15,IF(G8&lt;'[7]Set Up'!$J$17,(G8-'[7]Set Up'!$J$16)*'[7]Set Up'!$N$17+'[7]Set Up'!$O$15+'[7]Set Up'!$O$16,(G8-'[7]Set Up'!$J$17)*'[7]Set Up'!$N$18 + SUM('[7]Set Up'!$O$15:'[7]Set Up'!$O$17)))))</f>
        <v>576.08993855447648</v>
      </c>
      <c r="H13" s="26">
        <f>IF(H8="","",IF(H8&lt;'[7]Set Up'!$J$15,H8*'[7]Set Up'!$N$15,IF(H8&lt;'[7]Set Up'!$J$16,(H8-'[7]Set Up'!$J$15)*'[7]Set Up'!$N$16+'[7]Set Up'!$O$15,IF(H8&lt;'[7]Set Up'!$J$17,(H8-'[7]Set Up'!$J$16)*'[7]Set Up'!$N$17+'[7]Set Up'!$O$15+'[7]Set Up'!$O$16,(H8-'[7]Set Up'!$J$17)*'[7]Set Up'!$N$18 + SUM('[7]Set Up'!$O$15:'[7]Set Up'!$O$17)))))</f>
        <v>573.11858039837489</v>
      </c>
      <c r="I13" s="26">
        <f>IF(I8="","",IF(I8&lt;'[7]Set Up'!$J$15,I8*'[7]Set Up'!$N$15,IF(I8&lt;'[7]Set Up'!$J$16,(I8-'[7]Set Up'!$J$15)*'[7]Set Up'!$N$16+'[7]Set Up'!$O$15,IF(I8&lt;'[7]Set Up'!$J$17,(I8-'[7]Set Up'!$J$16)*'[7]Set Up'!$N$17+'[7]Set Up'!$O$15+'[7]Set Up'!$O$16,(I8-'[7]Set Up'!$J$17)*'[7]Set Up'!$N$18 + SUM('[7]Set Up'!$O$15:'[7]Set Up'!$O$17)))))</f>
        <v>570.14722224227319</v>
      </c>
      <c r="J13" s="26">
        <f>IF(J8="","",IF(J8&lt;'[7]Set Up'!$J$15,J8*'[7]Set Up'!$N$15,IF(J8&lt;'[7]Set Up'!$J$16,(J8-'[7]Set Up'!$J$15)*'[7]Set Up'!$N$16+'[7]Set Up'!$O$15,IF(J8&lt;'[7]Set Up'!$J$17,(J8-'[7]Set Up'!$J$16)*'[7]Set Up'!$N$17+'[7]Set Up'!$O$15+'[7]Set Up'!$O$16,(J8-'[7]Set Up'!$J$17)*'[7]Set Up'!$N$18 + SUM('[7]Set Up'!$O$15:'[7]Set Up'!$O$17)))))</f>
        <v>567.17586408617149</v>
      </c>
      <c r="K13" s="26">
        <f>IF(K8="","",IF(K8&lt;'[7]Set Up'!$J$15,K8*'[7]Set Up'!$N$15,IF(K8&lt;'[7]Set Up'!$J$16,(K8-'[7]Set Up'!$J$15)*'[7]Set Up'!$N$16+'[7]Set Up'!$O$15,IF(K8&lt;'[7]Set Up'!$J$17,(K8-'[7]Set Up'!$J$16)*'[7]Set Up'!$N$17+'[7]Set Up'!$O$15+'[7]Set Up'!$O$16,(K8-'[7]Set Up'!$J$17)*'[7]Set Up'!$N$18 + SUM('[7]Set Up'!$O$15:'[7]Set Up'!$O$17)))))</f>
        <v>564.21943737809045</v>
      </c>
      <c r="L13" s="26">
        <f>IF(L8="","",IF(L8&lt;'[7]Set Up'!$J$15,L8*'[7]Set Up'!$N$15,IF(L8&lt;'[7]Set Up'!$J$16,(L8-'[7]Set Up'!$J$15)*'[7]Set Up'!$N$16+'[7]Set Up'!$O$15,IF(L8&lt;'[7]Set Up'!$J$17,(L8-'[7]Set Up'!$J$16)*'[7]Set Up'!$N$17+'[7]Set Up'!$O$15+'[7]Set Up'!$O$16,(L8-'[7]Set Up'!$J$17)*'[7]Set Up'!$N$18 + SUM('[7]Set Up'!$O$15:'[7]Set Up'!$O$17)))))</f>
        <v>561.24807922198875</v>
      </c>
      <c r="M13" s="26">
        <f>IF(M8="","",IF(M8&lt;'[7]Set Up'!$J$15,M8*'[7]Set Up'!$N$15,IF(M8&lt;'[7]Set Up'!$J$16,(M8-'[7]Set Up'!$J$15)*'[7]Set Up'!$N$16+'[7]Set Up'!$O$15,IF(M8&lt;'[7]Set Up'!$J$17,(M8-'[7]Set Up'!$J$16)*'[7]Set Up'!$N$17+'[7]Set Up'!$O$15+'[7]Set Up'!$O$16,(M8-'[7]Set Up'!$J$17)*'[7]Set Up'!$N$18 + SUM('[7]Set Up'!$O$15:'[7]Set Up'!$O$17)))))</f>
        <v>558.27672106588716</v>
      </c>
      <c r="N13" s="26">
        <f>IF(N8="","",IF(N8&lt;'[7]Set Up'!$J$15,N8*'[7]Set Up'!$N$15,IF(N8&lt;'[7]Set Up'!$J$16,(N8-'[7]Set Up'!$J$15)*'[7]Set Up'!$N$16+'[7]Set Up'!$O$15,IF(N8&lt;'[7]Set Up'!$J$17,(N8-'[7]Set Up'!$J$16)*'[7]Set Up'!$N$17+'[7]Set Up'!$O$15+'[7]Set Up'!$O$16,(N8-'[7]Set Up'!$J$17)*'[7]Set Up'!$N$18 + SUM('[7]Set Up'!$O$15:'[7]Set Up'!$O$17)))))</f>
        <v>555.30536290978546</v>
      </c>
      <c r="O13" s="26">
        <f>IF(O8="","",IF(O8&lt;'[7]Set Up'!$J$15,O8*'[7]Set Up'!$N$15,IF(O8&lt;'[7]Set Up'!$J$16,(O8-'[7]Set Up'!$J$15)*'[7]Set Up'!$N$16+'[7]Set Up'!$O$15,IF(O8&lt;'[7]Set Up'!$J$17,(O8-'[7]Set Up'!$J$16)*'[7]Set Up'!$N$17+'[7]Set Up'!$O$15+'[7]Set Up'!$O$16,(O8-'[7]Set Up'!$J$17)*'[7]Set Up'!$N$18 + SUM('[7]Set Up'!$O$15:'[7]Set Up'!$O$17)))))</f>
        <v>552.33400475368376</v>
      </c>
      <c r="P13" s="26">
        <f>IF(P8="","",IF(P8&lt;'[7]Set Up'!$J$15,P8*'[7]Set Up'!$N$15,IF(P8&lt;'[7]Set Up'!$J$16,(P8-'[7]Set Up'!$J$15)*'[7]Set Up'!$N$16+'[7]Set Up'!$O$15,IF(P8&lt;'[7]Set Up'!$J$17,(P8-'[7]Set Up'!$J$16)*'[7]Set Up'!$N$17+'[7]Set Up'!$O$15+'[7]Set Up'!$O$16,(P8-'[7]Set Up'!$J$17)*'[7]Set Up'!$N$18 + SUM('[7]Set Up'!$O$15:'[7]Set Up'!$O$17)))))</f>
        <v>549.37757804560272</v>
      </c>
      <c r="Q13" s="26">
        <f>IF(Q8="","",IF(Q8&lt;'[7]Set Up'!$J$15,Q8*'[7]Set Up'!$N$15,IF(Q8&lt;'[7]Set Up'!$J$16,(Q8-'[7]Set Up'!$J$15)*'[7]Set Up'!$N$16+'[7]Set Up'!$O$15,IF(Q8&lt;'[7]Set Up'!$J$17,(Q8-'[7]Set Up'!$J$16)*'[7]Set Up'!$N$17+'[7]Set Up'!$O$15+'[7]Set Up'!$O$16,(Q8-'[7]Set Up'!$J$17)*'[7]Set Up'!$N$18 + SUM('[7]Set Up'!$O$15:'[7]Set Up'!$O$17)))))</f>
        <v>546.40621988950102</v>
      </c>
      <c r="R13" s="26">
        <f>IF(R8="","",IF(R8&lt;'[7]Set Up'!$J$15,R8*'[7]Set Up'!$N$15,IF(R8&lt;'[7]Set Up'!$J$16,(R8-'[7]Set Up'!$J$15)*'[7]Set Up'!$N$16+'[7]Set Up'!$O$15,IF(R8&lt;'[7]Set Up'!$J$17,(R8-'[7]Set Up'!$J$16)*'[7]Set Up'!$N$17+'[7]Set Up'!$O$15+'[7]Set Up'!$O$16,(R8-'[7]Set Up'!$J$17)*'[7]Set Up'!$N$18 + SUM('[7]Set Up'!$O$15:'[7]Set Up'!$O$17)))))</f>
        <v>543.43486173339943</v>
      </c>
      <c r="S13" s="26">
        <f>IF(S8="","",IF(S8&lt;'[7]Set Up'!$J$15,S8*'[7]Set Up'!$N$15,IF(S8&lt;'[7]Set Up'!$J$16,(S8-'[7]Set Up'!$J$15)*'[7]Set Up'!$N$16+'[7]Set Up'!$O$15,IF(S8&lt;'[7]Set Up'!$J$17,(S8-'[7]Set Up'!$J$16)*'[7]Set Up'!$N$17+'[7]Set Up'!$O$15+'[7]Set Up'!$O$16,(S8-'[7]Set Up'!$J$17)*'[7]Set Up'!$N$18 + SUM('[7]Set Up'!$O$15:'[7]Set Up'!$O$17)))))</f>
        <v>540.46350357729773</v>
      </c>
      <c r="T13" s="26">
        <f>IF(T8="","",IF(T8&lt;'[7]Set Up'!$J$15,T8*'[7]Set Up'!$N$15,IF(T8&lt;'[7]Set Up'!$J$16,(T8-'[7]Set Up'!$J$15)*'[7]Set Up'!$N$16+'[7]Set Up'!$O$15,IF(T8&lt;'[7]Set Up'!$J$17,(T8-'[7]Set Up'!$J$16)*'[7]Set Up'!$N$17+'[7]Set Up'!$O$15+'[7]Set Up'!$O$16,(T8-'[7]Set Up'!$J$17)*'[7]Set Up'!$N$18 + SUM('[7]Set Up'!$O$15:'[7]Set Up'!$O$17)))))</f>
        <v>537.49214542119603</v>
      </c>
      <c r="U13" s="26">
        <f>IF(U8="","",IF(U8&lt;'[7]Set Up'!$J$15,U8*'[7]Set Up'!$N$15,IF(U8&lt;'[7]Set Up'!$J$16,(U8-'[7]Set Up'!$J$15)*'[7]Set Up'!$N$16+'[7]Set Up'!$O$15,IF(U8&lt;'[7]Set Up'!$J$17,(U8-'[7]Set Up'!$J$16)*'[7]Set Up'!$N$17+'[7]Set Up'!$O$15+'[7]Set Up'!$O$16,(U8-'[7]Set Up'!$J$17)*'[7]Set Up'!$N$18 + SUM('[7]Set Up'!$O$15:'[7]Set Up'!$O$17)))))</f>
        <v>534.53571871311499</v>
      </c>
      <c r="V13" s="26">
        <f>IF(V8="","",IF(V8&lt;'[7]Set Up'!$J$15,V8*'[7]Set Up'!$N$15,IF(V8&lt;'[7]Set Up'!$J$16,(V8-'[7]Set Up'!$J$15)*'[7]Set Up'!$N$16+'[7]Set Up'!$O$15,IF(V8&lt;'[7]Set Up'!$J$17,(V8-'[7]Set Up'!$J$16)*'[7]Set Up'!$N$17+'[7]Set Up'!$O$15+'[7]Set Up'!$O$16,(V8-'[7]Set Up'!$J$17)*'[7]Set Up'!$N$18 + SUM('[7]Set Up'!$O$15:'[7]Set Up'!$O$17)))))</f>
        <v>531.56436055701329</v>
      </c>
      <c r="W13" s="26">
        <f>IF(W8="","",IF(W8&lt;'[7]Set Up'!$J$15,W8*'[7]Set Up'!$N$15,IF(W8&lt;'[7]Set Up'!$J$16,(W8-'[7]Set Up'!$J$15)*'[7]Set Up'!$N$16+'[7]Set Up'!$O$15,IF(W8&lt;'[7]Set Up'!$J$17,(W8-'[7]Set Up'!$J$16)*'[7]Set Up'!$N$17+'[7]Set Up'!$O$15+'[7]Set Up'!$O$16,(W8-'[7]Set Up'!$J$17)*'[7]Set Up'!$N$18 + SUM('[7]Set Up'!$O$15:'[7]Set Up'!$O$17)))))</f>
        <v>528.5930024009117</v>
      </c>
      <c r="X13" s="26">
        <f>IF(X8="","",IF(X8&lt;'[7]Set Up'!$J$15,X8*'[7]Set Up'!$N$15,IF(X8&lt;'[7]Set Up'!$J$16,(X8-'[7]Set Up'!$J$15)*'[7]Set Up'!$N$16+'[7]Set Up'!$O$15,IF(X8&lt;'[7]Set Up'!$J$17,(X8-'[7]Set Up'!$J$16)*'[7]Set Up'!$N$17+'[7]Set Up'!$O$15+'[7]Set Up'!$O$16,(X8-'[7]Set Up'!$J$17)*'[7]Set Up'!$N$18 + SUM('[7]Set Up'!$O$15:'[7]Set Up'!$O$17)))))</f>
        <v>525.62164424481</v>
      </c>
      <c r="Y13" s="26">
        <f>IF(Y8="","",IF(Y8&lt;'[7]Set Up'!$J$15,Y8*'[7]Set Up'!$N$15,IF(Y8&lt;'[7]Set Up'!$J$16,(Y8-'[7]Set Up'!$J$15)*'[7]Set Up'!$N$16+'[7]Set Up'!$O$15,IF(Y8&lt;'[7]Set Up'!$J$17,(Y8-'[7]Set Up'!$J$16)*'[7]Set Up'!$N$17+'[7]Set Up'!$O$15+'[7]Set Up'!$O$16,(Y8-'[7]Set Up'!$J$17)*'[7]Set Up'!$N$18 + SUM('[7]Set Up'!$O$15:'[7]Set Up'!$O$17)))))</f>
        <v>522.66521753672896</v>
      </c>
      <c r="Z13" s="26">
        <f>IF(Z8="","",IF(Z8&lt;'[7]Set Up'!$J$15,Z8*'[7]Set Up'!$N$15,IF(Z8&lt;'[7]Set Up'!$J$16,(Z8-'[7]Set Up'!$J$15)*'[7]Set Up'!$N$16+'[7]Set Up'!$O$15,IF(Z8&lt;'[7]Set Up'!$J$17,(Z8-'[7]Set Up'!$J$16)*'[7]Set Up'!$N$17+'[7]Set Up'!$O$15+'[7]Set Up'!$O$16,(Z8-'[7]Set Up'!$J$17)*'[7]Set Up'!$N$18 + SUM('[7]Set Up'!$O$15:'[7]Set Up'!$O$17)))))</f>
        <v>519.69385938062726</v>
      </c>
      <c r="AA13" s="26">
        <f>IF(AA8="","",IF(AA8&lt;'[7]Set Up'!$J$15,AA8*'[7]Set Up'!$N$15,IF(AA8&lt;'[7]Set Up'!$J$16,(AA8-'[7]Set Up'!$J$15)*'[7]Set Up'!$N$16+'[7]Set Up'!$O$15,IF(AA8&lt;'[7]Set Up'!$J$17,(AA8-'[7]Set Up'!$J$16)*'[7]Set Up'!$N$17+'[7]Set Up'!$O$15+'[7]Set Up'!$O$16,(AA8-'[7]Set Up'!$J$17)*'[7]Set Up'!$N$18 + SUM('[7]Set Up'!$O$15:'[7]Set Up'!$O$17)))))</f>
        <v>516.72250122452556</v>
      </c>
      <c r="AB13" s="26">
        <f>IF(AB8="","",IF(AB8&lt;'[7]Set Up'!$J$15,AB8*'[7]Set Up'!$N$15,IF(AB8&lt;'[7]Set Up'!$J$16,(AB8-'[7]Set Up'!$J$15)*'[7]Set Up'!$N$16+'[7]Set Up'!$O$15,IF(AB8&lt;'[7]Set Up'!$J$17,(AB8-'[7]Set Up'!$J$16)*'[7]Set Up'!$N$17+'[7]Set Up'!$O$15+'[7]Set Up'!$O$16,(AB8-'[7]Set Up'!$J$17)*'[7]Set Up'!$N$18 + SUM('[7]Set Up'!$O$15:'[7]Set Up'!$O$17)))))</f>
        <v>513.75114306842397</v>
      </c>
      <c r="AC13" s="26">
        <f>IF(AC8="","",IF(AC8&lt;'[7]Set Up'!$J$15,AC8*'[7]Set Up'!$N$15,IF(AC8&lt;'[7]Set Up'!$J$16,(AC8-'[7]Set Up'!$J$15)*'[7]Set Up'!$N$16+'[7]Set Up'!$O$15,IF(AC8&lt;'[7]Set Up'!$J$17,(AC8-'[7]Set Up'!$J$16)*'[7]Set Up'!$N$17+'[7]Set Up'!$O$15+'[7]Set Up'!$O$16,(AC8-'[7]Set Up'!$J$17)*'[7]Set Up'!$N$18 + SUM('[7]Set Up'!$O$15:'[7]Set Up'!$O$17)))))</f>
        <v>510.77978491232227</v>
      </c>
      <c r="AD13" s="26">
        <f>IF(AD8="","",IF(AD8&lt;'[7]Set Up'!$J$15,AD8*'[7]Set Up'!$N$15,IF(AD8&lt;'[7]Set Up'!$J$16,(AD8-'[7]Set Up'!$J$15)*'[7]Set Up'!$N$16+'[7]Set Up'!$O$15,IF(AD8&lt;'[7]Set Up'!$J$17,(AD8-'[7]Set Up'!$J$16)*'[7]Set Up'!$N$17+'[7]Set Up'!$O$15+'[7]Set Up'!$O$16,(AD8-'[7]Set Up'!$J$17)*'[7]Set Up'!$N$18 + SUM('[7]Set Up'!$O$15:'[7]Set Up'!$O$17)))))</f>
        <v>507.82335820424123</v>
      </c>
      <c r="AE13" s="26">
        <f>IF(AE8="","",IF(AE8&lt;'[7]Set Up'!$J$15,AE8*'[7]Set Up'!$N$15,IF(AE8&lt;'[7]Set Up'!$J$16,(AE8-'[7]Set Up'!$J$15)*'[7]Set Up'!$N$16+'[7]Set Up'!$O$15,IF(AE8&lt;'[7]Set Up'!$J$17,(AE8-'[7]Set Up'!$J$16)*'[7]Set Up'!$N$17+'[7]Set Up'!$O$15+'[7]Set Up'!$O$16,(AE8-'[7]Set Up'!$J$17)*'[7]Set Up'!$N$18 + SUM('[7]Set Up'!$O$15:'[7]Set Up'!$O$17)))))</f>
        <v>504.85200004813953</v>
      </c>
      <c r="AF13" s="26">
        <f>IF(AF8="","",IF(AF8&lt;'[7]Set Up'!$J$15,AF8*'[7]Set Up'!$N$15,IF(AF8&lt;'[7]Set Up'!$J$16,(AF8-'[7]Set Up'!$J$15)*'[7]Set Up'!$N$16+'[7]Set Up'!$O$15,IF(AF8&lt;'[7]Set Up'!$J$17,(AF8-'[7]Set Up'!$J$16)*'[7]Set Up'!$N$17+'[7]Set Up'!$O$15+'[7]Set Up'!$O$16,(AF8-'[7]Set Up'!$J$17)*'[7]Set Up'!$N$18 + SUM('[7]Set Up'!$O$15:'[7]Set Up'!$O$17)))))</f>
        <v>501.88064189203789</v>
      </c>
      <c r="AG13" s="26">
        <f>IF(AG8="","",IF(AG8&lt;'[7]Set Up'!$J$15,AG8*'[7]Set Up'!$N$15,IF(AG8&lt;'[7]Set Up'!$J$16,(AG8-'[7]Set Up'!$J$15)*'[7]Set Up'!$N$16+'[7]Set Up'!$O$15,IF(AG8&lt;'[7]Set Up'!$J$17,(AG8-'[7]Set Up'!$J$16)*'[7]Set Up'!$N$17+'[7]Set Up'!$O$15+'[7]Set Up'!$O$16,(AG8-'[7]Set Up'!$J$17)*'[7]Set Up'!$N$18 + SUM('[7]Set Up'!$O$15:'[7]Set Up'!$O$17)))))</f>
        <v>498.90928373593624</v>
      </c>
      <c r="AH13" s="26">
        <f>IF(AH8="","",IF(AH8&lt;'[7]Set Up'!$J$15,AH8*'[7]Set Up'!$N$15,IF(AH8&lt;'[7]Set Up'!$J$16,(AH8-'[7]Set Up'!$J$15)*'[7]Set Up'!$N$16+'[7]Set Up'!$O$15,IF(AH8&lt;'[7]Set Up'!$J$17,(AH8-'[7]Set Up'!$J$16)*'[7]Set Up'!$N$17+'[7]Set Up'!$O$15+'[7]Set Up'!$O$16,(AH8-'[7]Set Up'!$J$17)*'[7]Set Up'!$N$18 + SUM('[7]Set Up'!$O$15:'[7]Set Up'!$O$17)))))</f>
        <v>495.93792557983454</v>
      </c>
      <c r="AI13" s="26">
        <f>IF(AI8="","",IF(AI8&lt;'[7]Set Up'!$J$15,AI8*'[7]Set Up'!$N$15,IF(AI8&lt;'[7]Set Up'!$J$16,(AI8-'[7]Set Up'!$J$15)*'[7]Set Up'!$N$16+'[7]Set Up'!$O$15,IF(AI8&lt;'[7]Set Up'!$J$17,(AI8-'[7]Set Up'!$J$16)*'[7]Set Up'!$N$17+'[7]Set Up'!$O$15+'[7]Set Up'!$O$16,(AI8-'[7]Set Up'!$J$17)*'[7]Set Up'!$N$18 + SUM('[7]Set Up'!$O$15:'[7]Set Up'!$O$17)))))</f>
        <v>492.9814988717535</v>
      </c>
      <c r="AJ13" s="26">
        <f>IF(AJ8="","",IF(AJ8&lt;'[7]Set Up'!$J$15,AJ8*'[7]Set Up'!$N$15,IF(AJ8&lt;'[7]Set Up'!$J$16,(AJ8-'[7]Set Up'!$J$15)*'[7]Set Up'!$N$16+'[7]Set Up'!$O$15,IF(AJ8&lt;'[7]Set Up'!$J$17,(AJ8-'[7]Set Up'!$J$16)*'[7]Set Up'!$N$17+'[7]Set Up'!$O$15+'[7]Set Up'!$O$16,(AJ8-'[7]Set Up'!$J$17)*'[7]Set Up'!$N$18 + SUM('[7]Set Up'!$O$15:'[7]Set Up'!$O$17)))))</f>
        <v>490.0101407156518</v>
      </c>
      <c r="AK13" s="26">
        <f>IF(AK8="","",IF(AK8&lt;'[7]Set Up'!$J$15,AK8*'[7]Set Up'!$N$15,IF(AK8&lt;'[7]Set Up'!$J$16,(AK8-'[7]Set Up'!$J$15)*'[7]Set Up'!$N$16+'[7]Set Up'!$O$15,IF(AK8&lt;'[7]Set Up'!$J$17,(AK8-'[7]Set Up'!$J$16)*'[7]Set Up'!$N$17+'[7]Set Up'!$O$15+'[7]Set Up'!$O$16,(AK8-'[7]Set Up'!$J$17)*'[7]Set Up'!$N$18 + SUM('[7]Set Up'!$O$15:'[7]Set Up'!$O$17)))))</f>
        <v>531.83312662138428</v>
      </c>
      <c r="AL13" s="26">
        <f>IF(AL8="","",IF(AL8&lt;'[7]Set Up'!$J$15,AL8*'[7]Set Up'!$N$15,IF(AL8&lt;'[7]Set Up'!$J$16,(AL8-'[7]Set Up'!$J$15)*'[7]Set Up'!$N$16+'[7]Set Up'!$O$15,IF(AL8&lt;'[7]Set Up'!$J$17,(AL8-'[7]Set Up'!$J$16)*'[7]Set Up'!$N$17+'[7]Set Up'!$O$15+'[7]Set Up'!$O$16,(AL8-'[7]Set Up'!$J$17)*'[7]Set Up'!$N$18 + SUM('[7]Set Up'!$O$15:'[7]Set Up'!$O$17)))))</f>
        <v>484.06742440344851</v>
      </c>
      <c r="AM13" s="26">
        <f>IF(AM8="","",IF(AM8&lt;'[7]Set Up'!$J$15,AM8*'[7]Set Up'!$N$15,IF(AM8&lt;'[7]Set Up'!$J$16,(AM8-'[7]Set Up'!$J$15)*'[7]Set Up'!$N$16+'[7]Set Up'!$O$15,IF(AM8&lt;'[7]Set Up'!$J$17,(AM8-'[7]Set Up'!$J$16)*'[7]Set Up'!$N$17+'[7]Set Up'!$O$15+'[7]Set Up'!$O$16,(AM8-'[7]Set Up'!$J$17)*'[7]Set Up'!$N$18 + SUM('[7]Set Up'!$O$15:'[7]Set Up'!$O$17)))))</f>
        <v>481.11099769536742</v>
      </c>
      <c r="AN13" s="26">
        <f>IF(AN8="","",IF(AN8&lt;'[7]Set Up'!$J$15,AN8*'[7]Set Up'!$N$15,IF(AN8&lt;'[7]Set Up'!$J$16,(AN8-'[7]Set Up'!$J$15)*'[7]Set Up'!$N$16+'[7]Set Up'!$O$15,IF(AN8&lt;'[7]Set Up'!$J$17,(AN8-'[7]Set Up'!$J$16)*'[7]Set Up'!$N$17+'[7]Set Up'!$O$15+'[7]Set Up'!$O$16,(AN8-'[7]Set Up'!$J$17)*'[7]Set Up'!$N$18 + SUM('[7]Set Up'!$O$15:'[7]Set Up'!$O$17)))))</f>
        <v>478.13963953926577</v>
      </c>
      <c r="AO13" s="26">
        <f>IF(AO8="","",IF(AO8&lt;'[7]Set Up'!$J$15,AO8*'[7]Set Up'!$N$15,IF(AO8&lt;'[7]Set Up'!$J$16,(AO8-'[7]Set Up'!$J$15)*'[7]Set Up'!$N$16+'[7]Set Up'!$O$15,IF(AO8&lt;'[7]Set Up'!$J$17,(AO8-'[7]Set Up'!$J$16)*'[7]Set Up'!$N$17+'[7]Set Up'!$O$15+'[7]Set Up'!$O$16,(AO8-'[7]Set Up'!$J$17)*'[7]Set Up'!$N$18 + SUM('[7]Set Up'!$O$15:'[7]Set Up'!$O$17)))))</f>
        <v>475.16828138316407</v>
      </c>
      <c r="AP13" s="26">
        <f>IF(AP8="","",IF(AP8&lt;'[7]Set Up'!$J$15,AP8*'[7]Set Up'!$N$15,IF(AP8&lt;'[7]Set Up'!$J$16,(AP8-'[7]Set Up'!$J$15)*'[7]Set Up'!$N$16+'[7]Set Up'!$O$15,IF(AP8&lt;'[7]Set Up'!$J$17,(AP8-'[7]Set Up'!$J$16)*'[7]Set Up'!$N$17+'[7]Set Up'!$O$15+'[7]Set Up'!$O$16,(AP8-'[7]Set Up'!$J$17)*'[7]Set Up'!$N$18 + SUM('[7]Set Up'!$O$15:'[7]Set Up'!$O$17)))))</f>
        <v>472.19692322706243</v>
      </c>
      <c r="AQ13" s="26">
        <f>IF(AQ8="","",IF(AQ8&lt;'[7]Set Up'!$J$15,AQ8*'[7]Set Up'!$N$15,IF(AQ8&lt;'[7]Set Up'!$J$16,(AQ8-'[7]Set Up'!$J$15)*'[7]Set Up'!$N$16+'[7]Set Up'!$O$15,IF(AQ8&lt;'[7]Set Up'!$J$17,(AQ8-'[7]Set Up'!$J$16)*'[7]Set Up'!$N$17+'[7]Set Up'!$O$15+'[7]Set Up'!$O$16,(AQ8-'[7]Set Up'!$J$17)*'[7]Set Up'!$N$18 + SUM('[7]Set Up'!$O$15:'[7]Set Up'!$O$17)))))</f>
        <v>469.22556507096078</v>
      </c>
      <c r="AR13" s="26">
        <f>IF(AR8="","",IF(AR8&lt;'[7]Set Up'!$J$15,AR8*'[7]Set Up'!$N$15,IF(AR8&lt;'[7]Set Up'!$J$16,(AR8-'[7]Set Up'!$J$15)*'[7]Set Up'!$N$16+'[7]Set Up'!$O$15,IF(AR8&lt;'[7]Set Up'!$J$17,(AR8-'[7]Set Up'!$J$16)*'[7]Set Up'!$N$17+'[7]Set Up'!$O$15+'[7]Set Up'!$O$16,(AR8-'[7]Set Up'!$J$17)*'[7]Set Up'!$N$18 + SUM('[7]Set Up'!$O$15:'[7]Set Up'!$O$17)))))</f>
        <v>466.26913836287969</v>
      </c>
      <c r="AS13" s="26">
        <f>IF(AS8="","",IF(AS8&lt;'[7]Set Up'!$J$15,AS8*'[7]Set Up'!$N$15,IF(AS8&lt;'[7]Set Up'!$J$16,(AS8-'[7]Set Up'!$J$15)*'[7]Set Up'!$N$16+'[7]Set Up'!$O$15,IF(AS8&lt;'[7]Set Up'!$J$17,(AS8-'[7]Set Up'!$J$16)*'[7]Set Up'!$N$17+'[7]Set Up'!$O$15+'[7]Set Up'!$O$16,(AS8-'[7]Set Up'!$J$17)*'[7]Set Up'!$N$18 + SUM('[7]Set Up'!$O$15:'[7]Set Up'!$O$17)))))</f>
        <v>463.29778020677804</v>
      </c>
      <c r="AT13" s="26">
        <f>IF(AT8="","",IF(AT8&lt;'[7]Set Up'!$J$15,AT8*'[7]Set Up'!$N$15,IF(AT8&lt;'[7]Set Up'!$J$16,(AT8-'[7]Set Up'!$J$15)*'[7]Set Up'!$N$16+'[7]Set Up'!$O$15,IF(AT8&lt;'[7]Set Up'!$J$17,(AT8-'[7]Set Up'!$J$16)*'[7]Set Up'!$N$17+'[7]Set Up'!$O$15+'[7]Set Up'!$O$16,(AT8-'[7]Set Up'!$J$17)*'[7]Set Up'!$N$18 + SUM('[7]Set Up'!$O$15:'[7]Set Up'!$O$17)))))</f>
        <v>460.32642205067634</v>
      </c>
      <c r="AU13" s="26">
        <f>IF(AU8="","",IF(AU8&lt;'[7]Set Up'!$J$15,AU8*'[7]Set Up'!$N$15,IF(AU8&lt;'[7]Set Up'!$J$16,(AU8-'[7]Set Up'!$J$15)*'[7]Set Up'!$N$16+'[7]Set Up'!$O$15,IF(AU8&lt;'[7]Set Up'!$J$17,(AU8-'[7]Set Up'!$J$16)*'[7]Set Up'!$N$17+'[7]Set Up'!$O$15+'[7]Set Up'!$O$16,(AU8-'[7]Set Up'!$J$17)*'[7]Set Up'!$N$18 + SUM('[7]Set Up'!$O$15:'[7]Set Up'!$O$17)))))</f>
        <v>457.3550638945747</v>
      </c>
      <c r="AV13" s="26">
        <f>IF(AV8="","",IF(AV8&lt;'[7]Set Up'!$J$15,AV8*'[7]Set Up'!$N$15,IF(AV8&lt;'[7]Set Up'!$J$16,(AV8-'[7]Set Up'!$J$15)*'[7]Set Up'!$N$16+'[7]Set Up'!$O$15,IF(AV8&lt;'[7]Set Up'!$J$17,(AV8-'[7]Set Up'!$J$16)*'[7]Set Up'!$N$17+'[7]Set Up'!$O$15+'[7]Set Up'!$O$16,(AV8-'[7]Set Up'!$J$17)*'[7]Set Up'!$N$18 + SUM('[7]Set Up'!$O$15:'[7]Set Up'!$O$17)))))</f>
        <v>454.38370573847305</v>
      </c>
      <c r="AW13" s="26">
        <f>IF(AW8="","",IF(AW8&lt;'[7]Set Up'!$J$15,AW8*'[7]Set Up'!$N$15,IF(AW8&lt;'[7]Set Up'!$J$16,(AW8-'[7]Set Up'!$J$15)*'[7]Set Up'!$N$16+'[7]Set Up'!$O$15,IF(AW8&lt;'[7]Set Up'!$J$17,(AW8-'[7]Set Up'!$J$16)*'[7]Set Up'!$N$17+'[7]Set Up'!$O$15+'[7]Set Up'!$O$16,(AW8-'[7]Set Up'!$J$17)*'[7]Set Up'!$N$18 + SUM('[7]Set Up'!$O$15:'[7]Set Up'!$O$17)))))</f>
        <v>451.42727903039196</v>
      </c>
      <c r="AX13" s="26">
        <f>IF(AX8="","",IF(AX8&lt;'[7]Set Up'!$J$15,AX8*'[7]Set Up'!$N$15,IF(AX8&lt;'[7]Set Up'!$J$16,(AX8-'[7]Set Up'!$J$15)*'[7]Set Up'!$N$16+'[7]Set Up'!$O$15,IF(AX8&lt;'[7]Set Up'!$J$17,(AX8-'[7]Set Up'!$J$16)*'[7]Set Up'!$N$17+'[7]Set Up'!$O$15+'[7]Set Up'!$O$16,(AX8-'[7]Set Up'!$J$17)*'[7]Set Up'!$N$18 + SUM('[7]Set Up'!$O$15:'[7]Set Up'!$O$17)))))</f>
        <v>448.45592087429031</v>
      </c>
      <c r="AY13" s="26">
        <f>IF(AY8="","",IF(AY8&lt;'[7]Set Up'!$J$15,AY8*'[7]Set Up'!$N$15,IF(AY8&lt;'[7]Set Up'!$J$16,(AY8-'[7]Set Up'!$J$15)*'[7]Set Up'!$N$16+'[7]Set Up'!$O$15,IF(AY8&lt;'[7]Set Up'!$J$17,(AY8-'[7]Set Up'!$J$16)*'[7]Set Up'!$N$17+'[7]Set Up'!$O$15+'[7]Set Up'!$O$16,(AY8-'[7]Set Up'!$J$17)*'[7]Set Up'!$N$18 + SUM('[7]Set Up'!$O$15:'[7]Set Up'!$O$17)))))</f>
        <v>445.48456271818861</v>
      </c>
      <c r="AZ13" s="26">
        <f>IF(AZ8="","",IF(AZ8&lt;'[7]Set Up'!$J$15,AZ8*'[7]Set Up'!$N$15,IF(AZ8&lt;'[7]Set Up'!$J$16,(AZ8-'[7]Set Up'!$J$15)*'[7]Set Up'!$N$16+'[7]Set Up'!$O$15,IF(AZ8&lt;'[7]Set Up'!$J$17,(AZ8-'[7]Set Up'!$J$16)*'[7]Set Up'!$N$17+'[7]Set Up'!$O$15+'[7]Set Up'!$O$16,(AZ8-'[7]Set Up'!$J$17)*'[7]Set Up'!$N$18 + SUM('[7]Set Up'!$O$15:'[7]Set Up'!$O$17)))))</f>
        <v>442.51320456208697</v>
      </c>
      <c r="BA13" s="26">
        <f>IF(BA8="","",IF(BA8&lt;'[7]Set Up'!$J$15,BA8*'[7]Set Up'!$N$15,IF(BA8&lt;'[7]Set Up'!$J$16,(BA8-'[7]Set Up'!$J$15)*'[7]Set Up'!$N$16+'[7]Set Up'!$O$15,IF(BA8&lt;'[7]Set Up'!$J$17,(BA8-'[7]Set Up'!$J$16)*'[7]Set Up'!$N$17+'[7]Set Up'!$O$15+'[7]Set Up'!$O$16,(BA8-'[7]Set Up'!$J$17)*'[7]Set Up'!$N$18 + SUM('[7]Set Up'!$O$15:'[7]Set Up'!$O$17)))))</f>
        <v>439.55677785400593</v>
      </c>
      <c r="BB13" s="26">
        <f>IF(BB8="","",IF(BB8&lt;'[7]Set Up'!$J$15,BB8*'[7]Set Up'!$N$15,IF(BB8&lt;'[7]Set Up'!$J$16,(BB8-'[7]Set Up'!$J$15)*'[7]Set Up'!$N$16+'[7]Set Up'!$O$15,IF(BB8&lt;'[7]Set Up'!$J$17,(BB8-'[7]Set Up'!$J$16)*'[7]Set Up'!$N$17+'[7]Set Up'!$O$15+'[7]Set Up'!$O$16,(BB8-'[7]Set Up'!$J$17)*'[7]Set Up'!$N$18 + SUM('[7]Set Up'!$O$15:'[7]Set Up'!$O$17)))))</f>
        <v>436.58541969790423</v>
      </c>
      <c r="BC13" s="26">
        <f>IF(BC8="","",IF(BC8&lt;'[7]Set Up'!$J$15,BC8*'[7]Set Up'!$N$15,IF(BC8&lt;'[7]Set Up'!$J$16,(BC8-'[7]Set Up'!$J$15)*'[7]Set Up'!$N$16+'[7]Set Up'!$O$15,IF(BC8&lt;'[7]Set Up'!$J$17,(BC8-'[7]Set Up'!$J$16)*'[7]Set Up'!$N$17+'[7]Set Up'!$O$15+'[7]Set Up'!$O$16,(BC8-'[7]Set Up'!$J$17)*'[7]Set Up'!$N$18 + SUM('[7]Set Up'!$O$15:'[7]Set Up'!$O$17)))))</f>
        <v>433.61406154180258</v>
      </c>
      <c r="BD13" s="26">
        <f>IF(BD8="","",IF(BD8&lt;'[7]Set Up'!$J$15,BD8*'[7]Set Up'!$N$15,IF(BD8&lt;'[7]Set Up'!$J$16,(BD8-'[7]Set Up'!$J$15)*'[7]Set Up'!$N$16+'[7]Set Up'!$O$15,IF(BD8&lt;'[7]Set Up'!$J$17,(BD8-'[7]Set Up'!$J$16)*'[7]Set Up'!$N$17+'[7]Set Up'!$O$15+'[7]Set Up'!$O$16,(BD8-'[7]Set Up'!$J$17)*'[7]Set Up'!$N$18 + SUM('[7]Set Up'!$O$15:'[7]Set Up'!$O$17)))))</f>
        <v>0</v>
      </c>
      <c r="BE13" s="26">
        <f>IF(BE8="","",IF(BE8&lt;'[7]Set Up'!$J$15,BE8*'[7]Set Up'!$N$15,IF(BE8&lt;'[7]Set Up'!$J$16,(BE8-'[7]Set Up'!$J$15)*'[7]Set Up'!$N$16+'[7]Set Up'!$O$15,IF(BE8&lt;'[7]Set Up'!$J$17,(BE8-'[7]Set Up'!$J$16)*'[7]Set Up'!$N$17+'[7]Set Up'!$O$15+'[7]Set Up'!$O$16,(BE8-'[7]Set Up'!$J$17)*'[7]Set Up'!$N$18 + SUM('[7]Set Up'!$O$15:'[7]Set Up'!$O$17)))))</f>
        <v>0</v>
      </c>
      <c r="BF13" s="26">
        <f>IF(BF8="","",IF(BF8&lt;'[7]Set Up'!$J$15,BF8*'[7]Set Up'!$N$15,IF(BF8&lt;'[7]Set Up'!$J$16,(BF8-'[7]Set Up'!$J$15)*'[7]Set Up'!$N$16+'[7]Set Up'!$O$15,IF(BF8&lt;'[7]Set Up'!$J$17,(BF8-'[7]Set Up'!$J$16)*'[7]Set Up'!$N$17+'[7]Set Up'!$O$15+'[7]Set Up'!$O$16,(BF8-'[7]Set Up'!$J$17)*'[7]Set Up'!$N$18 + SUM('[7]Set Up'!$O$15:'[7]Set Up'!$O$17)))))</f>
        <v>0</v>
      </c>
      <c r="BG13" s="26">
        <f>IF(BG8="","",IF(BG8&lt;'[7]Set Up'!$J$15,BG8*'[7]Set Up'!$N$15,IF(BG8&lt;'[7]Set Up'!$J$16,(BG8-'[7]Set Up'!$J$15)*'[7]Set Up'!$N$16+'[7]Set Up'!$O$15,IF(BG8&lt;'[7]Set Up'!$J$17,(BG8-'[7]Set Up'!$J$16)*'[7]Set Up'!$N$17+'[7]Set Up'!$O$15+'[7]Set Up'!$O$16,(BG8-'[7]Set Up'!$J$17)*'[7]Set Up'!$N$18 + SUM('[7]Set Up'!$O$15:'[7]Set Up'!$O$17)))))</f>
        <v>0</v>
      </c>
      <c r="BH13" s="26">
        <f>IF(BH8="","",IF(BH8&lt;'[7]Set Up'!$J$15,BH8*'[7]Set Up'!$N$15,IF(BH8&lt;'[7]Set Up'!$J$16,(BH8-'[7]Set Up'!$J$15)*'[7]Set Up'!$N$16+'[7]Set Up'!$O$15,IF(BH8&lt;'[7]Set Up'!$J$17,(BH8-'[7]Set Up'!$J$16)*'[7]Set Up'!$N$17+'[7]Set Up'!$O$15+'[7]Set Up'!$O$16,(BH8-'[7]Set Up'!$J$17)*'[7]Set Up'!$N$18 + SUM('[7]Set Up'!$O$15:'[7]Set Up'!$O$17)))))</f>
        <v>0</v>
      </c>
      <c r="BI13" s="26">
        <f>IF(BI8="","",IF(BI8&lt;'[7]Set Up'!$J$15,BI8*'[7]Set Up'!$N$15,IF(BI8&lt;'[7]Set Up'!$J$16,(BI8-'[7]Set Up'!$J$15)*'[7]Set Up'!$N$16+'[7]Set Up'!$O$15,IF(BI8&lt;'[7]Set Up'!$J$17,(BI8-'[7]Set Up'!$J$16)*'[7]Set Up'!$N$17+'[7]Set Up'!$O$15+'[7]Set Up'!$O$16,(BI8-'[7]Set Up'!$J$17)*'[7]Set Up'!$N$18 + SUM('[7]Set Up'!$O$15:'[7]Set Up'!$O$17)))))</f>
        <v>0</v>
      </c>
      <c r="BJ13" s="26">
        <f>IF(BJ8="","",IF(BJ8&lt;'[7]Set Up'!$J$15,BJ8*'[7]Set Up'!$N$15,IF(BJ8&lt;'[7]Set Up'!$J$16,(BJ8-'[7]Set Up'!$J$15)*'[7]Set Up'!$N$16+'[7]Set Up'!$O$15,IF(BJ8&lt;'[7]Set Up'!$J$17,(BJ8-'[7]Set Up'!$J$16)*'[7]Set Up'!$N$17+'[7]Set Up'!$O$15+'[7]Set Up'!$O$16,(BJ8-'[7]Set Up'!$J$17)*'[7]Set Up'!$N$18 + SUM('[7]Set Up'!$O$15:'[7]Set Up'!$O$17)))))</f>
        <v>0</v>
      </c>
      <c r="BK13" s="26">
        <f>IF(BK8="","",IF(BK8&lt;'[7]Set Up'!$J$15,BK8*'[7]Set Up'!$N$15,IF(BK8&lt;'[7]Set Up'!$J$16,(BK8-'[7]Set Up'!$J$15)*'[7]Set Up'!$N$16+'[7]Set Up'!$O$15,IF(BK8&lt;'[7]Set Up'!$J$17,(BK8-'[7]Set Up'!$J$16)*'[7]Set Up'!$N$17+'[7]Set Up'!$O$15+'[7]Set Up'!$O$16,(BK8-'[7]Set Up'!$J$17)*'[7]Set Up'!$N$18 + SUM('[7]Set Up'!$O$15:'[7]Set Up'!$O$17)))))</f>
        <v>0</v>
      </c>
      <c r="BL13" s="26">
        <f>IF(BL8="","",IF(BL8&lt;'[7]Set Up'!$J$15,BL8*'[7]Set Up'!$N$15,IF(BL8&lt;'[7]Set Up'!$J$16,(BL8-'[7]Set Up'!$J$15)*'[7]Set Up'!$N$16+'[7]Set Up'!$O$15,IF(BL8&lt;'[7]Set Up'!$J$17,(BL8-'[7]Set Up'!$J$16)*'[7]Set Up'!$N$17+'[7]Set Up'!$O$15+'[7]Set Up'!$O$16,(BL8-'[7]Set Up'!$J$17)*'[7]Set Up'!$N$18 + SUM('[7]Set Up'!$O$15:'[7]Set Up'!$O$17)))))</f>
        <v>0</v>
      </c>
      <c r="BM13" s="26">
        <f>IF(BM8="","",IF(BM8&lt;'[7]Set Up'!$J$15,BM8*'[7]Set Up'!$N$15,IF(BM8&lt;'[7]Set Up'!$J$16,(BM8-'[7]Set Up'!$J$15)*'[7]Set Up'!$N$16+'[7]Set Up'!$O$15,IF(BM8&lt;'[7]Set Up'!$J$17,(BM8-'[7]Set Up'!$J$16)*'[7]Set Up'!$N$17+'[7]Set Up'!$O$15+'[7]Set Up'!$O$16,(BM8-'[7]Set Up'!$J$17)*'[7]Set Up'!$N$18 + SUM('[7]Set Up'!$O$15:'[7]Set Up'!$O$17)))))</f>
        <v>0</v>
      </c>
      <c r="BN13" s="26">
        <f>IF(BN8="","",IF(BN8&lt;'[7]Set Up'!$J$15,BN8*'[7]Set Up'!$N$15,IF(BN8&lt;'[7]Set Up'!$J$16,(BN8-'[7]Set Up'!$J$15)*'[7]Set Up'!$N$16+'[7]Set Up'!$O$15,IF(BN8&lt;'[7]Set Up'!$J$17,(BN8-'[7]Set Up'!$J$16)*'[7]Set Up'!$N$17+'[7]Set Up'!$O$15+'[7]Set Up'!$O$16,(BN8-'[7]Set Up'!$J$17)*'[7]Set Up'!$N$18 + SUM('[7]Set Up'!$O$15:'[7]Set Up'!$O$17)))))</f>
        <v>0</v>
      </c>
      <c r="BO13" s="26">
        <f>IF(BO8="","",IF(BO8&lt;'[7]Set Up'!$J$15,BO8*'[7]Set Up'!$N$15,IF(BO8&lt;'[7]Set Up'!$J$16,(BO8-'[7]Set Up'!$J$15)*'[7]Set Up'!$N$16+'[7]Set Up'!$O$15,IF(BO8&lt;'[7]Set Up'!$J$17,(BO8-'[7]Set Up'!$J$16)*'[7]Set Up'!$N$17+'[7]Set Up'!$O$15+'[7]Set Up'!$O$16,(BO8-'[7]Set Up'!$J$17)*'[7]Set Up'!$N$18 + SUM('[7]Set Up'!$O$15:'[7]Set Up'!$O$17)))))</f>
        <v>0</v>
      </c>
      <c r="BP13" s="26">
        <f>IF(BP8="","",IF(BP8&lt;'[7]Set Up'!$J$15,BP8*'[7]Set Up'!$N$15,IF(BP8&lt;'[7]Set Up'!$J$16,(BP8-'[7]Set Up'!$J$15)*'[7]Set Up'!$N$16+'[7]Set Up'!$O$15,IF(BP8&lt;'[7]Set Up'!$J$17,(BP8-'[7]Set Up'!$J$16)*'[7]Set Up'!$N$17+'[7]Set Up'!$O$15+'[7]Set Up'!$O$16,(BP8-'[7]Set Up'!$J$17)*'[7]Set Up'!$N$18 + SUM('[7]Set Up'!$O$15:'[7]Set Up'!$O$17)))))</f>
        <v>0</v>
      </c>
      <c r="BQ13" s="26">
        <f>IF(BQ8="","",IF(BQ8&lt;'[7]Set Up'!$J$15,BQ8*'[7]Set Up'!$N$15,IF(BQ8&lt;'[7]Set Up'!$J$16,(BQ8-'[7]Set Up'!$J$15)*'[7]Set Up'!$N$16+'[7]Set Up'!$O$15,IF(BQ8&lt;'[7]Set Up'!$J$17,(BQ8-'[7]Set Up'!$J$16)*'[7]Set Up'!$N$17+'[7]Set Up'!$O$15+'[7]Set Up'!$O$16,(BQ8-'[7]Set Up'!$J$17)*'[7]Set Up'!$N$18 + SUM('[7]Set Up'!$O$15:'[7]Set Up'!$O$17)))))</f>
        <v>0</v>
      </c>
      <c r="BR13" s="26">
        <f>IF(BR8="","",IF(BR8&lt;'[7]Set Up'!$J$15,BR8*'[7]Set Up'!$N$15,IF(BR8&lt;'[7]Set Up'!$J$16,(BR8-'[7]Set Up'!$J$15)*'[7]Set Up'!$N$16+'[7]Set Up'!$O$15,IF(BR8&lt;'[7]Set Up'!$J$17,(BR8-'[7]Set Up'!$J$16)*'[7]Set Up'!$N$17+'[7]Set Up'!$O$15+'[7]Set Up'!$O$16,(BR8-'[7]Set Up'!$J$17)*'[7]Set Up'!$N$18 + SUM('[7]Set Up'!$O$15:'[7]Set Up'!$O$17)))))</f>
        <v>0</v>
      </c>
      <c r="BS13" s="26">
        <f>IF(BS8="","",IF(BS8&lt;'[7]Set Up'!$J$15,BS8*'[7]Set Up'!$N$15,IF(BS8&lt;'[7]Set Up'!$J$16,(BS8-'[7]Set Up'!$J$15)*'[7]Set Up'!$N$16+'[7]Set Up'!$O$15,IF(BS8&lt;'[7]Set Up'!$J$17,(BS8-'[7]Set Up'!$J$16)*'[7]Set Up'!$N$17+'[7]Set Up'!$O$15+'[7]Set Up'!$O$16,(BS8-'[7]Set Up'!$J$17)*'[7]Set Up'!$N$18 + SUM('[7]Set Up'!$O$15:'[7]Set Up'!$O$17)))))</f>
        <v>0</v>
      </c>
      <c r="BT13" s="26">
        <f>IF(BT8="","",IF(BT8&lt;'[7]Set Up'!$J$15,BT8*'[7]Set Up'!$N$15,IF(BT8&lt;'[7]Set Up'!$J$16,(BT8-'[7]Set Up'!$J$15)*'[7]Set Up'!$N$16+'[7]Set Up'!$O$15,IF(BT8&lt;'[7]Set Up'!$J$17,(BT8-'[7]Set Up'!$J$16)*'[7]Set Up'!$N$17+'[7]Set Up'!$O$15+'[7]Set Up'!$O$16,(BT8-'[7]Set Up'!$J$17)*'[7]Set Up'!$N$18 + SUM('[7]Set Up'!$O$15:'[7]Set Up'!$O$17)))))</f>
        <v>0</v>
      </c>
      <c r="BU13" s="26">
        <f>IF(BU8="","",IF(BU8&lt;'[7]Set Up'!$J$15,BU8*'[7]Set Up'!$N$15,IF(BU8&lt;'[7]Set Up'!$J$16,(BU8-'[7]Set Up'!$J$15)*'[7]Set Up'!$N$16+'[7]Set Up'!$O$15,IF(BU8&lt;'[7]Set Up'!$J$17,(BU8-'[7]Set Up'!$J$16)*'[7]Set Up'!$N$17+'[7]Set Up'!$O$15+'[7]Set Up'!$O$16,(BU8-'[7]Set Up'!$J$17)*'[7]Set Up'!$N$18 + SUM('[7]Set Up'!$O$15:'[7]Set Up'!$O$17)))))</f>
        <v>0</v>
      </c>
      <c r="BV13" s="26">
        <f>IF(BV8="","",IF(BV8&lt;'[7]Set Up'!$J$15,BV8*'[7]Set Up'!$N$15,IF(BV8&lt;'[7]Set Up'!$J$16,(BV8-'[7]Set Up'!$J$15)*'[7]Set Up'!$N$16+'[7]Set Up'!$O$15,IF(BV8&lt;'[7]Set Up'!$J$17,(BV8-'[7]Set Up'!$J$16)*'[7]Set Up'!$N$17+'[7]Set Up'!$O$15+'[7]Set Up'!$O$16,(BV8-'[7]Set Up'!$J$17)*'[7]Set Up'!$N$18 + SUM('[7]Set Up'!$O$15:'[7]Set Up'!$O$17)))))</f>
        <v>0</v>
      </c>
      <c r="BW13" s="26">
        <f>IF(BW8="","",IF(BW8&lt;'[7]Set Up'!$J$15,BW8*'[7]Set Up'!$N$15,IF(BW8&lt;'[7]Set Up'!$J$16,(BW8-'[7]Set Up'!$J$15)*'[7]Set Up'!$N$16+'[7]Set Up'!$O$15,IF(BW8&lt;'[7]Set Up'!$J$17,(BW8-'[7]Set Up'!$J$16)*'[7]Set Up'!$N$17+'[7]Set Up'!$O$15+'[7]Set Up'!$O$16,(BW8-'[7]Set Up'!$J$17)*'[7]Set Up'!$N$18 + SUM('[7]Set Up'!$O$15:'[7]Set Up'!$O$17)))))</f>
        <v>0</v>
      </c>
      <c r="BX13" s="26">
        <f>IF(BX8="","",IF(BX8&lt;'[7]Set Up'!$J$15,BX8*'[7]Set Up'!$N$15,IF(BX8&lt;'[7]Set Up'!$J$16,(BX8-'[7]Set Up'!$J$15)*'[7]Set Up'!$N$16+'[7]Set Up'!$O$15,IF(BX8&lt;'[7]Set Up'!$J$17,(BX8-'[7]Set Up'!$J$16)*'[7]Set Up'!$N$17+'[7]Set Up'!$O$15+'[7]Set Up'!$O$16,(BX8-'[7]Set Up'!$J$17)*'[7]Set Up'!$N$18 + SUM('[7]Set Up'!$O$15:'[7]Set Up'!$O$17)))))</f>
        <v>0</v>
      </c>
      <c r="BY13" s="26">
        <f>IF(BY8="","",IF(BY8&lt;'[7]Set Up'!$J$15,BY8*'[7]Set Up'!$N$15,IF(BY8&lt;'[7]Set Up'!$J$16,(BY8-'[7]Set Up'!$J$15)*'[7]Set Up'!$N$16+'[7]Set Up'!$O$15,IF(BY8&lt;'[7]Set Up'!$J$17,(BY8-'[7]Set Up'!$J$16)*'[7]Set Up'!$N$17+'[7]Set Up'!$O$15+'[7]Set Up'!$O$16,(BY8-'[7]Set Up'!$J$17)*'[7]Set Up'!$N$18 + SUM('[7]Set Up'!$O$15:'[7]Set Up'!$O$17)))))</f>
        <v>0</v>
      </c>
      <c r="BZ13" s="8"/>
    </row>
    <row r="14" spans="1:78" x14ac:dyDescent="0.35">
      <c r="A14" s="27" t="s">
        <v>21</v>
      </c>
      <c r="B14" s="195"/>
      <c r="C14" s="28">
        <f>IF(C9="","",IF(C9&lt;'[7]Set Up'!$J$15,C9*'[7]Set Up'!$N$15,IF(C9&lt;'[7]Set Up'!$J$16,(C9-'[7]Set Up'!$J$15)*'[7]Set Up'!$N$16+'[7]Set Up'!$O$15,IF(C9&lt;'[7]Set Up'!$J$17,(C9-'[7]Set Up'!$J$16)*'[7]Set Up'!$N$17+'[7]Set Up'!$O$15+'[7]Set Up'!$O$16,(C9-'[7]Set Up'!$J$17)*'[7]Set Up'!$N$18 + SUM('[7]Set Up'!$O$15:'[7]Set Up'!$O$17)))))</f>
        <v>590.34947141416035</v>
      </c>
      <c r="D14" s="28">
        <f>IF(D9="","",IF(D9&lt;'[7]Set Up'!$J$15,D9*'[7]Set Up'!$N$15,IF(D9&lt;'[7]Set Up'!$J$16,(D9-'[7]Set Up'!$J$15)*'[7]Set Up'!$N$16+'[7]Set Up'!$O$15,IF(D9&lt;'[7]Set Up'!$J$17,(D9-'[7]Set Up'!$J$16)*'[7]Set Up'!$N$17+'[7]Set Up'!$O$15+'[7]Set Up'!$O$16,(D9-'[7]Set Up'!$J$17)*'[7]Set Up'!$N$18 + SUM('[7]Set Up'!$O$15:'[7]Set Up'!$O$17)))))</f>
        <v>587.37811325805876</v>
      </c>
      <c r="E14" s="28">
        <f>IF(E9="","",IF(E9&lt;'[7]Set Up'!$J$15,E9*'[7]Set Up'!$N$15,IF(E9&lt;'[7]Set Up'!$J$16,(E9-'[7]Set Up'!$J$15)*'[7]Set Up'!$N$16+'[7]Set Up'!$O$15,IF(E9&lt;'[7]Set Up'!$J$17,(E9-'[7]Set Up'!$J$16)*'[7]Set Up'!$N$17+'[7]Set Up'!$O$15+'[7]Set Up'!$O$16,(E9-'[7]Set Up'!$J$17)*'[7]Set Up'!$N$18 + SUM('[7]Set Up'!$O$15:'[7]Set Up'!$O$17)))))</f>
        <v>584.40675510195706</v>
      </c>
      <c r="F14" s="28">
        <f>IF(F9="","",IF(F9&lt;'[7]Set Up'!$J$15,F9*'[7]Set Up'!$N$15,IF(F9&lt;'[7]Set Up'!$J$16,(F9-'[7]Set Up'!$J$15)*'[7]Set Up'!$N$16+'[7]Set Up'!$O$15,IF(F9&lt;'[7]Set Up'!$J$17,(F9-'[7]Set Up'!$J$16)*'[7]Set Up'!$N$17+'[7]Set Up'!$O$15+'[7]Set Up'!$O$16,(F9-'[7]Set Up'!$J$17)*'[7]Set Up'!$N$18 + SUM('[7]Set Up'!$O$15:'[7]Set Up'!$O$17)))))</f>
        <v>581.43539694585536</v>
      </c>
      <c r="G14" s="28">
        <f>IF(G9="","",IF(G9&lt;'[7]Set Up'!$J$15,G9*'[7]Set Up'!$N$15,IF(G9&lt;'[7]Set Up'!$J$16,(G9-'[7]Set Up'!$J$15)*'[7]Set Up'!$N$16+'[7]Set Up'!$O$15,IF(G9&lt;'[7]Set Up'!$J$17,(G9-'[7]Set Up'!$J$16)*'[7]Set Up'!$N$17+'[7]Set Up'!$O$15+'[7]Set Up'!$O$16,(G9-'[7]Set Up'!$J$17)*'[7]Set Up'!$N$18 + SUM('[7]Set Up'!$O$15:'[7]Set Up'!$O$17)))))</f>
        <v>578.46403878975366</v>
      </c>
      <c r="H14" s="28">
        <f>IF(H9="","",IF(H9&lt;'[7]Set Up'!$J$15,H9*'[7]Set Up'!$N$15,IF(H9&lt;'[7]Set Up'!$J$16,(H9-'[7]Set Up'!$J$15)*'[7]Set Up'!$N$16+'[7]Set Up'!$O$15,IF(H9&lt;'[7]Set Up'!$J$17,(H9-'[7]Set Up'!$J$16)*'[7]Set Up'!$N$17+'[7]Set Up'!$O$15+'[7]Set Up'!$O$16,(H9-'[7]Set Up'!$J$17)*'[7]Set Up'!$N$18 + SUM('[7]Set Up'!$O$15:'[7]Set Up'!$O$17)))))</f>
        <v>575.50761208167273</v>
      </c>
      <c r="I14" s="28">
        <f>IF(I9="","",IF(I9&lt;'[7]Set Up'!$J$15,I9*'[7]Set Up'!$N$15,IF(I9&lt;'[7]Set Up'!$J$16,(I9-'[7]Set Up'!$J$15)*'[7]Set Up'!$N$16+'[7]Set Up'!$O$15,IF(I9&lt;'[7]Set Up'!$J$17,(I9-'[7]Set Up'!$J$16)*'[7]Set Up'!$N$17+'[7]Set Up'!$O$15+'[7]Set Up'!$O$16,(I9-'[7]Set Up'!$J$17)*'[7]Set Up'!$N$18 + SUM('[7]Set Up'!$O$15:'[7]Set Up'!$O$17)))))</f>
        <v>572.53625392557103</v>
      </c>
      <c r="J14" s="28">
        <f>IF(J9="","",IF(J9&lt;'[7]Set Up'!$J$15,J9*'[7]Set Up'!$N$15,IF(J9&lt;'[7]Set Up'!$J$16,(J9-'[7]Set Up'!$J$15)*'[7]Set Up'!$N$16+'[7]Set Up'!$O$15,IF(J9&lt;'[7]Set Up'!$J$17,(J9-'[7]Set Up'!$J$16)*'[7]Set Up'!$N$17+'[7]Set Up'!$O$15+'[7]Set Up'!$O$16,(J9-'[7]Set Up'!$J$17)*'[7]Set Up'!$N$18 + SUM('[7]Set Up'!$O$15:'[7]Set Up'!$O$17)))))</f>
        <v>569.56489576946933</v>
      </c>
      <c r="K14" s="28">
        <f>IF(K9="","",IF(K9&lt;'[7]Set Up'!$J$15,K9*'[7]Set Up'!$N$15,IF(K9&lt;'[7]Set Up'!$J$16,(K9-'[7]Set Up'!$J$15)*'[7]Set Up'!$N$16+'[7]Set Up'!$O$15,IF(K9&lt;'[7]Set Up'!$J$17,(K9-'[7]Set Up'!$J$16)*'[7]Set Up'!$N$17+'[7]Set Up'!$O$15+'[7]Set Up'!$O$16,(K9-'[7]Set Up'!$J$17)*'[7]Set Up'!$N$18 + SUM('[7]Set Up'!$O$15:'[7]Set Up'!$O$17)))))</f>
        <v>566.59353761336763</v>
      </c>
      <c r="L14" s="28">
        <f>IF(L9="","",IF(L9&lt;'[7]Set Up'!$J$15,L9*'[7]Set Up'!$N$15,IF(L9&lt;'[7]Set Up'!$J$16,(L9-'[7]Set Up'!$J$15)*'[7]Set Up'!$N$16+'[7]Set Up'!$O$15,IF(L9&lt;'[7]Set Up'!$J$17,(L9-'[7]Set Up'!$J$16)*'[7]Set Up'!$N$17+'[7]Set Up'!$O$15+'[7]Set Up'!$O$16,(L9-'[7]Set Up'!$J$17)*'[7]Set Up'!$N$18 + SUM('[7]Set Up'!$O$15:'[7]Set Up'!$O$17)))))</f>
        <v>563.63711090528659</v>
      </c>
      <c r="M14" s="28">
        <f>IF(M9="","",IF(M9&lt;'[7]Set Up'!$J$15,M9*'[7]Set Up'!$N$15,IF(M9&lt;'[7]Set Up'!$J$16,(M9-'[7]Set Up'!$J$15)*'[7]Set Up'!$N$16+'[7]Set Up'!$O$15,IF(M9&lt;'[7]Set Up'!$J$17,(M9-'[7]Set Up'!$J$16)*'[7]Set Up'!$N$17+'[7]Set Up'!$O$15+'[7]Set Up'!$O$16,(M9-'[7]Set Up'!$J$17)*'[7]Set Up'!$N$18 + SUM('[7]Set Up'!$O$15:'[7]Set Up'!$O$17)))))</f>
        <v>560.665752749185</v>
      </c>
      <c r="N14" s="28">
        <f>IF(N9="","",IF(N9&lt;'[7]Set Up'!$J$15,N9*'[7]Set Up'!$N$15,IF(N9&lt;'[7]Set Up'!$J$16,(N9-'[7]Set Up'!$J$15)*'[7]Set Up'!$N$16+'[7]Set Up'!$O$15,IF(N9&lt;'[7]Set Up'!$J$17,(N9-'[7]Set Up'!$J$16)*'[7]Set Up'!$N$17+'[7]Set Up'!$O$15+'[7]Set Up'!$O$16,(N9-'[7]Set Up'!$J$17)*'[7]Set Up'!$N$18 + SUM('[7]Set Up'!$O$15:'[7]Set Up'!$O$17)))))</f>
        <v>557.6943945930833</v>
      </c>
      <c r="O14" s="28">
        <f>IF(O9="","",IF(O9&lt;'[7]Set Up'!$J$15,O9*'[7]Set Up'!$N$15,IF(O9&lt;'[7]Set Up'!$J$16,(O9-'[7]Set Up'!$J$15)*'[7]Set Up'!$N$16+'[7]Set Up'!$O$15,IF(O9&lt;'[7]Set Up'!$J$17,(O9-'[7]Set Up'!$J$16)*'[7]Set Up'!$N$17+'[7]Set Up'!$O$15+'[7]Set Up'!$O$16,(O9-'[7]Set Up'!$J$17)*'[7]Set Up'!$N$18 + SUM('[7]Set Up'!$O$15:'[7]Set Up'!$O$17)))))</f>
        <v>554.7230364369816</v>
      </c>
      <c r="P14" s="28">
        <f>IF(P9="","",IF(P9&lt;'[7]Set Up'!$J$15,P9*'[7]Set Up'!$N$15,IF(P9&lt;'[7]Set Up'!$J$16,(P9-'[7]Set Up'!$J$15)*'[7]Set Up'!$N$16+'[7]Set Up'!$O$15,IF(P9&lt;'[7]Set Up'!$J$17,(P9-'[7]Set Up'!$J$16)*'[7]Set Up'!$N$17+'[7]Set Up'!$O$15+'[7]Set Up'!$O$16,(P9-'[7]Set Up'!$J$17)*'[7]Set Up'!$N$18 + SUM('[7]Set Up'!$O$15:'[7]Set Up'!$O$17)))))</f>
        <v>551.7516782808799</v>
      </c>
      <c r="Q14" s="28">
        <f>IF(Q9="","",IF(Q9&lt;'[7]Set Up'!$J$15,Q9*'[7]Set Up'!$N$15,IF(Q9&lt;'[7]Set Up'!$J$16,(Q9-'[7]Set Up'!$J$15)*'[7]Set Up'!$N$16+'[7]Set Up'!$O$15,IF(Q9&lt;'[7]Set Up'!$J$17,(Q9-'[7]Set Up'!$J$16)*'[7]Set Up'!$N$17+'[7]Set Up'!$O$15+'[7]Set Up'!$O$16,(Q9-'[7]Set Up'!$J$17)*'[7]Set Up'!$N$18 + SUM('[7]Set Up'!$O$15:'[7]Set Up'!$O$17)))))</f>
        <v>548.79525157279886</v>
      </c>
      <c r="R14" s="28">
        <f>IF(R9="","",IF(R9&lt;'[7]Set Up'!$J$15,R9*'[7]Set Up'!$N$15,IF(R9&lt;'[7]Set Up'!$J$16,(R9-'[7]Set Up'!$J$15)*'[7]Set Up'!$N$16+'[7]Set Up'!$O$15,IF(R9&lt;'[7]Set Up'!$J$17,(R9-'[7]Set Up'!$J$16)*'[7]Set Up'!$N$17+'[7]Set Up'!$O$15+'[7]Set Up'!$O$16,(R9-'[7]Set Up'!$J$17)*'[7]Set Up'!$N$18 + SUM('[7]Set Up'!$O$15:'[7]Set Up'!$O$17)))))</f>
        <v>545.82389341669727</v>
      </c>
      <c r="S14" s="28">
        <f>IF(S9="","",IF(S9&lt;'[7]Set Up'!$J$15,S9*'[7]Set Up'!$N$15,IF(S9&lt;'[7]Set Up'!$J$16,(S9-'[7]Set Up'!$J$15)*'[7]Set Up'!$N$16+'[7]Set Up'!$O$15,IF(S9&lt;'[7]Set Up'!$J$17,(S9-'[7]Set Up'!$J$16)*'[7]Set Up'!$N$17+'[7]Set Up'!$O$15+'[7]Set Up'!$O$16,(S9-'[7]Set Up'!$J$17)*'[7]Set Up'!$N$18 + SUM('[7]Set Up'!$O$15:'[7]Set Up'!$O$17)))))</f>
        <v>542.85253526059557</v>
      </c>
      <c r="T14" s="28">
        <f>IF(T9="","",IF(T9&lt;'[7]Set Up'!$J$15,T9*'[7]Set Up'!$N$15,IF(T9&lt;'[7]Set Up'!$J$16,(T9-'[7]Set Up'!$J$15)*'[7]Set Up'!$N$16+'[7]Set Up'!$O$15,IF(T9&lt;'[7]Set Up'!$J$17,(T9-'[7]Set Up'!$J$16)*'[7]Set Up'!$N$17+'[7]Set Up'!$O$15+'[7]Set Up'!$O$16,(T9-'[7]Set Up'!$J$17)*'[7]Set Up'!$N$18 + SUM('[7]Set Up'!$O$15:'[7]Set Up'!$O$17)))))</f>
        <v>539.88117710449387</v>
      </c>
      <c r="U14" s="28">
        <f>IF(U9="","",IF(U9&lt;'[7]Set Up'!$J$15,U9*'[7]Set Up'!$N$15,IF(U9&lt;'[7]Set Up'!$J$16,(U9-'[7]Set Up'!$J$15)*'[7]Set Up'!$N$16+'[7]Set Up'!$O$15,IF(U9&lt;'[7]Set Up'!$J$17,(U9-'[7]Set Up'!$J$16)*'[7]Set Up'!$N$17+'[7]Set Up'!$O$15+'[7]Set Up'!$O$16,(U9-'[7]Set Up'!$J$17)*'[7]Set Up'!$N$18 + SUM('[7]Set Up'!$O$15:'[7]Set Up'!$O$17)))))</f>
        <v>536.90981894839217</v>
      </c>
      <c r="V14" s="28">
        <f>IF(V9="","",IF(V9&lt;'[7]Set Up'!$J$15,V9*'[7]Set Up'!$N$15,IF(V9&lt;'[7]Set Up'!$J$16,(V9-'[7]Set Up'!$J$15)*'[7]Set Up'!$N$16+'[7]Set Up'!$O$15,IF(V9&lt;'[7]Set Up'!$J$17,(V9-'[7]Set Up'!$J$16)*'[7]Set Up'!$N$17+'[7]Set Up'!$O$15+'[7]Set Up'!$O$16,(V9-'[7]Set Up'!$J$17)*'[7]Set Up'!$N$18 + SUM('[7]Set Up'!$O$15:'[7]Set Up'!$O$17)))))</f>
        <v>533.95339224031113</v>
      </c>
      <c r="W14" s="28">
        <f>IF(W9="","",IF(W9&lt;'[7]Set Up'!$J$15,W9*'[7]Set Up'!$N$15,IF(W9&lt;'[7]Set Up'!$J$16,(W9-'[7]Set Up'!$J$15)*'[7]Set Up'!$N$16+'[7]Set Up'!$O$15,IF(W9&lt;'[7]Set Up'!$J$17,(W9-'[7]Set Up'!$J$16)*'[7]Set Up'!$N$17+'[7]Set Up'!$O$15+'[7]Set Up'!$O$16,(W9-'[7]Set Up'!$J$17)*'[7]Set Up'!$N$18 + SUM('[7]Set Up'!$O$15:'[7]Set Up'!$O$17)))))</f>
        <v>530.98203408420954</v>
      </c>
      <c r="X14" s="28">
        <f>IF(X9="","",IF(X9&lt;'[7]Set Up'!$J$15,X9*'[7]Set Up'!$N$15,IF(X9&lt;'[7]Set Up'!$J$16,(X9-'[7]Set Up'!$J$15)*'[7]Set Up'!$N$16+'[7]Set Up'!$O$15,IF(X9&lt;'[7]Set Up'!$J$17,(X9-'[7]Set Up'!$J$16)*'[7]Set Up'!$N$17+'[7]Set Up'!$O$15+'[7]Set Up'!$O$16,(X9-'[7]Set Up'!$J$17)*'[7]Set Up'!$N$18 + SUM('[7]Set Up'!$O$15:'[7]Set Up'!$O$17)))))</f>
        <v>528.01067592810784</v>
      </c>
      <c r="Y14" s="28">
        <f>IF(Y9="","",IF(Y9&lt;'[7]Set Up'!$J$15,Y9*'[7]Set Up'!$N$15,IF(Y9&lt;'[7]Set Up'!$J$16,(Y9-'[7]Set Up'!$J$15)*'[7]Set Up'!$N$16+'[7]Set Up'!$O$15,IF(Y9&lt;'[7]Set Up'!$J$17,(Y9-'[7]Set Up'!$J$16)*'[7]Set Up'!$N$17+'[7]Set Up'!$O$15+'[7]Set Up'!$O$16,(Y9-'[7]Set Up'!$J$17)*'[7]Set Up'!$N$18 + SUM('[7]Set Up'!$O$15:'[7]Set Up'!$O$17)))))</f>
        <v>525.03931777200614</v>
      </c>
      <c r="Z14" s="28">
        <f>IF(Z9="","",IF(Z9&lt;'[7]Set Up'!$J$15,Z9*'[7]Set Up'!$N$15,IF(Z9&lt;'[7]Set Up'!$J$16,(Z9-'[7]Set Up'!$J$15)*'[7]Set Up'!$N$16+'[7]Set Up'!$O$15,IF(Z9&lt;'[7]Set Up'!$J$17,(Z9-'[7]Set Up'!$J$16)*'[7]Set Up'!$N$17+'[7]Set Up'!$O$15+'[7]Set Up'!$O$16,(Z9-'[7]Set Up'!$J$17)*'[7]Set Up'!$N$18 + SUM('[7]Set Up'!$O$15:'[7]Set Up'!$O$17)))))</f>
        <v>522.0828910639251</v>
      </c>
      <c r="AA14" s="28">
        <f>IF(AA9="","",IF(AA9&lt;'[7]Set Up'!$J$15,AA9*'[7]Set Up'!$N$15,IF(AA9&lt;'[7]Set Up'!$J$16,(AA9-'[7]Set Up'!$J$15)*'[7]Set Up'!$N$16+'[7]Set Up'!$O$15,IF(AA9&lt;'[7]Set Up'!$J$17,(AA9-'[7]Set Up'!$J$16)*'[7]Set Up'!$N$17+'[7]Set Up'!$O$15+'[7]Set Up'!$O$16,(AA9-'[7]Set Up'!$J$17)*'[7]Set Up'!$N$18 + SUM('[7]Set Up'!$O$15:'[7]Set Up'!$O$17)))))</f>
        <v>519.1115329078234</v>
      </c>
      <c r="AB14" s="28">
        <f>IF(AB9="","",IF(AB9&lt;'[7]Set Up'!$J$15,AB9*'[7]Set Up'!$N$15,IF(AB9&lt;'[7]Set Up'!$J$16,(AB9-'[7]Set Up'!$J$15)*'[7]Set Up'!$N$16+'[7]Set Up'!$O$15,IF(AB9&lt;'[7]Set Up'!$J$17,(AB9-'[7]Set Up'!$J$16)*'[7]Set Up'!$N$17+'[7]Set Up'!$O$15+'[7]Set Up'!$O$16,(AB9-'[7]Set Up'!$J$17)*'[7]Set Up'!$N$18 + SUM('[7]Set Up'!$O$15:'[7]Set Up'!$O$17)))))</f>
        <v>516.14017475172182</v>
      </c>
      <c r="AC14" s="28">
        <f>IF(AC9="","",IF(AC9&lt;'[7]Set Up'!$J$15,AC9*'[7]Set Up'!$N$15,IF(AC9&lt;'[7]Set Up'!$J$16,(AC9-'[7]Set Up'!$J$15)*'[7]Set Up'!$N$16+'[7]Set Up'!$O$15,IF(AC9&lt;'[7]Set Up'!$J$17,(AC9-'[7]Set Up'!$J$16)*'[7]Set Up'!$N$17+'[7]Set Up'!$O$15+'[7]Set Up'!$O$16,(AC9-'[7]Set Up'!$J$17)*'[7]Set Up'!$N$18 + SUM('[7]Set Up'!$O$15:'[7]Set Up'!$O$17)))))</f>
        <v>513.16881659562011</v>
      </c>
      <c r="AD14" s="28">
        <f>IF(AD9="","",IF(AD9&lt;'[7]Set Up'!$J$15,AD9*'[7]Set Up'!$N$15,IF(AD9&lt;'[7]Set Up'!$J$16,(AD9-'[7]Set Up'!$J$15)*'[7]Set Up'!$N$16+'[7]Set Up'!$O$15,IF(AD9&lt;'[7]Set Up'!$J$17,(AD9-'[7]Set Up'!$J$16)*'[7]Set Up'!$N$17+'[7]Set Up'!$O$15+'[7]Set Up'!$O$16,(AD9-'[7]Set Up'!$J$17)*'[7]Set Up'!$N$18 + SUM('[7]Set Up'!$O$15:'[7]Set Up'!$O$17)))))</f>
        <v>510.19745843951841</v>
      </c>
      <c r="AE14" s="28">
        <f>IF(AE9="","",IF(AE9&lt;'[7]Set Up'!$J$15,AE9*'[7]Set Up'!$N$15,IF(AE9&lt;'[7]Set Up'!$J$16,(AE9-'[7]Set Up'!$J$15)*'[7]Set Up'!$N$16+'[7]Set Up'!$O$15,IF(AE9&lt;'[7]Set Up'!$J$17,(AE9-'[7]Set Up'!$J$16)*'[7]Set Up'!$N$17+'[7]Set Up'!$O$15+'[7]Set Up'!$O$16,(AE9-'[7]Set Up'!$J$17)*'[7]Set Up'!$N$18 + SUM('[7]Set Up'!$O$15:'[7]Set Up'!$O$17)))))</f>
        <v>507.24103173143737</v>
      </c>
      <c r="AF14" s="28">
        <f>IF(AF9="","",IF(AF9&lt;'[7]Set Up'!$J$15,AF9*'[7]Set Up'!$N$15,IF(AF9&lt;'[7]Set Up'!$J$16,(AF9-'[7]Set Up'!$J$15)*'[7]Set Up'!$N$16+'[7]Set Up'!$O$15,IF(AF9&lt;'[7]Set Up'!$J$17,(AF9-'[7]Set Up'!$J$16)*'[7]Set Up'!$N$17+'[7]Set Up'!$O$15+'[7]Set Up'!$O$16,(AF9-'[7]Set Up'!$J$17)*'[7]Set Up'!$N$18 + SUM('[7]Set Up'!$O$15:'[7]Set Up'!$O$17)))))</f>
        <v>504.26967357533567</v>
      </c>
      <c r="AG14" s="28">
        <f>IF(AG9="","",IF(AG9&lt;'[7]Set Up'!$J$15,AG9*'[7]Set Up'!$N$15,IF(AG9&lt;'[7]Set Up'!$J$16,(AG9-'[7]Set Up'!$J$15)*'[7]Set Up'!$N$16+'[7]Set Up'!$O$15,IF(AG9&lt;'[7]Set Up'!$J$17,(AG9-'[7]Set Up'!$J$16)*'[7]Set Up'!$N$17+'[7]Set Up'!$O$15+'[7]Set Up'!$O$16,(AG9-'[7]Set Up'!$J$17)*'[7]Set Up'!$N$18 + SUM('[7]Set Up'!$O$15:'[7]Set Up'!$O$17)))))</f>
        <v>501.29831541923403</v>
      </c>
      <c r="AH14" s="28">
        <f>IF(AH9="","",IF(AH9&lt;'[7]Set Up'!$J$15,AH9*'[7]Set Up'!$N$15,IF(AH9&lt;'[7]Set Up'!$J$16,(AH9-'[7]Set Up'!$J$15)*'[7]Set Up'!$N$16+'[7]Set Up'!$O$15,IF(AH9&lt;'[7]Set Up'!$J$17,(AH9-'[7]Set Up'!$J$16)*'[7]Set Up'!$N$17+'[7]Set Up'!$O$15+'[7]Set Up'!$O$16,(AH9-'[7]Set Up'!$J$17)*'[7]Set Up'!$N$18 + SUM('[7]Set Up'!$O$15:'[7]Set Up'!$O$17)))))</f>
        <v>498.32695726313239</v>
      </c>
      <c r="AI14" s="28">
        <f>IF(AI9="","",IF(AI9&lt;'[7]Set Up'!$J$15,AI9*'[7]Set Up'!$N$15,IF(AI9&lt;'[7]Set Up'!$J$16,(AI9-'[7]Set Up'!$J$15)*'[7]Set Up'!$N$16+'[7]Set Up'!$O$15,IF(AI9&lt;'[7]Set Up'!$J$17,(AI9-'[7]Set Up'!$J$16)*'[7]Set Up'!$N$17+'[7]Set Up'!$O$15+'[7]Set Up'!$O$16,(AI9-'[7]Set Up'!$J$17)*'[7]Set Up'!$N$18 + SUM('[7]Set Up'!$O$15:'[7]Set Up'!$O$17)))))</f>
        <v>495.35559910703068</v>
      </c>
      <c r="AJ14" s="28">
        <f>IF(AJ9="","",IF(AJ9&lt;'[7]Set Up'!$J$15,AJ9*'[7]Set Up'!$N$15,IF(AJ9&lt;'[7]Set Up'!$J$16,(AJ9-'[7]Set Up'!$J$15)*'[7]Set Up'!$N$16+'[7]Set Up'!$O$15,IF(AJ9&lt;'[7]Set Up'!$J$17,(AJ9-'[7]Set Up'!$J$16)*'[7]Set Up'!$N$17+'[7]Set Up'!$O$15+'[7]Set Up'!$O$16,(AJ9-'[7]Set Up'!$J$17)*'[7]Set Up'!$N$18 + SUM('[7]Set Up'!$O$15:'[7]Set Up'!$O$17)))))</f>
        <v>492.39917239894964</v>
      </c>
      <c r="AK14" s="28">
        <f>IF(AK9="","",IF(AK9&lt;'[7]Set Up'!$J$15,AK9*'[7]Set Up'!$N$15,IF(AK9&lt;'[7]Set Up'!$J$16,(AK9-'[7]Set Up'!$J$15)*'[7]Set Up'!$N$16+'[7]Set Up'!$O$15,IF(AK9&lt;'[7]Set Up'!$J$17,(AK9-'[7]Set Up'!$J$16)*'[7]Set Up'!$N$17+'[7]Set Up'!$O$15+'[7]Set Up'!$O$16,(AK9-'[7]Set Up'!$J$17)*'[7]Set Up'!$N$18 + SUM('[7]Set Up'!$O$15:'[7]Set Up'!$O$17)))))</f>
        <v>489.42781424284794</v>
      </c>
      <c r="AL14" s="28">
        <f>IF(AL9="","",IF(AL9&lt;'[7]Set Up'!$J$15,AL9*'[7]Set Up'!$N$15,IF(AL9&lt;'[7]Set Up'!$J$16,(AL9-'[7]Set Up'!$J$15)*'[7]Set Up'!$N$16+'[7]Set Up'!$O$15,IF(AL9&lt;'[7]Set Up'!$J$17,(AL9-'[7]Set Up'!$J$16)*'[7]Set Up'!$N$17+'[7]Set Up'!$O$15+'[7]Set Up'!$O$16,(AL9-'[7]Set Up'!$J$17)*'[7]Set Up'!$N$18 + SUM('[7]Set Up'!$O$15:'[7]Set Up'!$O$17)))))</f>
        <v>486.4564560867463</v>
      </c>
      <c r="AM14" s="28">
        <f>IF(AM9="","",IF(AM9&lt;'[7]Set Up'!$J$15,AM9*'[7]Set Up'!$N$15,IF(AM9&lt;'[7]Set Up'!$J$16,(AM9-'[7]Set Up'!$J$15)*'[7]Set Up'!$N$16+'[7]Set Up'!$O$15,IF(AM9&lt;'[7]Set Up'!$J$17,(AM9-'[7]Set Up'!$J$16)*'[7]Set Up'!$N$17+'[7]Set Up'!$O$15+'[7]Set Up'!$O$16,(AM9-'[7]Set Up'!$J$17)*'[7]Set Up'!$N$18 + SUM('[7]Set Up'!$O$15:'[7]Set Up'!$O$17)))))</f>
        <v>483.48509793064466</v>
      </c>
      <c r="AN14" s="28">
        <f>IF(AN9="","",IF(AN9&lt;'[7]Set Up'!$J$15,AN9*'[7]Set Up'!$N$15,IF(AN9&lt;'[7]Set Up'!$J$16,(AN9-'[7]Set Up'!$J$15)*'[7]Set Up'!$N$16+'[7]Set Up'!$O$15,IF(AN9&lt;'[7]Set Up'!$J$17,(AN9-'[7]Set Up'!$J$16)*'[7]Set Up'!$N$17+'[7]Set Up'!$O$15+'[7]Set Up'!$O$16,(AN9-'[7]Set Up'!$J$17)*'[7]Set Up'!$N$18 + SUM('[7]Set Up'!$O$15:'[7]Set Up'!$O$17)))))</f>
        <v>480.52867122256362</v>
      </c>
      <c r="AO14" s="28">
        <f>IF(AO9="","",IF(AO9&lt;'[7]Set Up'!$J$15,AO9*'[7]Set Up'!$N$15,IF(AO9&lt;'[7]Set Up'!$J$16,(AO9-'[7]Set Up'!$J$15)*'[7]Set Up'!$N$16+'[7]Set Up'!$O$15,IF(AO9&lt;'[7]Set Up'!$J$17,(AO9-'[7]Set Up'!$J$16)*'[7]Set Up'!$N$17+'[7]Set Up'!$O$15+'[7]Set Up'!$O$16,(AO9-'[7]Set Up'!$J$17)*'[7]Set Up'!$N$18 + SUM('[7]Set Up'!$O$15:'[7]Set Up'!$O$17)))))</f>
        <v>477.55731306646192</v>
      </c>
      <c r="AP14" s="28">
        <f>IF(AP9="","",IF(AP9&lt;'[7]Set Up'!$J$15,AP9*'[7]Set Up'!$N$15,IF(AP9&lt;'[7]Set Up'!$J$16,(AP9-'[7]Set Up'!$J$15)*'[7]Set Up'!$N$16+'[7]Set Up'!$O$15,IF(AP9&lt;'[7]Set Up'!$J$17,(AP9-'[7]Set Up'!$J$16)*'[7]Set Up'!$N$17+'[7]Set Up'!$O$15+'[7]Set Up'!$O$16,(AP9-'[7]Set Up'!$J$17)*'[7]Set Up'!$N$18 + SUM('[7]Set Up'!$O$15:'[7]Set Up'!$O$17)))))</f>
        <v>474.58595491036021</v>
      </c>
      <c r="AQ14" s="28">
        <f>IF(AQ9="","",IF(AQ9&lt;'[7]Set Up'!$J$15,AQ9*'[7]Set Up'!$N$15,IF(AQ9&lt;'[7]Set Up'!$J$16,(AQ9-'[7]Set Up'!$J$15)*'[7]Set Up'!$N$16+'[7]Set Up'!$O$15,IF(AQ9&lt;'[7]Set Up'!$J$17,(AQ9-'[7]Set Up'!$J$16)*'[7]Set Up'!$N$17+'[7]Set Up'!$O$15+'[7]Set Up'!$O$16,(AQ9-'[7]Set Up'!$J$17)*'[7]Set Up'!$N$18 + SUM('[7]Set Up'!$O$15:'[7]Set Up'!$O$17)))))</f>
        <v>471.61459675425857</v>
      </c>
      <c r="AR14" s="28">
        <f>IF(AR9="","",IF(AR9&lt;'[7]Set Up'!$J$15,AR9*'[7]Set Up'!$N$15,IF(AR9&lt;'[7]Set Up'!$J$16,(AR9-'[7]Set Up'!$J$15)*'[7]Set Up'!$N$16+'[7]Set Up'!$O$15,IF(AR9&lt;'[7]Set Up'!$J$17,(AR9-'[7]Set Up'!$J$16)*'[7]Set Up'!$N$17+'[7]Set Up'!$O$15+'[7]Set Up'!$O$16,(AR9-'[7]Set Up'!$J$17)*'[7]Set Up'!$N$18 + SUM('[7]Set Up'!$O$15:'[7]Set Up'!$O$17)))))</f>
        <v>468.64323859815693</v>
      </c>
      <c r="AS14" s="28">
        <f>IF(AS9="","",IF(AS9&lt;'[7]Set Up'!$J$15,AS9*'[7]Set Up'!$N$15,IF(AS9&lt;'[7]Set Up'!$J$16,(AS9-'[7]Set Up'!$J$15)*'[7]Set Up'!$N$16+'[7]Set Up'!$O$15,IF(AS9&lt;'[7]Set Up'!$J$17,(AS9-'[7]Set Up'!$J$16)*'[7]Set Up'!$N$17+'[7]Set Up'!$O$15+'[7]Set Up'!$O$16,(AS9-'[7]Set Up'!$J$17)*'[7]Set Up'!$N$18 + SUM('[7]Set Up'!$O$15:'[7]Set Up'!$O$17)))))</f>
        <v>465.68681189007583</v>
      </c>
      <c r="AT14" s="28">
        <f>IF(AT9="","",IF(AT9&lt;'[7]Set Up'!$J$15,AT9*'[7]Set Up'!$N$15,IF(AT9&lt;'[7]Set Up'!$J$16,(AT9-'[7]Set Up'!$J$15)*'[7]Set Up'!$N$16+'[7]Set Up'!$O$15,IF(AT9&lt;'[7]Set Up'!$J$17,(AT9-'[7]Set Up'!$J$16)*'[7]Set Up'!$N$17+'[7]Set Up'!$O$15+'[7]Set Up'!$O$16,(AT9-'[7]Set Up'!$J$17)*'[7]Set Up'!$N$18 + SUM('[7]Set Up'!$O$15:'[7]Set Up'!$O$17)))))</f>
        <v>462.71545373397419</v>
      </c>
      <c r="AU14" s="28">
        <f>IF(AU9="","",IF(AU9&lt;'[7]Set Up'!$J$15,AU9*'[7]Set Up'!$N$15,IF(AU9&lt;'[7]Set Up'!$J$16,(AU9-'[7]Set Up'!$J$15)*'[7]Set Up'!$N$16+'[7]Set Up'!$O$15,IF(AU9&lt;'[7]Set Up'!$J$17,(AU9-'[7]Set Up'!$J$16)*'[7]Set Up'!$N$17+'[7]Set Up'!$O$15+'[7]Set Up'!$O$16,(AU9-'[7]Set Up'!$J$17)*'[7]Set Up'!$N$18 + SUM('[7]Set Up'!$O$15:'[7]Set Up'!$O$17)))))</f>
        <v>459.74409557787254</v>
      </c>
      <c r="AV14" s="28">
        <f>IF(AV9="","",IF(AV9&lt;'[7]Set Up'!$J$15,AV9*'[7]Set Up'!$N$15,IF(AV9&lt;'[7]Set Up'!$J$16,(AV9-'[7]Set Up'!$J$15)*'[7]Set Up'!$N$16+'[7]Set Up'!$O$15,IF(AV9&lt;'[7]Set Up'!$J$17,(AV9-'[7]Set Up'!$J$16)*'[7]Set Up'!$N$17+'[7]Set Up'!$O$15+'[7]Set Up'!$O$16,(AV9-'[7]Set Up'!$J$17)*'[7]Set Up'!$N$18 + SUM('[7]Set Up'!$O$15:'[7]Set Up'!$O$17)))))</f>
        <v>456.77273742177084</v>
      </c>
      <c r="AW14" s="28">
        <f>IF(AW9="","",IF(AW9&lt;'[7]Set Up'!$J$15,AW9*'[7]Set Up'!$N$15,IF(AW9&lt;'[7]Set Up'!$J$16,(AW9-'[7]Set Up'!$J$15)*'[7]Set Up'!$N$16+'[7]Set Up'!$O$15,IF(AW9&lt;'[7]Set Up'!$J$17,(AW9-'[7]Set Up'!$J$16)*'[7]Set Up'!$N$17+'[7]Set Up'!$O$15+'[7]Set Up'!$O$16,(AW9-'[7]Set Up'!$J$17)*'[7]Set Up'!$N$18 + SUM('[7]Set Up'!$O$15:'[7]Set Up'!$O$17)))))</f>
        <v>453.8013792656692</v>
      </c>
      <c r="AX14" s="28">
        <f>IF(AX9="","",IF(AX9&lt;'[7]Set Up'!$J$15,AX9*'[7]Set Up'!$N$15,IF(AX9&lt;'[7]Set Up'!$J$16,(AX9-'[7]Set Up'!$J$15)*'[7]Set Up'!$N$16+'[7]Set Up'!$O$15,IF(AX9&lt;'[7]Set Up'!$J$17,(AX9-'[7]Set Up'!$J$16)*'[7]Set Up'!$N$17+'[7]Set Up'!$O$15+'[7]Set Up'!$O$16,(AX9-'[7]Set Up'!$J$17)*'[7]Set Up'!$N$18 + SUM('[7]Set Up'!$O$15:'[7]Set Up'!$O$17)))))</f>
        <v>450.84495255758816</v>
      </c>
      <c r="AY14" s="28">
        <f>IF(AY9="","",IF(AY9&lt;'[7]Set Up'!$J$15,AY9*'[7]Set Up'!$N$15,IF(AY9&lt;'[7]Set Up'!$J$16,(AY9-'[7]Set Up'!$J$15)*'[7]Set Up'!$N$16+'[7]Set Up'!$O$15,IF(AY9&lt;'[7]Set Up'!$J$17,(AY9-'[7]Set Up'!$J$16)*'[7]Set Up'!$N$17+'[7]Set Up'!$O$15+'[7]Set Up'!$O$16,(AY9-'[7]Set Up'!$J$17)*'[7]Set Up'!$N$18 + SUM('[7]Set Up'!$O$15:'[7]Set Up'!$O$17)))))</f>
        <v>447.87359440148646</v>
      </c>
      <c r="AZ14" s="28">
        <f>IF(AZ9="","",IF(AZ9&lt;'[7]Set Up'!$J$15,AZ9*'[7]Set Up'!$N$15,IF(AZ9&lt;'[7]Set Up'!$J$16,(AZ9-'[7]Set Up'!$J$15)*'[7]Set Up'!$N$16+'[7]Set Up'!$O$15,IF(AZ9&lt;'[7]Set Up'!$J$17,(AZ9-'[7]Set Up'!$J$16)*'[7]Set Up'!$N$17+'[7]Set Up'!$O$15+'[7]Set Up'!$O$16,(AZ9-'[7]Set Up'!$J$17)*'[7]Set Up'!$N$18 + SUM('[7]Set Up'!$O$15:'[7]Set Up'!$O$17)))))</f>
        <v>444.90223624538481</v>
      </c>
      <c r="BA14" s="28">
        <f>IF(BA9="","",IF(BA9&lt;'[7]Set Up'!$J$15,BA9*'[7]Set Up'!$N$15,IF(BA9&lt;'[7]Set Up'!$J$16,(BA9-'[7]Set Up'!$J$15)*'[7]Set Up'!$N$16+'[7]Set Up'!$O$15,IF(BA9&lt;'[7]Set Up'!$J$17,(BA9-'[7]Set Up'!$J$16)*'[7]Set Up'!$N$17+'[7]Set Up'!$O$15+'[7]Set Up'!$O$16,(BA9-'[7]Set Up'!$J$17)*'[7]Set Up'!$N$18 + SUM('[7]Set Up'!$O$15:'[7]Set Up'!$O$17)))))</f>
        <v>441.93087808928311</v>
      </c>
      <c r="BB14" s="28">
        <f>IF(BB9="","",IF(BB9&lt;'[7]Set Up'!$J$15,BB9*'[7]Set Up'!$N$15,IF(BB9&lt;'[7]Set Up'!$J$16,(BB9-'[7]Set Up'!$J$15)*'[7]Set Up'!$N$16+'[7]Set Up'!$O$15,IF(BB9&lt;'[7]Set Up'!$J$17,(BB9-'[7]Set Up'!$J$16)*'[7]Set Up'!$N$17+'[7]Set Up'!$O$15+'[7]Set Up'!$O$16,(BB9-'[7]Set Up'!$J$17)*'[7]Set Up'!$N$18 + SUM('[7]Set Up'!$O$15:'[7]Set Up'!$O$17)))))</f>
        <v>438.97445138120207</v>
      </c>
      <c r="BC14" s="28">
        <f>IF(BC9="","",IF(BC9&lt;'[7]Set Up'!$J$15,BC9*'[7]Set Up'!$N$15,IF(BC9&lt;'[7]Set Up'!$J$16,(BC9-'[7]Set Up'!$J$15)*'[7]Set Up'!$N$16+'[7]Set Up'!$O$15,IF(BC9&lt;'[7]Set Up'!$J$17,(BC9-'[7]Set Up'!$J$16)*'[7]Set Up'!$N$17+'[7]Set Up'!$O$15+'[7]Set Up'!$O$16,(BC9-'[7]Set Up'!$J$17)*'[7]Set Up'!$N$18 + SUM('[7]Set Up'!$O$15:'[7]Set Up'!$O$17)))))</f>
        <v>436.00309322510043</v>
      </c>
      <c r="BD14" s="28">
        <f>IF(BD9="","",IF(BD9&lt;'[7]Set Up'!$J$15,BD9*'[7]Set Up'!$N$15,IF(BD9&lt;'[7]Set Up'!$J$16,(BD9-'[7]Set Up'!$J$15)*'[7]Set Up'!$N$16+'[7]Set Up'!$O$15,IF(BD9&lt;'[7]Set Up'!$J$17,(BD9-'[7]Set Up'!$J$16)*'[7]Set Up'!$N$17+'[7]Set Up'!$O$15+'[7]Set Up'!$O$16,(BD9-'[7]Set Up'!$J$17)*'[7]Set Up'!$N$18 + SUM('[7]Set Up'!$O$15:'[7]Set Up'!$O$17)))))</f>
        <v>0</v>
      </c>
      <c r="BE14" s="28">
        <f>IF(BE9="","",IF(BE9&lt;'[7]Set Up'!$J$15,BE9*'[7]Set Up'!$N$15,IF(BE9&lt;'[7]Set Up'!$J$16,(BE9-'[7]Set Up'!$J$15)*'[7]Set Up'!$N$16+'[7]Set Up'!$O$15,IF(BE9&lt;'[7]Set Up'!$J$17,(BE9-'[7]Set Up'!$J$16)*'[7]Set Up'!$N$17+'[7]Set Up'!$O$15+'[7]Set Up'!$O$16,(BE9-'[7]Set Up'!$J$17)*'[7]Set Up'!$N$18 + SUM('[7]Set Up'!$O$15:'[7]Set Up'!$O$17)))))</f>
        <v>0</v>
      </c>
      <c r="BF14" s="28">
        <f>IF(BF9="","",IF(BF9&lt;'[7]Set Up'!$J$15,BF9*'[7]Set Up'!$N$15,IF(BF9&lt;'[7]Set Up'!$J$16,(BF9-'[7]Set Up'!$J$15)*'[7]Set Up'!$N$16+'[7]Set Up'!$O$15,IF(BF9&lt;'[7]Set Up'!$J$17,(BF9-'[7]Set Up'!$J$16)*'[7]Set Up'!$N$17+'[7]Set Up'!$O$15+'[7]Set Up'!$O$16,(BF9-'[7]Set Up'!$J$17)*'[7]Set Up'!$N$18 + SUM('[7]Set Up'!$O$15:'[7]Set Up'!$O$17)))))</f>
        <v>0</v>
      </c>
      <c r="BG14" s="28">
        <f>IF(BG9="","",IF(BG9&lt;'[7]Set Up'!$J$15,BG9*'[7]Set Up'!$N$15,IF(BG9&lt;'[7]Set Up'!$J$16,(BG9-'[7]Set Up'!$J$15)*'[7]Set Up'!$N$16+'[7]Set Up'!$O$15,IF(BG9&lt;'[7]Set Up'!$J$17,(BG9-'[7]Set Up'!$J$16)*'[7]Set Up'!$N$17+'[7]Set Up'!$O$15+'[7]Set Up'!$O$16,(BG9-'[7]Set Up'!$J$17)*'[7]Set Up'!$N$18 + SUM('[7]Set Up'!$O$15:'[7]Set Up'!$O$17)))))</f>
        <v>0</v>
      </c>
      <c r="BH14" s="28">
        <f>IF(BH9="","",IF(BH9&lt;'[7]Set Up'!$J$15,BH9*'[7]Set Up'!$N$15,IF(BH9&lt;'[7]Set Up'!$J$16,(BH9-'[7]Set Up'!$J$15)*'[7]Set Up'!$N$16+'[7]Set Up'!$O$15,IF(BH9&lt;'[7]Set Up'!$J$17,(BH9-'[7]Set Up'!$J$16)*'[7]Set Up'!$N$17+'[7]Set Up'!$O$15+'[7]Set Up'!$O$16,(BH9-'[7]Set Up'!$J$17)*'[7]Set Up'!$N$18 + SUM('[7]Set Up'!$O$15:'[7]Set Up'!$O$17)))))</f>
        <v>0</v>
      </c>
      <c r="BI14" s="28">
        <f>IF(BI9="","",IF(BI9&lt;'[7]Set Up'!$J$15,BI9*'[7]Set Up'!$N$15,IF(BI9&lt;'[7]Set Up'!$J$16,(BI9-'[7]Set Up'!$J$15)*'[7]Set Up'!$N$16+'[7]Set Up'!$O$15,IF(BI9&lt;'[7]Set Up'!$J$17,(BI9-'[7]Set Up'!$J$16)*'[7]Set Up'!$N$17+'[7]Set Up'!$O$15+'[7]Set Up'!$O$16,(BI9-'[7]Set Up'!$J$17)*'[7]Set Up'!$N$18 + SUM('[7]Set Up'!$O$15:'[7]Set Up'!$O$17)))))</f>
        <v>0</v>
      </c>
      <c r="BJ14" s="28">
        <f>IF(BJ9="","",IF(BJ9&lt;'[7]Set Up'!$J$15,BJ9*'[7]Set Up'!$N$15,IF(BJ9&lt;'[7]Set Up'!$J$16,(BJ9-'[7]Set Up'!$J$15)*'[7]Set Up'!$N$16+'[7]Set Up'!$O$15,IF(BJ9&lt;'[7]Set Up'!$J$17,(BJ9-'[7]Set Up'!$J$16)*'[7]Set Up'!$N$17+'[7]Set Up'!$O$15+'[7]Set Up'!$O$16,(BJ9-'[7]Set Up'!$J$17)*'[7]Set Up'!$N$18 + SUM('[7]Set Up'!$O$15:'[7]Set Up'!$O$17)))))</f>
        <v>0</v>
      </c>
      <c r="BK14" s="28">
        <f>IF(BK9="","",IF(BK9&lt;'[7]Set Up'!$J$15,BK9*'[7]Set Up'!$N$15,IF(BK9&lt;'[7]Set Up'!$J$16,(BK9-'[7]Set Up'!$J$15)*'[7]Set Up'!$N$16+'[7]Set Up'!$O$15,IF(BK9&lt;'[7]Set Up'!$J$17,(BK9-'[7]Set Up'!$J$16)*'[7]Set Up'!$N$17+'[7]Set Up'!$O$15+'[7]Set Up'!$O$16,(BK9-'[7]Set Up'!$J$17)*'[7]Set Up'!$N$18 + SUM('[7]Set Up'!$O$15:'[7]Set Up'!$O$17)))))</f>
        <v>0</v>
      </c>
      <c r="BL14" s="28">
        <f>IF(BL9="","",IF(BL9&lt;'[7]Set Up'!$J$15,BL9*'[7]Set Up'!$N$15,IF(BL9&lt;'[7]Set Up'!$J$16,(BL9-'[7]Set Up'!$J$15)*'[7]Set Up'!$N$16+'[7]Set Up'!$O$15,IF(BL9&lt;'[7]Set Up'!$J$17,(BL9-'[7]Set Up'!$J$16)*'[7]Set Up'!$N$17+'[7]Set Up'!$O$15+'[7]Set Up'!$O$16,(BL9-'[7]Set Up'!$J$17)*'[7]Set Up'!$N$18 + SUM('[7]Set Up'!$O$15:'[7]Set Up'!$O$17)))))</f>
        <v>0</v>
      </c>
      <c r="BM14" s="28">
        <f>IF(BM9="","",IF(BM9&lt;'[7]Set Up'!$J$15,BM9*'[7]Set Up'!$N$15,IF(BM9&lt;'[7]Set Up'!$J$16,(BM9-'[7]Set Up'!$J$15)*'[7]Set Up'!$N$16+'[7]Set Up'!$O$15,IF(BM9&lt;'[7]Set Up'!$J$17,(BM9-'[7]Set Up'!$J$16)*'[7]Set Up'!$N$17+'[7]Set Up'!$O$15+'[7]Set Up'!$O$16,(BM9-'[7]Set Up'!$J$17)*'[7]Set Up'!$N$18 + SUM('[7]Set Up'!$O$15:'[7]Set Up'!$O$17)))))</f>
        <v>0</v>
      </c>
      <c r="BN14" s="28">
        <f>IF(BN9="","",IF(BN9&lt;'[7]Set Up'!$J$15,BN9*'[7]Set Up'!$N$15,IF(BN9&lt;'[7]Set Up'!$J$16,(BN9-'[7]Set Up'!$J$15)*'[7]Set Up'!$N$16+'[7]Set Up'!$O$15,IF(BN9&lt;'[7]Set Up'!$J$17,(BN9-'[7]Set Up'!$J$16)*'[7]Set Up'!$N$17+'[7]Set Up'!$O$15+'[7]Set Up'!$O$16,(BN9-'[7]Set Up'!$J$17)*'[7]Set Up'!$N$18 + SUM('[7]Set Up'!$O$15:'[7]Set Up'!$O$17)))))</f>
        <v>0</v>
      </c>
      <c r="BO14" s="28">
        <f>IF(BO9="","",IF(BO9&lt;'[7]Set Up'!$J$15,BO9*'[7]Set Up'!$N$15,IF(BO9&lt;'[7]Set Up'!$J$16,(BO9-'[7]Set Up'!$J$15)*'[7]Set Up'!$N$16+'[7]Set Up'!$O$15,IF(BO9&lt;'[7]Set Up'!$J$17,(BO9-'[7]Set Up'!$J$16)*'[7]Set Up'!$N$17+'[7]Set Up'!$O$15+'[7]Set Up'!$O$16,(BO9-'[7]Set Up'!$J$17)*'[7]Set Up'!$N$18 + SUM('[7]Set Up'!$O$15:'[7]Set Up'!$O$17)))))</f>
        <v>0</v>
      </c>
      <c r="BP14" s="28">
        <f>IF(BP9="","",IF(BP9&lt;'[7]Set Up'!$J$15,BP9*'[7]Set Up'!$N$15,IF(BP9&lt;'[7]Set Up'!$J$16,(BP9-'[7]Set Up'!$J$15)*'[7]Set Up'!$N$16+'[7]Set Up'!$O$15,IF(BP9&lt;'[7]Set Up'!$J$17,(BP9-'[7]Set Up'!$J$16)*'[7]Set Up'!$N$17+'[7]Set Up'!$O$15+'[7]Set Up'!$O$16,(BP9-'[7]Set Up'!$J$17)*'[7]Set Up'!$N$18 + SUM('[7]Set Up'!$O$15:'[7]Set Up'!$O$17)))))</f>
        <v>0</v>
      </c>
      <c r="BQ14" s="28">
        <f>IF(BQ9="","",IF(BQ9&lt;'[7]Set Up'!$J$15,BQ9*'[7]Set Up'!$N$15,IF(BQ9&lt;'[7]Set Up'!$J$16,(BQ9-'[7]Set Up'!$J$15)*'[7]Set Up'!$N$16+'[7]Set Up'!$O$15,IF(BQ9&lt;'[7]Set Up'!$J$17,(BQ9-'[7]Set Up'!$J$16)*'[7]Set Up'!$N$17+'[7]Set Up'!$O$15+'[7]Set Up'!$O$16,(BQ9-'[7]Set Up'!$J$17)*'[7]Set Up'!$N$18 + SUM('[7]Set Up'!$O$15:'[7]Set Up'!$O$17)))))</f>
        <v>0</v>
      </c>
      <c r="BR14" s="28">
        <f>IF(BR9="","",IF(BR9&lt;'[7]Set Up'!$J$15,BR9*'[7]Set Up'!$N$15,IF(BR9&lt;'[7]Set Up'!$J$16,(BR9-'[7]Set Up'!$J$15)*'[7]Set Up'!$N$16+'[7]Set Up'!$O$15,IF(BR9&lt;'[7]Set Up'!$J$17,(BR9-'[7]Set Up'!$J$16)*'[7]Set Up'!$N$17+'[7]Set Up'!$O$15+'[7]Set Up'!$O$16,(BR9-'[7]Set Up'!$J$17)*'[7]Set Up'!$N$18 + SUM('[7]Set Up'!$O$15:'[7]Set Up'!$O$17)))))</f>
        <v>0</v>
      </c>
      <c r="BS14" s="28">
        <f>IF(BS9="","",IF(BS9&lt;'[7]Set Up'!$J$15,BS9*'[7]Set Up'!$N$15,IF(BS9&lt;'[7]Set Up'!$J$16,(BS9-'[7]Set Up'!$J$15)*'[7]Set Up'!$N$16+'[7]Set Up'!$O$15,IF(BS9&lt;'[7]Set Up'!$J$17,(BS9-'[7]Set Up'!$J$16)*'[7]Set Up'!$N$17+'[7]Set Up'!$O$15+'[7]Set Up'!$O$16,(BS9-'[7]Set Up'!$J$17)*'[7]Set Up'!$N$18 + SUM('[7]Set Up'!$O$15:'[7]Set Up'!$O$17)))))</f>
        <v>0</v>
      </c>
      <c r="BT14" s="28">
        <f>IF(BT9="","",IF(BT9&lt;'[7]Set Up'!$J$15,BT9*'[7]Set Up'!$N$15,IF(BT9&lt;'[7]Set Up'!$J$16,(BT9-'[7]Set Up'!$J$15)*'[7]Set Up'!$N$16+'[7]Set Up'!$O$15,IF(BT9&lt;'[7]Set Up'!$J$17,(BT9-'[7]Set Up'!$J$16)*'[7]Set Up'!$N$17+'[7]Set Up'!$O$15+'[7]Set Up'!$O$16,(BT9-'[7]Set Up'!$J$17)*'[7]Set Up'!$N$18 + SUM('[7]Set Up'!$O$15:'[7]Set Up'!$O$17)))))</f>
        <v>0</v>
      </c>
      <c r="BU14" s="28">
        <f>IF(BU9="","",IF(BU9&lt;'[7]Set Up'!$J$15,BU9*'[7]Set Up'!$N$15,IF(BU9&lt;'[7]Set Up'!$J$16,(BU9-'[7]Set Up'!$J$15)*'[7]Set Up'!$N$16+'[7]Set Up'!$O$15,IF(BU9&lt;'[7]Set Up'!$J$17,(BU9-'[7]Set Up'!$J$16)*'[7]Set Up'!$N$17+'[7]Set Up'!$O$15+'[7]Set Up'!$O$16,(BU9-'[7]Set Up'!$J$17)*'[7]Set Up'!$N$18 + SUM('[7]Set Up'!$O$15:'[7]Set Up'!$O$17)))))</f>
        <v>0</v>
      </c>
      <c r="BV14" s="28">
        <f>IF(BV9="","",IF(BV9&lt;'[7]Set Up'!$J$15,BV9*'[7]Set Up'!$N$15,IF(BV9&lt;'[7]Set Up'!$J$16,(BV9-'[7]Set Up'!$J$15)*'[7]Set Up'!$N$16+'[7]Set Up'!$O$15,IF(BV9&lt;'[7]Set Up'!$J$17,(BV9-'[7]Set Up'!$J$16)*'[7]Set Up'!$N$17+'[7]Set Up'!$O$15+'[7]Set Up'!$O$16,(BV9-'[7]Set Up'!$J$17)*'[7]Set Up'!$N$18 + SUM('[7]Set Up'!$O$15:'[7]Set Up'!$O$17)))))</f>
        <v>0</v>
      </c>
      <c r="BW14" s="28">
        <f>IF(BW9="","",IF(BW9&lt;'[7]Set Up'!$J$15,BW9*'[7]Set Up'!$N$15,IF(BW9&lt;'[7]Set Up'!$J$16,(BW9-'[7]Set Up'!$J$15)*'[7]Set Up'!$N$16+'[7]Set Up'!$O$15,IF(BW9&lt;'[7]Set Up'!$J$17,(BW9-'[7]Set Up'!$J$16)*'[7]Set Up'!$N$17+'[7]Set Up'!$O$15+'[7]Set Up'!$O$16,(BW9-'[7]Set Up'!$J$17)*'[7]Set Up'!$N$18 + SUM('[7]Set Up'!$O$15:'[7]Set Up'!$O$17)))))</f>
        <v>0</v>
      </c>
      <c r="BX14" s="28">
        <f>IF(BX9="","",IF(BX9&lt;'[7]Set Up'!$J$15,BX9*'[7]Set Up'!$N$15,IF(BX9&lt;'[7]Set Up'!$J$16,(BX9-'[7]Set Up'!$J$15)*'[7]Set Up'!$N$16+'[7]Set Up'!$O$15,IF(BX9&lt;'[7]Set Up'!$J$17,(BX9-'[7]Set Up'!$J$16)*'[7]Set Up'!$N$17+'[7]Set Up'!$O$15+'[7]Set Up'!$O$16,(BX9-'[7]Set Up'!$J$17)*'[7]Set Up'!$N$18 + SUM('[7]Set Up'!$O$15:'[7]Set Up'!$O$17)))))</f>
        <v>0</v>
      </c>
      <c r="BY14" s="28">
        <f>IF(BY9="","",IF(BY9&lt;'[7]Set Up'!$J$15,BY9*'[7]Set Up'!$N$15,IF(BY9&lt;'[7]Set Up'!$J$16,(BY9-'[7]Set Up'!$J$15)*'[7]Set Up'!$N$16+'[7]Set Up'!$O$15,IF(BY9&lt;'[7]Set Up'!$J$17,(BY9-'[7]Set Up'!$J$16)*'[7]Set Up'!$N$17+'[7]Set Up'!$O$15+'[7]Set Up'!$O$16,(BY9-'[7]Set Up'!$J$17)*'[7]Set Up'!$N$18 + SUM('[7]Set Up'!$O$15:'[7]Set Up'!$O$17)))))</f>
        <v>0</v>
      </c>
      <c r="BZ14" s="8"/>
    </row>
    <row r="15" spans="1:78" ht="15" thickBot="1" x14ac:dyDescent="0.4">
      <c r="A15" s="29" t="s">
        <v>22</v>
      </c>
      <c r="B15" s="197"/>
      <c r="C15" s="30">
        <f>IF(C11="","",IF(C11&lt;'[7]Set Up'!$J$15,C11*'[7]Set Up'!$N$15,IF(C11&lt;'[7]Set Up'!$J$16,(C11-'[7]Set Up'!$J$15)*'[7]Set Up'!$N$16+'[7]Set Up'!$O$15,IF(C11&lt;'[7]Set Up'!$J$17,(C11-'[7]Set Up'!$J$16)*'[7]Set Up'!$N$17+'[7]Set Up'!$O$15+'[7]Set Up'!$O$16,(C11-'[7]Set Up'!$J$17)*'[7]Set Up'!$N$18 + SUM('[7]Set Up'!$O$15:'[7]Set Up'!$O$17)))))</f>
        <v>590.633168926552</v>
      </c>
      <c r="D15" s="30">
        <f>IF(D11="","",IF(D11&lt;'[7]Set Up'!$J$15,D11*'[7]Set Up'!$N$15,IF(D11&lt;'[7]Set Up'!$J$16,(D11-'[7]Set Up'!$J$15)*'[7]Set Up'!$N$16+'[7]Set Up'!$O$15,IF(D11&lt;'[7]Set Up'!$J$17,(D11-'[7]Set Up'!$J$16)*'[7]Set Up'!$N$17+'[7]Set Up'!$O$15+'[7]Set Up'!$O$16,(D11-'[7]Set Up'!$J$17)*'[7]Set Up'!$N$18 + SUM('[7]Set Up'!$O$15:'[7]Set Up'!$O$17)))))</f>
        <v>587.6618107704503</v>
      </c>
      <c r="E15" s="30">
        <f>IF(E11="","",IF(E11&lt;'[7]Set Up'!$J$15,E11*'[7]Set Up'!$N$15,IF(E11&lt;'[7]Set Up'!$J$16,(E11-'[7]Set Up'!$J$15)*'[7]Set Up'!$N$16+'[7]Set Up'!$O$15,IF(E11&lt;'[7]Set Up'!$J$17,(E11-'[7]Set Up'!$J$16)*'[7]Set Up'!$N$17+'[7]Set Up'!$O$15+'[7]Set Up'!$O$16,(E11-'[7]Set Up'!$J$17)*'[7]Set Up'!$N$18 + SUM('[7]Set Up'!$O$15:'[7]Set Up'!$O$17)))))</f>
        <v>584.69045261434871</v>
      </c>
      <c r="F15" s="30">
        <f>IF(F11="","",IF(F11&lt;'[7]Set Up'!$J$15,F11*'[7]Set Up'!$N$15,IF(F11&lt;'[7]Set Up'!$J$16,(F11-'[7]Set Up'!$J$15)*'[7]Set Up'!$N$16+'[7]Set Up'!$O$15,IF(F11&lt;'[7]Set Up'!$J$17,(F11-'[7]Set Up'!$J$16)*'[7]Set Up'!$N$17+'[7]Set Up'!$O$15+'[7]Set Up'!$O$16,(F11-'[7]Set Up'!$J$17)*'[7]Set Up'!$N$18 + SUM('[7]Set Up'!$O$15:'[7]Set Up'!$O$17)))))</f>
        <v>581.71909445824701</v>
      </c>
      <c r="G15" s="30">
        <f>IF(G11="","",IF(G11&lt;'[7]Set Up'!$J$15,G11*'[7]Set Up'!$N$15,IF(G11&lt;'[7]Set Up'!$J$16,(G11-'[7]Set Up'!$J$15)*'[7]Set Up'!$N$16+'[7]Set Up'!$O$15,IF(G11&lt;'[7]Set Up'!$J$17,(G11-'[7]Set Up'!$J$16)*'[7]Set Up'!$N$17+'[7]Set Up'!$O$15+'[7]Set Up'!$O$16,(G11-'[7]Set Up'!$J$17)*'[7]Set Up'!$N$18 + SUM('[7]Set Up'!$O$15:'[7]Set Up'!$O$17)))))</f>
        <v>578.74773630214531</v>
      </c>
      <c r="H15" s="30">
        <f>IF(H11="","",IF(H11&lt;'[7]Set Up'!$J$15,H11*'[7]Set Up'!$N$15,IF(H11&lt;'[7]Set Up'!$J$16,(H11-'[7]Set Up'!$J$15)*'[7]Set Up'!$N$16+'[7]Set Up'!$O$15,IF(H11&lt;'[7]Set Up'!$J$17,(H11-'[7]Set Up'!$J$16)*'[7]Set Up'!$N$17+'[7]Set Up'!$O$15+'[7]Set Up'!$O$16,(H11-'[7]Set Up'!$J$17)*'[7]Set Up'!$N$18 + SUM('[7]Set Up'!$O$15:'[7]Set Up'!$O$17)))))</f>
        <v>575.79130959406427</v>
      </c>
      <c r="I15" s="30">
        <f>IF(I11="","",IF(I11&lt;'[7]Set Up'!$J$15,I11*'[7]Set Up'!$N$15,IF(I11&lt;'[7]Set Up'!$J$16,(I11-'[7]Set Up'!$J$15)*'[7]Set Up'!$N$16+'[7]Set Up'!$O$15,IF(I11&lt;'[7]Set Up'!$J$17,(I11-'[7]Set Up'!$J$16)*'[7]Set Up'!$N$17+'[7]Set Up'!$O$15+'[7]Set Up'!$O$16,(I11-'[7]Set Up'!$J$17)*'[7]Set Up'!$N$18 + SUM('[7]Set Up'!$O$15:'[7]Set Up'!$O$17)))))</f>
        <v>572.81995143796257</v>
      </c>
      <c r="J15" s="30">
        <f>IF(J11="","",IF(J11&lt;'[7]Set Up'!$J$15,J11*'[7]Set Up'!$N$15,IF(J11&lt;'[7]Set Up'!$J$16,(J11-'[7]Set Up'!$J$15)*'[7]Set Up'!$N$16+'[7]Set Up'!$O$15,IF(J11&lt;'[7]Set Up'!$J$17,(J11-'[7]Set Up'!$J$16)*'[7]Set Up'!$N$17+'[7]Set Up'!$O$15+'[7]Set Up'!$O$16,(J11-'[7]Set Up'!$J$17)*'[7]Set Up'!$N$18 + SUM('[7]Set Up'!$O$15:'[7]Set Up'!$O$17)))))</f>
        <v>569.84859328186099</v>
      </c>
      <c r="K15" s="30">
        <f>IF(K11="","",IF(K11&lt;'[7]Set Up'!$J$15,K11*'[7]Set Up'!$N$15,IF(K11&lt;'[7]Set Up'!$J$16,(K11-'[7]Set Up'!$J$15)*'[7]Set Up'!$N$16+'[7]Set Up'!$O$15,IF(K11&lt;'[7]Set Up'!$J$17,(K11-'[7]Set Up'!$J$16)*'[7]Set Up'!$N$17+'[7]Set Up'!$O$15+'[7]Set Up'!$O$16,(K11-'[7]Set Up'!$J$17)*'[7]Set Up'!$N$18 + SUM('[7]Set Up'!$O$15:'[7]Set Up'!$O$17)))))</f>
        <v>566.87723512575928</v>
      </c>
      <c r="L15" s="30">
        <f>IF(L11="","",IF(L11&lt;'[7]Set Up'!$J$15,L11*'[7]Set Up'!$N$15,IF(L11&lt;'[7]Set Up'!$J$16,(L11-'[7]Set Up'!$J$15)*'[7]Set Up'!$N$16+'[7]Set Up'!$O$15,IF(L11&lt;'[7]Set Up'!$J$17,(L11-'[7]Set Up'!$J$16)*'[7]Set Up'!$N$17+'[7]Set Up'!$O$15+'[7]Set Up'!$O$16,(L11-'[7]Set Up'!$J$17)*'[7]Set Up'!$N$18 + SUM('[7]Set Up'!$O$15:'[7]Set Up'!$O$17)))))</f>
        <v>563.92080841767824</v>
      </c>
      <c r="M15" s="30">
        <f>IF(M11="","",IF(M11&lt;'[7]Set Up'!$J$15,M11*'[7]Set Up'!$N$15,IF(M11&lt;'[7]Set Up'!$J$16,(M11-'[7]Set Up'!$J$15)*'[7]Set Up'!$N$16+'[7]Set Up'!$O$15,IF(M11&lt;'[7]Set Up'!$J$17,(M11-'[7]Set Up'!$J$16)*'[7]Set Up'!$N$17+'[7]Set Up'!$O$15+'[7]Set Up'!$O$16,(M11-'[7]Set Up'!$J$17)*'[7]Set Up'!$N$18 + SUM('[7]Set Up'!$O$15:'[7]Set Up'!$O$17)))))</f>
        <v>560.94945026157654</v>
      </c>
      <c r="N15" s="30">
        <f>IF(N11="","",IF(N11&lt;'[7]Set Up'!$J$15,N11*'[7]Set Up'!$N$15,IF(N11&lt;'[7]Set Up'!$J$16,(N11-'[7]Set Up'!$J$15)*'[7]Set Up'!$N$16+'[7]Set Up'!$O$15,IF(N11&lt;'[7]Set Up'!$J$17,(N11-'[7]Set Up'!$J$16)*'[7]Set Up'!$N$17+'[7]Set Up'!$O$15+'[7]Set Up'!$O$16,(N11-'[7]Set Up'!$J$17)*'[7]Set Up'!$N$18 + SUM('[7]Set Up'!$O$15:'[7]Set Up'!$O$17)))))</f>
        <v>557.97809210547484</v>
      </c>
      <c r="O15" s="30">
        <f>IF(O11="","",IF(O11&lt;'[7]Set Up'!$J$15,O11*'[7]Set Up'!$N$15,IF(O11&lt;'[7]Set Up'!$J$16,(O11-'[7]Set Up'!$J$15)*'[7]Set Up'!$N$16+'[7]Set Up'!$O$15,IF(O11&lt;'[7]Set Up'!$J$17,(O11-'[7]Set Up'!$J$16)*'[7]Set Up'!$N$17+'[7]Set Up'!$O$15+'[7]Set Up'!$O$16,(O11-'[7]Set Up'!$J$17)*'[7]Set Up'!$N$18 + SUM('[7]Set Up'!$O$15:'[7]Set Up'!$O$17)))))</f>
        <v>555.00673394937326</v>
      </c>
      <c r="P15" s="30">
        <f>IF(P11="","",IF(P11&lt;'[7]Set Up'!$J$15,P11*'[7]Set Up'!$N$15,IF(P11&lt;'[7]Set Up'!$J$16,(P11-'[7]Set Up'!$J$15)*'[7]Set Up'!$N$16+'[7]Set Up'!$O$15,IF(P11&lt;'[7]Set Up'!$J$17,(P11-'[7]Set Up'!$J$16)*'[7]Set Up'!$N$17+'[7]Set Up'!$O$15+'[7]Set Up'!$O$16,(P11-'[7]Set Up'!$J$17)*'[7]Set Up'!$N$18 + SUM('[7]Set Up'!$O$15:'[7]Set Up'!$O$17)))))</f>
        <v>552.03537579327156</v>
      </c>
      <c r="Q15" s="30">
        <f>IF(Q11="","",IF(Q11&lt;'[7]Set Up'!$J$15,Q11*'[7]Set Up'!$N$15,IF(Q11&lt;'[7]Set Up'!$J$16,(Q11-'[7]Set Up'!$J$15)*'[7]Set Up'!$N$16+'[7]Set Up'!$O$15,IF(Q11&lt;'[7]Set Up'!$J$17,(Q11-'[7]Set Up'!$J$16)*'[7]Set Up'!$N$17+'[7]Set Up'!$O$15+'[7]Set Up'!$O$16,(Q11-'[7]Set Up'!$J$17)*'[7]Set Up'!$N$18 + SUM('[7]Set Up'!$O$15:'[7]Set Up'!$O$17)))))</f>
        <v>549.07894908519052</v>
      </c>
      <c r="R15" s="30">
        <f>IF(R11="","",IF(R11&lt;'[7]Set Up'!$J$15,R11*'[7]Set Up'!$N$15,IF(R11&lt;'[7]Set Up'!$J$16,(R11-'[7]Set Up'!$J$15)*'[7]Set Up'!$N$16+'[7]Set Up'!$O$15,IF(R11&lt;'[7]Set Up'!$J$17,(R11-'[7]Set Up'!$J$16)*'[7]Set Up'!$N$17+'[7]Set Up'!$O$15+'[7]Set Up'!$O$16,(R11-'[7]Set Up'!$J$17)*'[7]Set Up'!$N$18 + SUM('[7]Set Up'!$O$15:'[7]Set Up'!$O$17)))))</f>
        <v>546.10759092908881</v>
      </c>
      <c r="S15" s="30">
        <f>IF(S11="","",IF(S11&lt;'[7]Set Up'!$J$15,S11*'[7]Set Up'!$N$15,IF(S11&lt;'[7]Set Up'!$J$16,(S11-'[7]Set Up'!$J$15)*'[7]Set Up'!$N$16+'[7]Set Up'!$O$15,IF(S11&lt;'[7]Set Up'!$J$17,(S11-'[7]Set Up'!$J$16)*'[7]Set Up'!$N$17+'[7]Set Up'!$O$15+'[7]Set Up'!$O$16,(S11-'[7]Set Up'!$J$17)*'[7]Set Up'!$N$18 + SUM('[7]Set Up'!$O$15:'[7]Set Up'!$O$17)))))</f>
        <v>543.13623277298711</v>
      </c>
      <c r="T15" s="30">
        <f>IF(T11="","",IF(T11&lt;'[7]Set Up'!$J$15,T11*'[7]Set Up'!$N$15,IF(T11&lt;'[7]Set Up'!$J$16,(T11-'[7]Set Up'!$J$15)*'[7]Set Up'!$N$16+'[7]Set Up'!$O$15,IF(T11&lt;'[7]Set Up'!$J$17,(T11-'[7]Set Up'!$J$16)*'[7]Set Up'!$N$17+'[7]Set Up'!$O$15+'[7]Set Up'!$O$16,(T11-'[7]Set Up'!$J$17)*'[7]Set Up'!$N$18 + SUM('[7]Set Up'!$O$15:'[7]Set Up'!$O$17)))))</f>
        <v>540.16487461688553</v>
      </c>
      <c r="U15" s="30">
        <f>IF(U11="","",IF(U11&lt;'[7]Set Up'!$J$15,U11*'[7]Set Up'!$N$15,IF(U11&lt;'[7]Set Up'!$J$16,(U11-'[7]Set Up'!$J$15)*'[7]Set Up'!$N$16+'[7]Set Up'!$O$15,IF(U11&lt;'[7]Set Up'!$J$17,(U11-'[7]Set Up'!$J$16)*'[7]Set Up'!$N$17+'[7]Set Up'!$O$15+'[7]Set Up'!$O$16,(U11-'[7]Set Up'!$J$17)*'[7]Set Up'!$N$18 + SUM('[7]Set Up'!$O$15:'[7]Set Up'!$O$17)))))</f>
        <v>537.19351646078383</v>
      </c>
      <c r="V15" s="30">
        <f>IF(V11="","",IF(V11&lt;'[7]Set Up'!$J$15,V11*'[7]Set Up'!$N$15,IF(V11&lt;'[7]Set Up'!$J$16,(V11-'[7]Set Up'!$J$15)*'[7]Set Up'!$N$16+'[7]Set Up'!$O$15,IF(V11&lt;'[7]Set Up'!$J$17,(V11-'[7]Set Up'!$J$16)*'[7]Set Up'!$N$17+'[7]Set Up'!$O$15+'[7]Set Up'!$O$16,(V11-'[7]Set Up'!$J$17)*'[7]Set Up'!$N$18 + SUM('[7]Set Up'!$O$15:'[7]Set Up'!$O$17)))))</f>
        <v>534.23708975270279</v>
      </c>
      <c r="W15" s="30">
        <f>IF(W11="","",IF(W11&lt;'[7]Set Up'!$J$15,W11*'[7]Set Up'!$N$15,IF(W11&lt;'[7]Set Up'!$J$16,(W11-'[7]Set Up'!$J$15)*'[7]Set Up'!$N$16+'[7]Set Up'!$O$15,IF(W11&lt;'[7]Set Up'!$J$17,(W11-'[7]Set Up'!$J$16)*'[7]Set Up'!$N$17+'[7]Set Up'!$O$15+'[7]Set Up'!$O$16,(W11-'[7]Set Up'!$J$17)*'[7]Set Up'!$N$18 + SUM('[7]Set Up'!$O$15:'[7]Set Up'!$O$17)))))</f>
        <v>531.26573159660109</v>
      </c>
      <c r="X15" s="30">
        <f>IF(X11="","",IF(X11&lt;'[7]Set Up'!$J$15,X11*'[7]Set Up'!$N$15,IF(X11&lt;'[7]Set Up'!$J$16,(X11-'[7]Set Up'!$J$15)*'[7]Set Up'!$N$16+'[7]Set Up'!$O$15,IF(X11&lt;'[7]Set Up'!$J$17,(X11-'[7]Set Up'!$J$16)*'[7]Set Up'!$N$17+'[7]Set Up'!$O$15+'[7]Set Up'!$O$16,(X11-'[7]Set Up'!$J$17)*'[7]Set Up'!$N$18 + SUM('[7]Set Up'!$O$15:'[7]Set Up'!$O$17)))))</f>
        <v>528.29437344049938</v>
      </c>
      <c r="Y15" s="30">
        <f>IF(Y11="","",IF(Y11&lt;'[7]Set Up'!$J$15,Y11*'[7]Set Up'!$N$15,IF(Y11&lt;'[7]Set Up'!$J$16,(Y11-'[7]Set Up'!$J$15)*'[7]Set Up'!$N$16+'[7]Set Up'!$O$15,IF(Y11&lt;'[7]Set Up'!$J$17,(Y11-'[7]Set Up'!$J$16)*'[7]Set Up'!$N$17+'[7]Set Up'!$O$15+'[7]Set Up'!$O$16,(Y11-'[7]Set Up'!$J$17)*'[7]Set Up'!$N$18 + SUM('[7]Set Up'!$O$15:'[7]Set Up'!$O$17)))))</f>
        <v>525.3230152843978</v>
      </c>
      <c r="Z15" s="30">
        <f>IF(Z11="","",IF(Z11&lt;'[7]Set Up'!$J$15,Z11*'[7]Set Up'!$N$15,IF(Z11&lt;'[7]Set Up'!$J$16,(Z11-'[7]Set Up'!$J$15)*'[7]Set Up'!$N$16+'[7]Set Up'!$O$15,IF(Z11&lt;'[7]Set Up'!$J$17,(Z11-'[7]Set Up'!$J$16)*'[7]Set Up'!$N$17+'[7]Set Up'!$O$15+'[7]Set Up'!$O$16,(Z11-'[7]Set Up'!$J$17)*'[7]Set Up'!$N$18 + SUM('[7]Set Up'!$O$15:'[7]Set Up'!$O$17)))))</f>
        <v>522.36658857631676</v>
      </c>
      <c r="AA15" s="30">
        <f>IF(AA11="","",IF(AA11&lt;'[7]Set Up'!$J$15,AA11*'[7]Set Up'!$N$15,IF(AA11&lt;'[7]Set Up'!$J$16,(AA11-'[7]Set Up'!$J$15)*'[7]Set Up'!$N$16+'[7]Set Up'!$O$15,IF(AA11&lt;'[7]Set Up'!$J$17,(AA11-'[7]Set Up'!$J$16)*'[7]Set Up'!$N$17+'[7]Set Up'!$O$15+'[7]Set Up'!$O$16,(AA11-'[7]Set Up'!$J$17)*'[7]Set Up'!$N$18 + SUM('[7]Set Up'!$O$15:'[7]Set Up'!$O$17)))))</f>
        <v>519.39523042021506</v>
      </c>
      <c r="AB15" s="30">
        <f>IF(AB11="","",IF(AB11&lt;'[7]Set Up'!$J$15,AB11*'[7]Set Up'!$N$15,IF(AB11&lt;'[7]Set Up'!$J$16,(AB11-'[7]Set Up'!$J$15)*'[7]Set Up'!$N$16+'[7]Set Up'!$O$15,IF(AB11&lt;'[7]Set Up'!$J$17,(AB11-'[7]Set Up'!$J$16)*'[7]Set Up'!$N$17+'[7]Set Up'!$O$15+'[7]Set Up'!$O$16,(AB11-'[7]Set Up'!$J$17)*'[7]Set Up'!$N$18 + SUM('[7]Set Up'!$O$15:'[7]Set Up'!$O$17)))))</f>
        <v>516.42387226411336</v>
      </c>
      <c r="AC15" s="30">
        <f>IF(AC11="","",IF(AC11&lt;'[7]Set Up'!$J$15,AC11*'[7]Set Up'!$N$15,IF(AC11&lt;'[7]Set Up'!$J$16,(AC11-'[7]Set Up'!$J$15)*'[7]Set Up'!$N$16+'[7]Set Up'!$O$15,IF(AC11&lt;'[7]Set Up'!$J$17,(AC11-'[7]Set Up'!$J$16)*'[7]Set Up'!$N$17+'[7]Set Up'!$O$15+'[7]Set Up'!$O$16,(AC11-'[7]Set Up'!$J$17)*'[7]Set Up'!$N$18 + SUM('[7]Set Up'!$O$15:'[7]Set Up'!$O$17)))))</f>
        <v>513.45251410801166</v>
      </c>
      <c r="AD15" s="30">
        <f>IF(AD11="","",IF(AD11&lt;'[7]Set Up'!$J$15,AD11*'[7]Set Up'!$N$15,IF(AD11&lt;'[7]Set Up'!$J$16,(AD11-'[7]Set Up'!$J$15)*'[7]Set Up'!$N$16+'[7]Set Up'!$O$15,IF(AD11&lt;'[7]Set Up'!$J$17,(AD11-'[7]Set Up'!$J$16)*'[7]Set Up'!$N$17+'[7]Set Up'!$O$15+'[7]Set Up'!$O$16,(AD11-'[7]Set Up'!$J$17)*'[7]Set Up'!$N$18 + SUM('[7]Set Up'!$O$15:'[7]Set Up'!$O$17)))))</f>
        <v>510.48115595191007</v>
      </c>
      <c r="AE15" s="30">
        <f>IF(AE11="","",IF(AE11&lt;'[7]Set Up'!$J$15,AE11*'[7]Set Up'!$N$15,IF(AE11&lt;'[7]Set Up'!$J$16,(AE11-'[7]Set Up'!$J$15)*'[7]Set Up'!$N$16+'[7]Set Up'!$O$15,IF(AE11&lt;'[7]Set Up'!$J$17,(AE11-'[7]Set Up'!$J$16)*'[7]Set Up'!$N$17+'[7]Set Up'!$O$15+'[7]Set Up'!$O$16,(AE11-'[7]Set Up'!$J$17)*'[7]Set Up'!$N$18 + SUM('[7]Set Up'!$O$15:'[7]Set Up'!$O$17)))))</f>
        <v>507.52472924382897</v>
      </c>
      <c r="AF15" s="30">
        <f>IF(AF11="","",IF(AF11&lt;'[7]Set Up'!$J$15,AF11*'[7]Set Up'!$N$15,IF(AF11&lt;'[7]Set Up'!$J$16,(AF11-'[7]Set Up'!$J$15)*'[7]Set Up'!$N$16+'[7]Set Up'!$O$15,IF(AF11&lt;'[7]Set Up'!$J$17,(AF11-'[7]Set Up'!$J$16)*'[7]Set Up'!$N$17+'[7]Set Up'!$O$15+'[7]Set Up'!$O$16,(AF11-'[7]Set Up'!$J$17)*'[7]Set Up'!$N$18 + SUM('[7]Set Up'!$O$15:'[7]Set Up'!$O$17)))))</f>
        <v>504.55337108772733</v>
      </c>
      <c r="AG15" s="30">
        <f>IF(AG11="","",IF(AG11&lt;'[7]Set Up'!$J$15,AG11*'[7]Set Up'!$N$15,IF(AG11&lt;'[7]Set Up'!$J$16,(AG11-'[7]Set Up'!$J$15)*'[7]Set Up'!$N$16+'[7]Set Up'!$O$15,IF(AG11&lt;'[7]Set Up'!$J$17,(AG11-'[7]Set Up'!$J$16)*'[7]Set Up'!$N$17+'[7]Set Up'!$O$15+'[7]Set Up'!$O$16,(AG11-'[7]Set Up'!$J$17)*'[7]Set Up'!$N$18 + SUM('[7]Set Up'!$O$15:'[7]Set Up'!$O$17)))))</f>
        <v>501.58201293162563</v>
      </c>
      <c r="AH15" s="30">
        <f>IF(AH11="","",IF(AH11&lt;'[7]Set Up'!$J$15,AH11*'[7]Set Up'!$N$15,IF(AH11&lt;'[7]Set Up'!$J$16,(AH11-'[7]Set Up'!$J$15)*'[7]Set Up'!$N$16+'[7]Set Up'!$O$15,IF(AH11&lt;'[7]Set Up'!$J$17,(AH11-'[7]Set Up'!$J$16)*'[7]Set Up'!$N$17+'[7]Set Up'!$O$15+'[7]Set Up'!$O$16,(AH11-'[7]Set Up'!$J$17)*'[7]Set Up'!$N$18 + SUM('[7]Set Up'!$O$15:'[7]Set Up'!$O$17)))))</f>
        <v>498.61065477552398</v>
      </c>
      <c r="AI15" s="30">
        <f>IF(AI11="","",IF(AI11&lt;'[7]Set Up'!$J$15,AI11*'[7]Set Up'!$N$15,IF(AI11&lt;'[7]Set Up'!$J$16,(AI11-'[7]Set Up'!$J$15)*'[7]Set Up'!$N$16+'[7]Set Up'!$O$15,IF(AI11&lt;'[7]Set Up'!$J$17,(AI11-'[7]Set Up'!$J$16)*'[7]Set Up'!$N$17+'[7]Set Up'!$O$15+'[7]Set Up'!$O$16,(AI11-'[7]Set Up'!$J$17)*'[7]Set Up'!$N$18 + SUM('[7]Set Up'!$O$15:'[7]Set Up'!$O$17)))))</f>
        <v>495.63929661942234</v>
      </c>
      <c r="AJ15" s="30">
        <f>IF(AJ11="","",IF(AJ11&lt;'[7]Set Up'!$J$15,AJ11*'[7]Set Up'!$N$15,IF(AJ11&lt;'[7]Set Up'!$J$16,(AJ11-'[7]Set Up'!$J$15)*'[7]Set Up'!$N$16+'[7]Set Up'!$O$15,IF(AJ11&lt;'[7]Set Up'!$J$17,(AJ11-'[7]Set Up'!$J$16)*'[7]Set Up'!$N$17+'[7]Set Up'!$O$15+'[7]Set Up'!$O$16,(AJ11-'[7]Set Up'!$J$17)*'[7]Set Up'!$N$18 + SUM('[7]Set Up'!$O$15:'[7]Set Up'!$O$17)))))</f>
        <v>492.68286991134124</v>
      </c>
      <c r="AK15" s="30">
        <f>IF(AK11="","",IF(AK11&lt;'[7]Set Up'!$J$15,AK11*'[7]Set Up'!$N$15,IF(AK11&lt;'[7]Set Up'!$J$16,(AK11-'[7]Set Up'!$J$15)*'[7]Set Up'!$N$16+'[7]Set Up'!$O$15,IF(AK11&lt;'[7]Set Up'!$J$17,(AK11-'[7]Set Up'!$J$16)*'[7]Set Up'!$N$17+'[7]Set Up'!$O$15+'[7]Set Up'!$O$16,(AK11-'[7]Set Up'!$J$17)*'[7]Set Up'!$N$18 + SUM('[7]Set Up'!$O$15:'[7]Set Up'!$O$17)))))</f>
        <v>489.7115117552396</v>
      </c>
      <c r="AL15" s="30">
        <f>IF(AL11="","",IF(AL11&lt;'[7]Set Up'!$J$15,AL11*'[7]Set Up'!$N$15,IF(AL11&lt;'[7]Set Up'!$J$16,(AL11-'[7]Set Up'!$J$15)*'[7]Set Up'!$N$16+'[7]Set Up'!$O$15,IF(AL11&lt;'[7]Set Up'!$J$17,(AL11-'[7]Set Up'!$J$16)*'[7]Set Up'!$N$17+'[7]Set Up'!$O$15+'[7]Set Up'!$O$16,(AL11-'[7]Set Up'!$J$17)*'[7]Set Up'!$N$18 + SUM('[7]Set Up'!$O$15:'[7]Set Up'!$O$17)))))</f>
        <v>486.7401535991379</v>
      </c>
      <c r="AM15" s="30">
        <f>IF(AM11="","",IF(AM11&lt;'[7]Set Up'!$J$15,AM11*'[7]Set Up'!$N$15,IF(AM11&lt;'[7]Set Up'!$J$16,(AM11-'[7]Set Up'!$J$15)*'[7]Set Up'!$N$16+'[7]Set Up'!$O$15,IF(AM11&lt;'[7]Set Up'!$J$17,(AM11-'[7]Set Up'!$J$16)*'[7]Set Up'!$N$17+'[7]Set Up'!$O$15+'[7]Set Up'!$O$16,(AM11-'[7]Set Up'!$J$17)*'[7]Set Up'!$N$18 + SUM('[7]Set Up'!$O$15:'[7]Set Up'!$O$17)))))</f>
        <v>483.76879544303625</v>
      </c>
      <c r="AN15" s="30">
        <f>IF(AN11="","",IF(AN11&lt;'[7]Set Up'!$J$15,AN11*'[7]Set Up'!$N$15,IF(AN11&lt;'[7]Set Up'!$J$16,(AN11-'[7]Set Up'!$J$15)*'[7]Set Up'!$N$16+'[7]Set Up'!$O$15,IF(AN11&lt;'[7]Set Up'!$J$17,(AN11-'[7]Set Up'!$J$16)*'[7]Set Up'!$N$17+'[7]Set Up'!$O$15+'[7]Set Up'!$O$16,(AN11-'[7]Set Up'!$J$17)*'[7]Set Up'!$N$18 + SUM('[7]Set Up'!$O$15:'[7]Set Up'!$O$17)))))</f>
        <v>480.81236873495521</v>
      </c>
      <c r="AO15" s="30">
        <f>IF(AO11="","",IF(AO11&lt;'[7]Set Up'!$J$15,AO11*'[7]Set Up'!$N$15,IF(AO11&lt;'[7]Set Up'!$J$16,(AO11-'[7]Set Up'!$J$15)*'[7]Set Up'!$N$16+'[7]Set Up'!$O$15,IF(AO11&lt;'[7]Set Up'!$J$17,(AO11-'[7]Set Up'!$J$16)*'[7]Set Up'!$N$17+'[7]Set Up'!$O$15+'[7]Set Up'!$O$16,(AO11-'[7]Set Up'!$J$17)*'[7]Set Up'!$N$18 + SUM('[7]Set Up'!$O$15:'[7]Set Up'!$O$17)))))</f>
        <v>477.84101057885351</v>
      </c>
      <c r="AP15" s="30">
        <f>IF(AP11="","",IF(AP11&lt;'[7]Set Up'!$J$15,AP11*'[7]Set Up'!$N$15,IF(AP11&lt;'[7]Set Up'!$J$16,(AP11-'[7]Set Up'!$J$15)*'[7]Set Up'!$N$16+'[7]Set Up'!$O$15,IF(AP11&lt;'[7]Set Up'!$J$17,(AP11-'[7]Set Up'!$J$16)*'[7]Set Up'!$N$17+'[7]Set Up'!$O$15+'[7]Set Up'!$O$16,(AP11-'[7]Set Up'!$J$17)*'[7]Set Up'!$N$18 + SUM('[7]Set Up'!$O$15:'[7]Set Up'!$O$17)))))</f>
        <v>474.86965242275187</v>
      </c>
      <c r="AQ15" s="30">
        <f>IF(AQ11="","",IF(AQ11&lt;'[7]Set Up'!$J$15,AQ11*'[7]Set Up'!$N$15,IF(AQ11&lt;'[7]Set Up'!$J$16,(AQ11-'[7]Set Up'!$J$15)*'[7]Set Up'!$N$16+'[7]Set Up'!$O$15,IF(AQ11&lt;'[7]Set Up'!$J$17,(AQ11-'[7]Set Up'!$J$16)*'[7]Set Up'!$N$17+'[7]Set Up'!$O$15+'[7]Set Up'!$O$16,(AQ11-'[7]Set Up'!$J$17)*'[7]Set Up'!$N$18 + SUM('[7]Set Up'!$O$15:'[7]Set Up'!$O$17)))))</f>
        <v>471.89829426665017</v>
      </c>
      <c r="AR15" s="30">
        <f>IF(AR11="","",IF(AR11&lt;'[7]Set Up'!$J$15,AR11*'[7]Set Up'!$N$15,IF(AR11&lt;'[7]Set Up'!$J$16,(AR11-'[7]Set Up'!$J$15)*'[7]Set Up'!$N$16+'[7]Set Up'!$O$15,IF(AR11&lt;'[7]Set Up'!$J$17,(AR11-'[7]Set Up'!$J$16)*'[7]Set Up'!$N$17+'[7]Set Up'!$O$15+'[7]Set Up'!$O$16,(AR11-'[7]Set Up'!$J$17)*'[7]Set Up'!$N$18 + SUM('[7]Set Up'!$O$15:'[7]Set Up'!$O$17)))))</f>
        <v>468.92693611054852</v>
      </c>
      <c r="AS15" s="30">
        <f>IF(AS11="","",IF(AS11&lt;'[7]Set Up'!$J$15,AS11*'[7]Set Up'!$N$15,IF(AS11&lt;'[7]Set Up'!$J$16,(AS11-'[7]Set Up'!$J$15)*'[7]Set Up'!$N$16+'[7]Set Up'!$O$15,IF(AS11&lt;'[7]Set Up'!$J$17,(AS11-'[7]Set Up'!$J$16)*'[7]Set Up'!$N$17+'[7]Set Up'!$O$15+'[7]Set Up'!$O$16,(AS11-'[7]Set Up'!$J$17)*'[7]Set Up'!$N$18 + SUM('[7]Set Up'!$O$15:'[7]Set Up'!$O$17)))))</f>
        <v>465.97050940246748</v>
      </c>
      <c r="AT15" s="30">
        <f>IF(AT11="","",IF(AT11&lt;'[7]Set Up'!$J$15,AT11*'[7]Set Up'!$N$15,IF(AT11&lt;'[7]Set Up'!$J$16,(AT11-'[7]Set Up'!$J$15)*'[7]Set Up'!$N$16+'[7]Set Up'!$O$15,IF(AT11&lt;'[7]Set Up'!$J$17,(AT11-'[7]Set Up'!$J$16)*'[7]Set Up'!$N$17+'[7]Set Up'!$O$15+'[7]Set Up'!$O$16,(AT11-'[7]Set Up'!$J$17)*'[7]Set Up'!$N$18 + SUM('[7]Set Up'!$O$15:'[7]Set Up'!$O$17)))))</f>
        <v>462.99915124636578</v>
      </c>
      <c r="AU15" s="30">
        <f>IF(AU11="","",IF(AU11&lt;'[7]Set Up'!$J$15,AU11*'[7]Set Up'!$N$15,IF(AU11&lt;'[7]Set Up'!$J$16,(AU11-'[7]Set Up'!$J$15)*'[7]Set Up'!$N$16+'[7]Set Up'!$O$15,IF(AU11&lt;'[7]Set Up'!$J$17,(AU11-'[7]Set Up'!$J$16)*'[7]Set Up'!$N$17+'[7]Set Up'!$O$15+'[7]Set Up'!$O$16,(AU11-'[7]Set Up'!$J$17)*'[7]Set Up'!$N$18 + SUM('[7]Set Up'!$O$15:'[7]Set Up'!$O$17)))))</f>
        <v>460.02779309026414</v>
      </c>
      <c r="AV15" s="30">
        <f>IF(AV11="","",IF(AV11&lt;'[7]Set Up'!$J$15,AV11*'[7]Set Up'!$N$15,IF(AV11&lt;'[7]Set Up'!$J$16,(AV11-'[7]Set Up'!$J$15)*'[7]Set Up'!$N$16+'[7]Set Up'!$O$15,IF(AV11&lt;'[7]Set Up'!$J$17,(AV11-'[7]Set Up'!$J$16)*'[7]Set Up'!$N$17+'[7]Set Up'!$O$15+'[7]Set Up'!$O$16,(AV11-'[7]Set Up'!$J$17)*'[7]Set Up'!$N$18 + SUM('[7]Set Up'!$O$15:'[7]Set Up'!$O$17)))))</f>
        <v>457.05643493416244</v>
      </c>
      <c r="AW15" s="30">
        <f>IF(AW11="","",IF(AW11&lt;'[7]Set Up'!$J$15,AW11*'[7]Set Up'!$N$15,IF(AW11&lt;'[7]Set Up'!$J$16,(AW11-'[7]Set Up'!$J$15)*'[7]Set Up'!$N$16+'[7]Set Up'!$O$15,IF(AW11&lt;'[7]Set Up'!$J$17,(AW11-'[7]Set Up'!$J$16)*'[7]Set Up'!$N$17+'[7]Set Up'!$O$15+'[7]Set Up'!$O$16,(AW11-'[7]Set Up'!$J$17)*'[7]Set Up'!$N$18 + SUM('[7]Set Up'!$O$15:'[7]Set Up'!$O$17)))))</f>
        <v>454.0850767780608</v>
      </c>
      <c r="AX15" s="30">
        <f>IF(AX11="","",IF(AX11&lt;'[7]Set Up'!$J$15,AX11*'[7]Set Up'!$N$15,IF(AX11&lt;'[7]Set Up'!$J$16,(AX11-'[7]Set Up'!$J$15)*'[7]Set Up'!$N$16+'[7]Set Up'!$O$15,IF(AX11&lt;'[7]Set Up'!$J$17,(AX11-'[7]Set Up'!$J$16)*'[7]Set Up'!$N$17+'[7]Set Up'!$O$15+'[7]Set Up'!$O$16,(AX11-'[7]Set Up'!$J$17)*'[7]Set Up'!$N$18 + SUM('[7]Set Up'!$O$15:'[7]Set Up'!$O$17)))))</f>
        <v>451.12865006997976</v>
      </c>
      <c r="AY15" s="30">
        <f>IF(AY11="","",IF(AY11&lt;'[7]Set Up'!$J$15,AY11*'[7]Set Up'!$N$15,IF(AY11&lt;'[7]Set Up'!$J$16,(AY11-'[7]Set Up'!$J$15)*'[7]Set Up'!$N$16+'[7]Set Up'!$O$15,IF(AY11&lt;'[7]Set Up'!$J$17,(AY11-'[7]Set Up'!$J$16)*'[7]Set Up'!$N$17+'[7]Set Up'!$O$15+'[7]Set Up'!$O$16,(AY11-'[7]Set Up'!$J$17)*'[7]Set Up'!$N$18 + SUM('[7]Set Up'!$O$15:'[7]Set Up'!$O$17)))))</f>
        <v>448.15729191387805</v>
      </c>
      <c r="AZ15" s="30">
        <f>IF(AZ11="","",IF(AZ11&lt;'[7]Set Up'!$J$15,AZ11*'[7]Set Up'!$N$15,IF(AZ11&lt;'[7]Set Up'!$J$16,(AZ11-'[7]Set Up'!$J$15)*'[7]Set Up'!$N$16+'[7]Set Up'!$O$15,IF(AZ11&lt;'[7]Set Up'!$J$17,(AZ11-'[7]Set Up'!$J$16)*'[7]Set Up'!$N$17+'[7]Set Up'!$O$15+'[7]Set Up'!$O$16,(AZ11-'[7]Set Up'!$J$17)*'[7]Set Up'!$N$18 + SUM('[7]Set Up'!$O$15:'[7]Set Up'!$O$17)))))</f>
        <v>445.18593375777641</v>
      </c>
      <c r="BA15" s="30">
        <f>IF(BA11="","",IF(BA11&lt;'[7]Set Up'!$J$15,BA11*'[7]Set Up'!$N$15,IF(BA11&lt;'[7]Set Up'!$J$16,(BA11-'[7]Set Up'!$J$15)*'[7]Set Up'!$N$16+'[7]Set Up'!$O$15,IF(BA11&lt;'[7]Set Up'!$J$17,(BA11-'[7]Set Up'!$J$16)*'[7]Set Up'!$N$17+'[7]Set Up'!$O$15+'[7]Set Up'!$O$16,(BA11-'[7]Set Up'!$J$17)*'[7]Set Up'!$N$18 + SUM('[7]Set Up'!$O$15:'[7]Set Up'!$O$17)))))</f>
        <v>442.21457560167477</v>
      </c>
      <c r="BB15" s="30">
        <f>IF(BB11="","",IF(BB11&lt;'[7]Set Up'!$J$15,BB11*'[7]Set Up'!$N$15,IF(BB11&lt;'[7]Set Up'!$J$16,(BB11-'[7]Set Up'!$J$15)*'[7]Set Up'!$N$16+'[7]Set Up'!$O$15,IF(BB11&lt;'[7]Set Up'!$J$17,(BB11-'[7]Set Up'!$J$16)*'[7]Set Up'!$N$17+'[7]Set Up'!$O$15+'[7]Set Up'!$O$16,(BB11-'[7]Set Up'!$J$17)*'[7]Set Up'!$N$18 + SUM('[7]Set Up'!$O$15:'[7]Set Up'!$O$17)))))</f>
        <v>439.25814889359367</v>
      </c>
      <c r="BC15" s="30">
        <f>IF(BC11="","",IF(BC11&lt;'[7]Set Up'!$J$15,BC11*'[7]Set Up'!$N$15,IF(BC11&lt;'[7]Set Up'!$J$16,(BC11-'[7]Set Up'!$J$15)*'[7]Set Up'!$N$16+'[7]Set Up'!$O$15,IF(BC11&lt;'[7]Set Up'!$J$17,(BC11-'[7]Set Up'!$J$16)*'[7]Set Up'!$N$17+'[7]Set Up'!$O$15+'[7]Set Up'!$O$16,(BC11-'[7]Set Up'!$J$17)*'[7]Set Up'!$N$18 + SUM('[7]Set Up'!$O$15:'[7]Set Up'!$O$17)))))</f>
        <v>436.28679073749203</v>
      </c>
      <c r="BD15" s="30">
        <f>IF(BD11="","",IF(BD11&lt;'[7]Set Up'!$J$15,BD11*'[7]Set Up'!$N$15,IF(BD11&lt;'[7]Set Up'!$J$16,(BD11-'[7]Set Up'!$J$15)*'[7]Set Up'!$N$16+'[7]Set Up'!$O$15,IF(BD11&lt;'[7]Set Up'!$J$17,(BD11-'[7]Set Up'!$J$16)*'[7]Set Up'!$N$17+'[7]Set Up'!$O$15+'[7]Set Up'!$O$16,(BD11-'[7]Set Up'!$J$17)*'[7]Set Up'!$N$18 + SUM('[7]Set Up'!$O$15:'[7]Set Up'!$O$17)))))</f>
        <v>0</v>
      </c>
      <c r="BE15" s="30">
        <f>IF(BE11="","",IF(BE11&lt;'[7]Set Up'!$J$15,BE11*'[7]Set Up'!$N$15,IF(BE11&lt;'[7]Set Up'!$J$16,(BE11-'[7]Set Up'!$J$15)*'[7]Set Up'!$N$16+'[7]Set Up'!$O$15,IF(BE11&lt;'[7]Set Up'!$J$17,(BE11-'[7]Set Up'!$J$16)*'[7]Set Up'!$N$17+'[7]Set Up'!$O$15+'[7]Set Up'!$O$16,(BE11-'[7]Set Up'!$J$17)*'[7]Set Up'!$N$18 + SUM('[7]Set Up'!$O$15:'[7]Set Up'!$O$17)))))</f>
        <v>0</v>
      </c>
      <c r="BF15" s="30">
        <f>IF(BF11="","",IF(BF11&lt;'[7]Set Up'!$J$15,BF11*'[7]Set Up'!$N$15,IF(BF11&lt;'[7]Set Up'!$J$16,(BF11-'[7]Set Up'!$J$15)*'[7]Set Up'!$N$16+'[7]Set Up'!$O$15,IF(BF11&lt;'[7]Set Up'!$J$17,(BF11-'[7]Set Up'!$J$16)*'[7]Set Up'!$N$17+'[7]Set Up'!$O$15+'[7]Set Up'!$O$16,(BF11-'[7]Set Up'!$J$17)*'[7]Set Up'!$N$18 + SUM('[7]Set Up'!$O$15:'[7]Set Up'!$O$17)))))</f>
        <v>0</v>
      </c>
      <c r="BG15" s="30">
        <f>IF(BG11="","",IF(BG11&lt;'[7]Set Up'!$J$15,BG11*'[7]Set Up'!$N$15,IF(BG11&lt;'[7]Set Up'!$J$16,(BG11-'[7]Set Up'!$J$15)*'[7]Set Up'!$N$16+'[7]Set Up'!$O$15,IF(BG11&lt;'[7]Set Up'!$J$17,(BG11-'[7]Set Up'!$J$16)*'[7]Set Up'!$N$17+'[7]Set Up'!$O$15+'[7]Set Up'!$O$16,(BG11-'[7]Set Up'!$J$17)*'[7]Set Up'!$N$18 + SUM('[7]Set Up'!$O$15:'[7]Set Up'!$O$17)))))</f>
        <v>0</v>
      </c>
      <c r="BH15" s="30">
        <f>IF(BH11="","",IF(BH11&lt;'[7]Set Up'!$J$15,BH11*'[7]Set Up'!$N$15,IF(BH11&lt;'[7]Set Up'!$J$16,(BH11-'[7]Set Up'!$J$15)*'[7]Set Up'!$N$16+'[7]Set Up'!$O$15,IF(BH11&lt;'[7]Set Up'!$J$17,(BH11-'[7]Set Up'!$J$16)*'[7]Set Up'!$N$17+'[7]Set Up'!$O$15+'[7]Set Up'!$O$16,(BH11-'[7]Set Up'!$J$17)*'[7]Set Up'!$N$18 + SUM('[7]Set Up'!$O$15:'[7]Set Up'!$O$17)))))</f>
        <v>0</v>
      </c>
      <c r="BI15" s="30">
        <f>IF(BI11="","",IF(BI11&lt;'[7]Set Up'!$J$15,BI11*'[7]Set Up'!$N$15,IF(BI11&lt;'[7]Set Up'!$J$16,(BI11-'[7]Set Up'!$J$15)*'[7]Set Up'!$N$16+'[7]Set Up'!$O$15,IF(BI11&lt;'[7]Set Up'!$J$17,(BI11-'[7]Set Up'!$J$16)*'[7]Set Up'!$N$17+'[7]Set Up'!$O$15+'[7]Set Up'!$O$16,(BI11-'[7]Set Up'!$J$17)*'[7]Set Up'!$N$18 + SUM('[7]Set Up'!$O$15:'[7]Set Up'!$O$17)))))</f>
        <v>0</v>
      </c>
      <c r="BJ15" s="30">
        <f>IF(BJ11="","",IF(BJ11&lt;'[7]Set Up'!$J$15,BJ11*'[7]Set Up'!$N$15,IF(BJ11&lt;'[7]Set Up'!$J$16,(BJ11-'[7]Set Up'!$J$15)*'[7]Set Up'!$N$16+'[7]Set Up'!$O$15,IF(BJ11&lt;'[7]Set Up'!$J$17,(BJ11-'[7]Set Up'!$J$16)*'[7]Set Up'!$N$17+'[7]Set Up'!$O$15+'[7]Set Up'!$O$16,(BJ11-'[7]Set Up'!$J$17)*'[7]Set Up'!$N$18 + SUM('[7]Set Up'!$O$15:'[7]Set Up'!$O$17)))))</f>
        <v>0</v>
      </c>
      <c r="BK15" s="30">
        <f>IF(BK11="","",IF(BK11&lt;'[7]Set Up'!$J$15,BK11*'[7]Set Up'!$N$15,IF(BK11&lt;'[7]Set Up'!$J$16,(BK11-'[7]Set Up'!$J$15)*'[7]Set Up'!$N$16+'[7]Set Up'!$O$15,IF(BK11&lt;'[7]Set Up'!$J$17,(BK11-'[7]Set Up'!$J$16)*'[7]Set Up'!$N$17+'[7]Set Up'!$O$15+'[7]Set Up'!$O$16,(BK11-'[7]Set Up'!$J$17)*'[7]Set Up'!$N$18 + SUM('[7]Set Up'!$O$15:'[7]Set Up'!$O$17)))))</f>
        <v>0</v>
      </c>
      <c r="BL15" s="30">
        <f>IF(BL11="","",IF(BL11&lt;'[7]Set Up'!$J$15,BL11*'[7]Set Up'!$N$15,IF(BL11&lt;'[7]Set Up'!$J$16,(BL11-'[7]Set Up'!$J$15)*'[7]Set Up'!$N$16+'[7]Set Up'!$O$15,IF(BL11&lt;'[7]Set Up'!$J$17,(BL11-'[7]Set Up'!$J$16)*'[7]Set Up'!$N$17+'[7]Set Up'!$O$15+'[7]Set Up'!$O$16,(BL11-'[7]Set Up'!$J$17)*'[7]Set Up'!$N$18 + SUM('[7]Set Up'!$O$15:'[7]Set Up'!$O$17)))))</f>
        <v>0</v>
      </c>
      <c r="BM15" s="30">
        <f>IF(BM11="","",IF(BM11&lt;'[7]Set Up'!$J$15,BM11*'[7]Set Up'!$N$15,IF(BM11&lt;'[7]Set Up'!$J$16,(BM11-'[7]Set Up'!$J$15)*'[7]Set Up'!$N$16+'[7]Set Up'!$O$15,IF(BM11&lt;'[7]Set Up'!$J$17,(BM11-'[7]Set Up'!$J$16)*'[7]Set Up'!$N$17+'[7]Set Up'!$O$15+'[7]Set Up'!$O$16,(BM11-'[7]Set Up'!$J$17)*'[7]Set Up'!$N$18 + SUM('[7]Set Up'!$O$15:'[7]Set Up'!$O$17)))))</f>
        <v>0</v>
      </c>
      <c r="BN15" s="30">
        <f>IF(BN11="","",IF(BN11&lt;'[7]Set Up'!$J$15,BN11*'[7]Set Up'!$N$15,IF(BN11&lt;'[7]Set Up'!$J$16,(BN11-'[7]Set Up'!$J$15)*'[7]Set Up'!$N$16+'[7]Set Up'!$O$15,IF(BN11&lt;'[7]Set Up'!$J$17,(BN11-'[7]Set Up'!$J$16)*'[7]Set Up'!$N$17+'[7]Set Up'!$O$15+'[7]Set Up'!$O$16,(BN11-'[7]Set Up'!$J$17)*'[7]Set Up'!$N$18 + SUM('[7]Set Up'!$O$15:'[7]Set Up'!$O$17)))))</f>
        <v>0</v>
      </c>
      <c r="BO15" s="30">
        <f>IF(BO11="","",IF(BO11&lt;'[7]Set Up'!$J$15,BO11*'[7]Set Up'!$N$15,IF(BO11&lt;'[7]Set Up'!$J$16,(BO11-'[7]Set Up'!$J$15)*'[7]Set Up'!$N$16+'[7]Set Up'!$O$15,IF(BO11&lt;'[7]Set Up'!$J$17,(BO11-'[7]Set Up'!$J$16)*'[7]Set Up'!$N$17+'[7]Set Up'!$O$15+'[7]Set Up'!$O$16,(BO11-'[7]Set Up'!$J$17)*'[7]Set Up'!$N$18 + SUM('[7]Set Up'!$O$15:'[7]Set Up'!$O$17)))))</f>
        <v>0</v>
      </c>
      <c r="BP15" s="30">
        <f>IF(BP11="","",IF(BP11&lt;'[7]Set Up'!$J$15,BP11*'[7]Set Up'!$N$15,IF(BP11&lt;'[7]Set Up'!$J$16,(BP11-'[7]Set Up'!$J$15)*'[7]Set Up'!$N$16+'[7]Set Up'!$O$15,IF(BP11&lt;'[7]Set Up'!$J$17,(BP11-'[7]Set Up'!$J$16)*'[7]Set Up'!$N$17+'[7]Set Up'!$O$15+'[7]Set Up'!$O$16,(BP11-'[7]Set Up'!$J$17)*'[7]Set Up'!$N$18 + SUM('[7]Set Up'!$O$15:'[7]Set Up'!$O$17)))))</f>
        <v>0</v>
      </c>
      <c r="BQ15" s="30">
        <f>IF(BQ11="","",IF(BQ11&lt;'[7]Set Up'!$J$15,BQ11*'[7]Set Up'!$N$15,IF(BQ11&lt;'[7]Set Up'!$J$16,(BQ11-'[7]Set Up'!$J$15)*'[7]Set Up'!$N$16+'[7]Set Up'!$O$15,IF(BQ11&lt;'[7]Set Up'!$J$17,(BQ11-'[7]Set Up'!$J$16)*'[7]Set Up'!$N$17+'[7]Set Up'!$O$15+'[7]Set Up'!$O$16,(BQ11-'[7]Set Up'!$J$17)*'[7]Set Up'!$N$18 + SUM('[7]Set Up'!$O$15:'[7]Set Up'!$O$17)))))</f>
        <v>0</v>
      </c>
      <c r="BR15" s="30">
        <f>IF(BR11="","",IF(BR11&lt;'[7]Set Up'!$J$15,BR11*'[7]Set Up'!$N$15,IF(BR11&lt;'[7]Set Up'!$J$16,(BR11-'[7]Set Up'!$J$15)*'[7]Set Up'!$N$16+'[7]Set Up'!$O$15,IF(BR11&lt;'[7]Set Up'!$J$17,(BR11-'[7]Set Up'!$J$16)*'[7]Set Up'!$N$17+'[7]Set Up'!$O$15+'[7]Set Up'!$O$16,(BR11-'[7]Set Up'!$J$17)*'[7]Set Up'!$N$18 + SUM('[7]Set Up'!$O$15:'[7]Set Up'!$O$17)))))</f>
        <v>0</v>
      </c>
      <c r="BS15" s="30">
        <f>IF(BS11="","",IF(BS11&lt;'[7]Set Up'!$J$15,BS11*'[7]Set Up'!$N$15,IF(BS11&lt;'[7]Set Up'!$J$16,(BS11-'[7]Set Up'!$J$15)*'[7]Set Up'!$N$16+'[7]Set Up'!$O$15,IF(BS11&lt;'[7]Set Up'!$J$17,(BS11-'[7]Set Up'!$J$16)*'[7]Set Up'!$N$17+'[7]Set Up'!$O$15+'[7]Set Up'!$O$16,(BS11-'[7]Set Up'!$J$17)*'[7]Set Up'!$N$18 + SUM('[7]Set Up'!$O$15:'[7]Set Up'!$O$17)))))</f>
        <v>0</v>
      </c>
      <c r="BT15" s="30">
        <f>IF(BT11="","",IF(BT11&lt;'[7]Set Up'!$J$15,BT11*'[7]Set Up'!$N$15,IF(BT11&lt;'[7]Set Up'!$J$16,(BT11-'[7]Set Up'!$J$15)*'[7]Set Up'!$N$16+'[7]Set Up'!$O$15,IF(BT11&lt;'[7]Set Up'!$J$17,(BT11-'[7]Set Up'!$J$16)*'[7]Set Up'!$N$17+'[7]Set Up'!$O$15+'[7]Set Up'!$O$16,(BT11-'[7]Set Up'!$J$17)*'[7]Set Up'!$N$18 + SUM('[7]Set Up'!$O$15:'[7]Set Up'!$O$17)))))</f>
        <v>0</v>
      </c>
      <c r="BU15" s="30">
        <f>IF(BU11="","",IF(BU11&lt;'[7]Set Up'!$J$15,BU11*'[7]Set Up'!$N$15,IF(BU11&lt;'[7]Set Up'!$J$16,(BU11-'[7]Set Up'!$J$15)*'[7]Set Up'!$N$16+'[7]Set Up'!$O$15,IF(BU11&lt;'[7]Set Up'!$J$17,(BU11-'[7]Set Up'!$J$16)*'[7]Set Up'!$N$17+'[7]Set Up'!$O$15+'[7]Set Up'!$O$16,(BU11-'[7]Set Up'!$J$17)*'[7]Set Up'!$N$18 + SUM('[7]Set Up'!$O$15:'[7]Set Up'!$O$17)))))</f>
        <v>0</v>
      </c>
      <c r="BV15" s="30">
        <f>IF(BV11="","",IF(BV11&lt;'[7]Set Up'!$J$15,BV11*'[7]Set Up'!$N$15,IF(BV11&lt;'[7]Set Up'!$J$16,(BV11-'[7]Set Up'!$J$15)*'[7]Set Up'!$N$16+'[7]Set Up'!$O$15,IF(BV11&lt;'[7]Set Up'!$J$17,(BV11-'[7]Set Up'!$J$16)*'[7]Set Up'!$N$17+'[7]Set Up'!$O$15+'[7]Set Up'!$O$16,(BV11-'[7]Set Up'!$J$17)*'[7]Set Up'!$N$18 + SUM('[7]Set Up'!$O$15:'[7]Set Up'!$O$17)))))</f>
        <v>0</v>
      </c>
      <c r="BW15" s="30">
        <f>IF(BW11="","",IF(BW11&lt;'[7]Set Up'!$J$15,BW11*'[7]Set Up'!$N$15,IF(BW11&lt;'[7]Set Up'!$J$16,(BW11-'[7]Set Up'!$J$15)*'[7]Set Up'!$N$16+'[7]Set Up'!$O$15,IF(BW11&lt;'[7]Set Up'!$J$17,(BW11-'[7]Set Up'!$J$16)*'[7]Set Up'!$N$17+'[7]Set Up'!$O$15+'[7]Set Up'!$O$16,(BW11-'[7]Set Up'!$J$17)*'[7]Set Up'!$N$18 + SUM('[7]Set Up'!$O$15:'[7]Set Up'!$O$17)))))</f>
        <v>0</v>
      </c>
      <c r="BX15" s="30">
        <f>IF(BX11="","",IF(BX11&lt;'[7]Set Up'!$J$15,BX11*'[7]Set Up'!$N$15,IF(BX11&lt;'[7]Set Up'!$J$16,(BX11-'[7]Set Up'!$J$15)*'[7]Set Up'!$N$16+'[7]Set Up'!$O$15,IF(BX11&lt;'[7]Set Up'!$J$17,(BX11-'[7]Set Up'!$J$16)*'[7]Set Up'!$N$17+'[7]Set Up'!$O$15+'[7]Set Up'!$O$16,(BX11-'[7]Set Up'!$J$17)*'[7]Set Up'!$N$18 + SUM('[7]Set Up'!$O$15:'[7]Set Up'!$O$17)))))</f>
        <v>0</v>
      </c>
      <c r="BY15" s="30">
        <f>IF(BY11="","",IF(BY11&lt;'[7]Set Up'!$J$15,BY11*'[7]Set Up'!$N$15,IF(BY11&lt;'[7]Set Up'!$J$16,(BY11-'[7]Set Up'!$J$15)*'[7]Set Up'!$N$16+'[7]Set Up'!$O$15,IF(BY11&lt;'[7]Set Up'!$J$17,(BY11-'[7]Set Up'!$J$16)*'[7]Set Up'!$N$17+'[7]Set Up'!$O$15+'[7]Set Up'!$O$16,(BY11-'[7]Set Up'!$J$17)*'[7]Set Up'!$N$18 + SUM('[7]Set Up'!$O$15:'[7]Set Up'!$O$17)))))</f>
        <v>0</v>
      </c>
      <c r="BZ15" s="8"/>
    </row>
    <row r="16" spans="1:78" ht="15" thickBot="1" x14ac:dyDescent="0.4">
      <c r="A16" s="31"/>
      <c r="B16" s="32"/>
      <c r="C16" s="183" t="s">
        <v>23</v>
      </c>
      <c r="D16" s="184"/>
      <c r="E16" s="184"/>
      <c r="F16" s="184"/>
      <c r="G16" s="184"/>
      <c r="H16" s="184"/>
      <c r="I16" s="185"/>
      <c r="J16" s="32"/>
      <c r="K16" s="32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8"/>
    </row>
    <row r="17" spans="1:78" x14ac:dyDescent="0.35">
      <c r="A17" s="34" t="s">
        <v>24</v>
      </c>
      <c r="B17" s="35" t="s">
        <v>11</v>
      </c>
      <c r="C17" s="36">
        <v>43205</v>
      </c>
      <c r="D17" s="36">
        <v>43206</v>
      </c>
      <c r="E17" s="36">
        <v>43207</v>
      </c>
      <c r="F17" s="36">
        <v>43207</v>
      </c>
      <c r="G17" s="36">
        <v>43207</v>
      </c>
      <c r="H17" s="36">
        <v>43208</v>
      </c>
      <c r="I17" s="36">
        <v>43208</v>
      </c>
      <c r="J17" s="36">
        <v>43208</v>
      </c>
      <c r="K17" s="36">
        <v>43209</v>
      </c>
      <c r="L17" s="36">
        <v>43209</v>
      </c>
      <c r="M17" s="36">
        <v>43209</v>
      </c>
      <c r="N17" s="36">
        <v>43210</v>
      </c>
      <c r="O17" s="36">
        <v>43210</v>
      </c>
      <c r="P17" s="36">
        <v>43210</v>
      </c>
      <c r="Q17" s="36">
        <v>43211</v>
      </c>
      <c r="R17" s="36">
        <v>43211</v>
      </c>
      <c r="S17" s="36">
        <v>43211</v>
      </c>
      <c r="T17" s="36">
        <v>43212</v>
      </c>
      <c r="U17" s="36">
        <v>43212</v>
      </c>
      <c r="V17" s="36">
        <v>43212</v>
      </c>
      <c r="W17" s="36">
        <v>43212</v>
      </c>
      <c r="X17" s="36">
        <v>43212</v>
      </c>
      <c r="Y17" s="36">
        <v>43212</v>
      </c>
      <c r="Z17" s="36">
        <v>43212</v>
      </c>
      <c r="AA17" s="36">
        <v>43212</v>
      </c>
      <c r="AB17" s="36">
        <v>43212</v>
      </c>
      <c r="AC17" s="36">
        <v>43212</v>
      </c>
      <c r="AD17" s="36">
        <v>43212</v>
      </c>
      <c r="AE17" s="36">
        <v>43212</v>
      </c>
      <c r="AF17" s="36">
        <v>43212</v>
      </c>
      <c r="AG17" s="36">
        <v>43212</v>
      </c>
      <c r="AH17" s="36">
        <v>43212</v>
      </c>
      <c r="AI17" s="36">
        <v>43212</v>
      </c>
      <c r="AJ17" s="36">
        <v>43212</v>
      </c>
      <c r="AK17" s="36">
        <v>43212</v>
      </c>
      <c r="AL17" s="36">
        <v>43212</v>
      </c>
      <c r="AM17" s="36">
        <v>43212</v>
      </c>
      <c r="AN17" s="36">
        <v>43212</v>
      </c>
      <c r="AO17" s="36">
        <v>43212</v>
      </c>
      <c r="AP17" s="36">
        <v>43212</v>
      </c>
      <c r="AQ17" s="36">
        <v>43212</v>
      </c>
      <c r="AR17" s="36">
        <v>43212</v>
      </c>
      <c r="AS17" s="36">
        <v>43212</v>
      </c>
      <c r="AT17" s="36">
        <v>43212</v>
      </c>
      <c r="AU17" s="36">
        <v>43212</v>
      </c>
      <c r="AV17" s="36">
        <v>43212</v>
      </c>
      <c r="AW17" s="36">
        <v>43212</v>
      </c>
      <c r="AX17" s="36">
        <v>43212</v>
      </c>
      <c r="AY17" s="36">
        <v>43212</v>
      </c>
      <c r="AZ17" s="36">
        <v>43212</v>
      </c>
      <c r="BA17" s="36">
        <v>43212</v>
      </c>
      <c r="BB17" s="36">
        <v>43212</v>
      </c>
      <c r="BC17" s="36">
        <v>43212</v>
      </c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7"/>
    </row>
    <row r="18" spans="1:78" x14ac:dyDescent="0.35">
      <c r="A18" s="38" t="s">
        <v>25</v>
      </c>
      <c r="B18" s="39">
        <f>IF(C18="","",AVERAGE(C18:BY18))</f>
        <v>4887.5471698113206</v>
      </c>
      <c r="C18" s="40">
        <v>4210</v>
      </c>
      <c r="D18" s="40">
        <v>4780</v>
      </c>
      <c r="E18" s="41">
        <v>4810</v>
      </c>
      <c r="F18" s="41">
        <v>4900</v>
      </c>
      <c r="G18" s="41">
        <v>4860</v>
      </c>
      <c r="H18" s="41">
        <v>4890</v>
      </c>
      <c r="I18" s="41">
        <v>4940</v>
      </c>
      <c r="J18" s="41">
        <v>4980</v>
      </c>
      <c r="K18" s="41">
        <v>4930</v>
      </c>
      <c r="L18" s="41">
        <v>4920</v>
      </c>
      <c r="M18" s="41">
        <v>4920</v>
      </c>
      <c r="N18" s="41">
        <v>4960</v>
      </c>
      <c r="O18" s="41">
        <v>5020</v>
      </c>
      <c r="P18" s="41">
        <v>4950</v>
      </c>
      <c r="Q18" s="41">
        <v>5000</v>
      </c>
      <c r="R18" s="41">
        <v>4940</v>
      </c>
      <c r="S18" s="41">
        <v>4960</v>
      </c>
      <c r="T18" s="41">
        <v>4980</v>
      </c>
      <c r="U18" s="41">
        <v>4980</v>
      </c>
      <c r="V18" s="41">
        <v>4930</v>
      </c>
      <c r="W18" s="41">
        <v>4910</v>
      </c>
      <c r="X18" s="41">
        <v>4970</v>
      </c>
      <c r="Y18" s="41">
        <v>4980</v>
      </c>
      <c r="Z18" s="41">
        <v>4920</v>
      </c>
      <c r="AA18" s="41">
        <v>4960</v>
      </c>
      <c r="AB18" s="41">
        <v>4910</v>
      </c>
      <c r="AC18" s="41">
        <v>4930</v>
      </c>
      <c r="AD18" s="41">
        <v>4850</v>
      </c>
      <c r="AE18" s="41">
        <v>4860</v>
      </c>
      <c r="AF18" s="41">
        <v>4830</v>
      </c>
      <c r="AG18" s="41">
        <v>4870</v>
      </c>
      <c r="AH18" s="41">
        <v>4850</v>
      </c>
      <c r="AI18" s="41">
        <v>4770</v>
      </c>
      <c r="AJ18" s="41">
        <v>4340</v>
      </c>
      <c r="AK18" s="41">
        <v>4890</v>
      </c>
      <c r="AL18" s="41">
        <v>4880</v>
      </c>
      <c r="AM18" s="41">
        <v>4880</v>
      </c>
      <c r="AN18" s="41">
        <v>4900</v>
      </c>
      <c r="AO18" s="41">
        <v>4960</v>
      </c>
      <c r="AP18" s="41">
        <v>4940</v>
      </c>
      <c r="AQ18" s="41">
        <v>4920</v>
      </c>
      <c r="AR18" s="41">
        <v>4910</v>
      </c>
      <c r="AS18" s="41">
        <v>4820</v>
      </c>
      <c r="AT18" s="41">
        <v>4870</v>
      </c>
      <c r="AU18" s="41">
        <v>4940</v>
      </c>
      <c r="AV18" s="41">
        <v>4840</v>
      </c>
      <c r="AW18" s="41">
        <v>4920</v>
      </c>
      <c r="AX18" s="41">
        <v>4920</v>
      </c>
      <c r="AY18" s="41">
        <v>4870</v>
      </c>
      <c r="AZ18" s="41">
        <v>4930</v>
      </c>
      <c r="BA18" s="41">
        <v>4940</v>
      </c>
      <c r="BB18" s="41">
        <v>4950</v>
      </c>
      <c r="BC18" s="41">
        <v>4950</v>
      </c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2"/>
    </row>
    <row r="19" spans="1:78" ht="15" thickBot="1" x14ac:dyDescent="0.4">
      <c r="A19" s="43" t="s">
        <v>26</v>
      </c>
      <c r="B19" s="44">
        <f>IF(C19="","",AVERAGE(C19:BY19))</f>
        <v>6450.9433962264147</v>
      </c>
      <c r="C19" s="45">
        <v>8710</v>
      </c>
      <c r="D19" s="46">
        <v>7570</v>
      </c>
      <c r="E19" s="46">
        <v>8800</v>
      </c>
      <c r="F19" s="46">
        <v>6910</v>
      </c>
      <c r="G19" s="46">
        <v>6420</v>
      </c>
      <c r="H19" s="46">
        <v>6940</v>
      </c>
      <c r="I19" s="46">
        <v>7630</v>
      </c>
      <c r="J19" s="46">
        <v>7220</v>
      </c>
      <c r="K19" s="46">
        <v>8090</v>
      </c>
      <c r="L19" s="46">
        <v>9120</v>
      </c>
      <c r="M19" s="46">
        <v>8380</v>
      </c>
      <c r="N19" s="46">
        <v>7280</v>
      </c>
      <c r="O19" s="46">
        <v>6800</v>
      </c>
      <c r="P19" s="46">
        <v>7180</v>
      </c>
      <c r="Q19" s="46">
        <v>8250</v>
      </c>
      <c r="R19" s="46">
        <v>6160</v>
      </c>
      <c r="S19" s="46">
        <v>5920</v>
      </c>
      <c r="T19" s="46">
        <v>5930</v>
      </c>
      <c r="U19" s="46">
        <v>5860</v>
      </c>
      <c r="V19" s="46">
        <v>6110</v>
      </c>
      <c r="W19" s="46">
        <v>6000</v>
      </c>
      <c r="X19" s="46">
        <v>5900</v>
      </c>
      <c r="Y19" s="46">
        <v>5840</v>
      </c>
      <c r="Z19" s="46">
        <v>5770</v>
      </c>
      <c r="AA19" s="46">
        <v>5840</v>
      </c>
      <c r="AB19" s="46">
        <v>6530</v>
      </c>
      <c r="AC19" s="46">
        <v>6010</v>
      </c>
      <c r="AD19" s="46">
        <v>6430</v>
      </c>
      <c r="AE19" s="46">
        <v>5790</v>
      </c>
      <c r="AF19" s="46">
        <v>5730</v>
      </c>
      <c r="AG19" s="46">
        <v>6090</v>
      </c>
      <c r="AH19" s="46">
        <v>6060</v>
      </c>
      <c r="AI19" s="46">
        <v>5660</v>
      </c>
      <c r="AJ19" s="46">
        <v>5650</v>
      </c>
      <c r="AK19" s="46">
        <v>5690</v>
      </c>
      <c r="AL19" s="46">
        <v>5820</v>
      </c>
      <c r="AM19" s="46">
        <v>5860</v>
      </c>
      <c r="AN19" s="46">
        <v>5760</v>
      </c>
      <c r="AO19" s="46">
        <v>5560</v>
      </c>
      <c r="AP19" s="46">
        <v>5880</v>
      </c>
      <c r="AQ19" s="46">
        <v>6060</v>
      </c>
      <c r="AR19" s="46">
        <v>6760</v>
      </c>
      <c r="AS19" s="46">
        <v>6090</v>
      </c>
      <c r="AT19" s="46">
        <v>6070</v>
      </c>
      <c r="AU19" s="46">
        <v>6110</v>
      </c>
      <c r="AV19" s="46">
        <v>6210</v>
      </c>
      <c r="AW19" s="46">
        <v>5900</v>
      </c>
      <c r="AX19" s="46">
        <v>5690</v>
      </c>
      <c r="AY19" s="46">
        <v>6920</v>
      </c>
      <c r="AZ19" s="46">
        <v>5690</v>
      </c>
      <c r="BA19" s="46">
        <v>5960</v>
      </c>
      <c r="BB19" s="46">
        <v>5630</v>
      </c>
      <c r="BC19" s="46">
        <v>5660</v>
      </c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7"/>
    </row>
    <row r="20" spans="1:78" x14ac:dyDescent="0.35">
      <c r="A20" s="48" t="s">
        <v>27</v>
      </c>
      <c r="B20" s="49"/>
      <c r="C20" s="50">
        <v>0.33958333333333335</v>
      </c>
      <c r="D20" s="51">
        <v>0.25972222222222224</v>
      </c>
      <c r="E20" s="51">
        <v>3.0555555555555555E-2</v>
      </c>
      <c r="F20" s="51">
        <v>0.40277777777777773</v>
      </c>
      <c r="G20" s="51">
        <v>0.71666666666666667</v>
      </c>
      <c r="H20" s="51">
        <v>3.0555555555555555E-2</v>
      </c>
      <c r="I20" s="51">
        <v>0.42083333333333334</v>
      </c>
      <c r="J20" s="51">
        <v>0.72986111111111107</v>
      </c>
      <c r="K20" s="51">
        <v>5.9722222222222225E-2</v>
      </c>
      <c r="L20" s="51">
        <v>0.43888888888888888</v>
      </c>
      <c r="M20" s="51">
        <v>0.87291666666666667</v>
      </c>
      <c r="N20" s="51">
        <v>0.1875</v>
      </c>
      <c r="O20" s="51">
        <v>0.52013888888888882</v>
      </c>
      <c r="P20" s="51">
        <v>0.88958333333333339</v>
      </c>
      <c r="Q20" s="51">
        <v>0.20069444444444443</v>
      </c>
      <c r="R20" s="51">
        <v>0.5229166666666667</v>
      </c>
      <c r="S20" s="51">
        <v>0.80486111111111114</v>
      </c>
      <c r="T20" s="51">
        <v>9.6527777777777768E-2</v>
      </c>
      <c r="U20" s="51">
        <v>0.39999999999999997</v>
      </c>
      <c r="V20" s="51">
        <v>0.68472222222222223</v>
      </c>
      <c r="W20" s="51">
        <v>0.98402777777777783</v>
      </c>
      <c r="X20" s="51">
        <v>0.28819444444444448</v>
      </c>
      <c r="Y20" s="51">
        <v>0.5493055555555556</v>
      </c>
      <c r="Z20" s="51">
        <v>0.85</v>
      </c>
      <c r="AA20" s="51">
        <v>0.125</v>
      </c>
      <c r="AB20" s="51">
        <v>0.40069444444444446</v>
      </c>
      <c r="AC20" s="51">
        <v>0.67499999999999993</v>
      </c>
      <c r="AD20" s="51">
        <v>0.98263888888888884</v>
      </c>
      <c r="AE20" s="51">
        <v>0.27916666666666667</v>
      </c>
      <c r="AF20" s="51">
        <v>0.5395833333333333</v>
      </c>
      <c r="AG20" s="51">
        <v>0.80763888888888891</v>
      </c>
      <c r="AH20" s="51">
        <v>0.12708333333333333</v>
      </c>
      <c r="AI20" s="51">
        <v>0.3972222222222222</v>
      </c>
      <c r="AJ20" s="51">
        <v>0.77430555555555547</v>
      </c>
      <c r="AK20" s="51">
        <v>1.8749999999999999E-2</v>
      </c>
      <c r="AL20" s="51">
        <v>0.28125</v>
      </c>
      <c r="AM20" s="51">
        <v>0.54513888888888895</v>
      </c>
      <c r="AN20" s="51">
        <v>0.82500000000000007</v>
      </c>
      <c r="AO20" s="51">
        <v>7.7083333333333337E-2</v>
      </c>
      <c r="AP20" s="51">
        <v>0.3354166666666667</v>
      </c>
      <c r="AQ20" s="51">
        <v>0.65555555555555556</v>
      </c>
      <c r="AR20" s="51">
        <v>0.90555555555555556</v>
      </c>
      <c r="AS20" s="51">
        <v>0.16666666666666666</v>
      </c>
      <c r="AT20" s="51">
        <v>0.40625</v>
      </c>
      <c r="AU20" s="51">
        <v>0.64444444444444449</v>
      </c>
      <c r="AV20" s="51">
        <v>0.9868055555555556</v>
      </c>
      <c r="AW20" s="51">
        <v>0.22847222222222222</v>
      </c>
      <c r="AX20" s="51">
        <v>0.48749999999999999</v>
      </c>
      <c r="AY20" s="51">
        <v>0.73819444444444438</v>
      </c>
      <c r="AZ20" s="51">
        <v>0.96527777777777779</v>
      </c>
      <c r="BA20" s="51">
        <v>0.19583333333333333</v>
      </c>
      <c r="BB20" s="51">
        <v>0.43124999999999997</v>
      </c>
      <c r="BC20" s="51">
        <v>0.65347222222222223</v>
      </c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52"/>
    </row>
    <row r="21" spans="1:78" x14ac:dyDescent="0.35">
      <c r="A21" s="53" t="s">
        <v>28</v>
      </c>
      <c r="B21" s="54"/>
      <c r="C21" s="55">
        <v>0.77361111111111114</v>
      </c>
      <c r="D21" s="54">
        <v>0.4368055555555555</v>
      </c>
      <c r="E21" s="54">
        <v>0.20902777777777778</v>
      </c>
      <c r="F21" s="54">
        <v>0.54722222222222217</v>
      </c>
      <c r="G21" s="54">
        <v>0.85486111111111107</v>
      </c>
      <c r="H21" s="54">
        <v>0.20902777777777778</v>
      </c>
      <c r="I21" s="54">
        <v>0.57500000000000007</v>
      </c>
      <c r="J21" s="54">
        <v>0.8833333333333333</v>
      </c>
      <c r="K21" s="54">
        <v>0.22291666666666665</v>
      </c>
      <c r="L21" s="54">
        <v>0.59513888888888888</v>
      </c>
      <c r="M21" s="54">
        <v>3.0555555555555555E-2</v>
      </c>
      <c r="N21" s="54">
        <v>0.35625000000000001</v>
      </c>
      <c r="O21" s="54">
        <v>0.67708333333333337</v>
      </c>
      <c r="P21" s="54">
        <v>4.1666666666666664E-2</v>
      </c>
      <c r="Q21" s="54">
        <v>0.35902777777777778</v>
      </c>
      <c r="R21" s="54">
        <v>0.67708333333333337</v>
      </c>
      <c r="S21" s="54">
        <v>0.9458333333333333</v>
      </c>
      <c r="T21" s="54">
        <v>0.23750000000000002</v>
      </c>
      <c r="U21" s="54">
        <v>0.54305555555555551</v>
      </c>
      <c r="V21" s="54">
        <v>0.83194444444444438</v>
      </c>
      <c r="W21" s="54">
        <v>0.12916666666666668</v>
      </c>
      <c r="X21" s="54">
        <v>0.42569444444444443</v>
      </c>
      <c r="Y21" s="54">
        <v>0.71597222222222223</v>
      </c>
      <c r="Z21" s="54">
        <v>0.98472222222222217</v>
      </c>
      <c r="AA21" s="54">
        <v>0.25625000000000003</v>
      </c>
      <c r="AB21" s="54">
        <v>0.54236111111111118</v>
      </c>
      <c r="AC21" s="54">
        <v>0.8208333333333333</v>
      </c>
      <c r="AD21" s="54">
        <v>0.11666666666666665</v>
      </c>
      <c r="AE21" s="54">
        <v>0.41388888888888892</v>
      </c>
      <c r="AF21" s="54">
        <v>0.67222222222222217</v>
      </c>
      <c r="AG21" s="54">
        <v>0.94444444444444453</v>
      </c>
      <c r="AH21" s="54">
        <v>0.26180555555555557</v>
      </c>
      <c r="AI21" s="54">
        <v>0.52777777777777779</v>
      </c>
      <c r="AJ21" s="54">
        <v>0.90486111111111101</v>
      </c>
      <c r="AK21" s="54">
        <v>0.15694444444444444</v>
      </c>
      <c r="AL21" s="54">
        <v>0.41180555555555554</v>
      </c>
      <c r="AM21" s="54">
        <v>0.67708333333333337</v>
      </c>
      <c r="AN21" s="54">
        <v>0.96319444444444446</v>
      </c>
      <c r="AO21" s="54">
        <v>0.20902777777777778</v>
      </c>
      <c r="AP21" s="54">
        <v>0.46527777777777773</v>
      </c>
      <c r="AQ21" s="54">
        <v>0.78541666666666676</v>
      </c>
      <c r="AR21" s="54">
        <v>3.888888888888889E-2</v>
      </c>
      <c r="AS21" s="54">
        <v>0.29652777777777778</v>
      </c>
      <c r="AT21" s="54">
        <v>0.53611111111111109</v>
      </c>
      <c r="AU21" s="54">
        <v>0.87083333333333324</v>
      </c>
      <c r="AV21" s="54">
        <v>0.11805555555555557</v>
      </c>
      <c r="AW21" s="54">
        <v>0.3576388888888889</v>
      </c>
      <c r="AX21" s="54">
        <v>0.61875000000000002</v>
      </c>
      <c r="AY21" s="54">
        <v>0.95138888888888884</v>
      </c>
      <c r="AZ21" s="54">
        <v>9.4444444444444442E-2</v>
      </c>
      <c r="BA21" s="54">
        <v>0.32500000000000001</v>
      </c>
      <c r="BB21" s="54">
        <v>0.55763888888888891</v>
      </c>
      <c r="BC21" s="54">
        <v>0.77500000000000002</v>
      </c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2"/>
    </row>
    <row r="22" spans="1:78" ht="15" thickBot="1" x14ac:dyDescent="0.4">
      <c r="A22" s="56" t="s">
        <v>29</v>
      </c>
      <c r="B22" s="57">
        <f t="shared" ref="B22:B31" si="0">IF(C22="","",AVERAGE(C22:BY22))</f>
        <v>0.15086477987421382</v>
      </c>
      <c r="C22" s="58">
        <v>0.43402777777777779</v>
      </c>
      <c r="D22" s="59">
        <v>0.17708333333333326</v>
      </c>
      <c r="E22" s="59">
        <v>0.17847222222222223</v>
      </c>
      <c r="F22" s="59">
        <v>0.14444444444444443</v>
      </c>
      <c r="G22" s="59">
        <v>0.1381944444444444</v>
      </c>
      <c r="H22" s="59">
        <v>0.17847222222222223</v>
      </c>
      <c r="I22" s="59">
        <v>0.15416666666666673</v>
      </c>
      <c r="J22" s="59">
        <v>0.15347222222222223</v>
      </c>
      <c r="K22" s="59">
        <v>0.16319444444444442</v>
      </c>
      <c r="L22" s="59">
        <v>0.15625</v>
      </c>
      <c r="M22" s="59">
        <v>0.15763888888888888</v>
      </c>
      <c r="N22" s="59">
        <v>0.16875000000000001</v>
      </c>
      <c r="O22" s="59">
        <v>0.15694444444444455</v>
      </c>
      <c r="P22" s="59">
        <v>0.15208333333333324</v>
      </c>
      <c r="Q22" s="59">
        <v>0.15833333333333335</v>
      </c>
      <c r="R22" s="59">
        <v>0.15416666666666667</v>
      </c>
      <c r="S22" s="59">
        <v>0.14097222222222217</v>
      </c>
      <c r="T22" s="59">
        <v>0.14097222222222225</v>
      </c>
      <c r="U22" s="59">
        <v>0.14305555555555555</v>
      </c>
      <c r="V22" s="59">
        <v>0.14722222222222214</v>
      </c>
      <c r="W22" s="59">
        <v>0.14513888888888882</v>
      </c>
      <c r="X22" s="59">
        <v>0.13749999999999996</v>
      </c>
      <c r="Y22" s="59">
        <v>0.16666666666666663</v>
      </c>
      <c r="Z22" s="59">
        <v>0.13472222222222219</v>
      </c>
      <c r="AA22" s="59">
        <v>0.13125000000000003</v>
      </c>
      <c r="AB22" s="59">
        <v>0.14166666666666672</v>
      </c>
      <c r="AC22" s="59">
        <v>0.14583333333333337</v>
      </c>
      <c r="AD22" s="59">
        <v>0.13402777777777786</v>
      </c>
      <c r="AE22" s="59">
        <v>0.13472222222222224</v>
      </c>
      <c r="AF22" s="59">
        <v>0.13263888888888886</v>
      </c>
      <c r="AG22" s="59">
        <v>0.13680555555555562</v>
      </c>
      <c r="AH22" s="59">
        <v>0.13472222222222224</v>
      </c>
      <c r="AI22" s="59">
        <v>0.13055555555555559</v>
      </c>
      <c r="AJ22" s="59">
        <v>0.13055555555555554</v>
      </c>
      <c r="AK22" s="59">
        <v>0.13819444444444445</v>
      </c>
      <c r="AL22" s="59">
        <v>0.13055555555555554</v>
      </c>
      <c r="AM22" s="59">
        <v>0.13194444444444442</v>
      </c>
      <c r="AN22" s="59">
        <v>0.1381944444444444</v>
      </c>
      <c r="AO22" s="59">
        <v>0.13194444444444445</v>
      </c>
      <c r="AP22" s="59">
        <v>0.12986111111111104</v>
      </c>
      <c r="AQ22" s="59">
        <v>0.1298611111111112</v>
      </c>
      <c r="AR22" s="59">
        <v>0.1333333333333333</v>
      </c>
      <c r="AS22" s="59">
        <v>0.12986111111111112</v>
      </c>
      <c r="AT22" s="59">
        <v>0.12986111111111109</v>
      </c>
      <c r="AU22" s="59">
        <v>0.22638888888888875</v>
      </c>
      <c r="AV22" s="59">
        <v>0.13124999999999998</v>
      </c>
      <c r="AW22" s="59">
        <v>0.12916666666666668</v>
      </c>
      <c r="AX22" s="59">
        <v>0.13125000000000003</v>
      </c>
      <c r="AY22" s="59">
        <v>0.21319444444444446</v>
      </c>
      <c r="AZ22" s="59">
        <v>0.12916666666666665</v>
      </c>
      <c r="BA22" s="59">
        <v>0.12916666666666668</v>
      </c>
      <c r="BB22" s="59">
        <v>0.12638888888888894</v>
      </c>
      <c r="BC22" s="59">
        <v>0.12152777777777779</v>
      </c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2"/>
    </row>
    <row r="23" spans="1:78" x14ac:dyDescent="0.35">
      <c r="A23" s="60" t="s">
        <v>30</v>
      </c>
      <c r="B23" s="61">
        <f t="shared" si="0"/>
        <v>65.714339622641518</v>
      </c>
      <c r="C23" s="62">
        <v>52</v>
      </c>
      <c r="D23" s="63">
        <v>58.7</v>
      </c>
      <c r="E23" s="63">
        <v>52.9</v>
      </c>
      <c r="F23" s="63">
        <v>69.8</v>
      </c>
      <c r="G23" s="63">
        <v>69.400000000000006</v>
      </c>
      <c r="H23" s="63">
        <v>69.099999999999994</v>
      </c>
      <c r="I23" s="63">
        <v>59.2</v>
      </c>
      <c r="J23" s="63">
        <v>59.2</v>
      </c>
      <c r="K23" s="63">
        <v>55.9</v>
      </c>
      <c r="L23" s="63">
        <v>58</v>
      </c>
      <c r="M23" s="63">
        <v>60.1</v>
      </c>
      <c r="N23" s="63">
        <v>54.6</v>
      </c>
      <c r="O23" s="63">
        <v>59.6</v>
      </c>
      <c r="P23" s="63">
        <v>61.6</v>
      </c>
      <c r="Q23" s="63">
        <v>59.5</v>
      </c>
      <c r="R23" s="63">
        <v>59.8</v>
      </c>
      <c r="S23" s="63">
        <v>64.8</v>
      </c>
      <c r="T23" s="63">
        <v>64.099999999999994</v>
      </c>
      <c r="U23" s="63">
        <v>63</v>
      </c>
      <c r="V23" s="63">
        <v>63.19</v>
      </c>
      <c r="W23" s="63">
        <v>65.2</v>
      </c>
      <c r="X23" s="63">
        <v>65.900000000000006</v>
      </c>
      <c r="Y23" s="63">
        <v>58.2</v>
      </c>
      <c r="Z23" s="63">
        <v>68.25</v>
      </c>
      <c r="AA23" s="63">
        <v>67.900000000000006</v>
      </c>
      <c r="AB23" s="63">
        <v>65.599999999999994</v>
      </c>
      <c r="AC23" s="63">
        <v>65.02</v>
      </c>
      <c r="AD23" s="63">
        <v>69.680000000000007</v>
      </c>
      <c r="AE23" s="63">
        <v>68.900000000000006</v>
      </c>
      <c r="AF23" s="63">
        <v>69.400000000000006</v>
      </c>
      <c r="AG23" s="63">
        <v>66.319999999999993</v>
      </c>
      <c r="AH23" s="63">
        <v>67.7</v>
      </c>
      <c r="AI23" s="63">
        <v>70.099999999999994</v>
      </c>
      <c r="AJ23" s="63">
        <v>70.290000000000006</v>
      </c>
      <c r="AK23" s="63">
        <v>69.7</v>
      </c>
      <c r="AL23" s="63">
        <v>69.8</v>
      </c>
      <c r="AM23" s="63">
        <v>69.599999999999994</v>
      </c>
      <c r="AN23" s="63">
        <v>68.7</v>
      </c>
      <c r="AO23" s="63">
        <v>69.7</v>
      </c>
      <c r="AP23" s="63">
        <v>70.099999999999994</v>
      </c>
      <c r="AQ23" s="63">
        <v>69.8</v>
      </c>
      <c r="AR23" s="63">
        <v>69.260000000000005</v>
      </c>
      <c r="AS23" s="63">
        <v>70</v>
      </c>
      <c r="AT23" s="63">
        <v>69.900000000000006</v>
      </c>
      <c r="AU23" s="63">
        <v>69.900000000000006</v>
      </c>
      <c r="AV23" s="63">
        <v>69.89</v>
      </c>
      <c r="AW23" s="63">
        <v>70.3</v>
      </c>
      <c r="AX23" s="63">
        <v>68.7</v>
      </c>
      <c r="AY23" s="63">
        <v>70.430000000000007</v>
      </c>
      <c r="AZ23" s="63">
        <v>70.430000000000007</v>
      </c>
      <c r="BA23" s="63">
        <v>70</v>
      </c>
      <c r="BB23" s="63">
        <v>71.8</v>
      </c>
      <c r="BC23" s="63">
        <v>71.900000000000006</v>
      </c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4"/>
    </row>
    <row r="24" spans="1:78" x14ac:dyDescent="0.35">
      <c r="A24" s="65" t="s">
        <v>31</v>
      </c>
      <c r="B24" s="66">
        <f t="shared" si="0"/>
        <v>8396.2358490566039</v>
      </c>
      <c r="C24" s="67">
        <v>8014.5</v>
      </c>
      <c r="D24" s="68">
        <v>8084</v>
      </c>
      <c r="E24" s="68">
        <v>8358</v>
      </c>
      <c r="F24" s="68">
        <v>8580</v>
      </c>
      <c r="G24" s="68">
        <v>8516</v>
      </c>
      <c r="H24" s="68">
        <v>8555</v>
      </c>
      <c r="I24" s="68">
        <v>8479</v>
      </c>
      <c r="J24" s="68">
        <v>8549</v>
      </c>
      <c r="K24" s="68">
        <v>8570</v>
      </c>
      <c r="L24" s="68">
        <v>8569</v>
      </c>
      <c r="M24" s="68">
        <v>8563</v>
      </c>
      <c r="N24" s="68">
        <v>8250</v>
      </c>
      <c r="O24" s="68">
        <v>8526</v>
      </c>
      <c r="P24" s="68">
        <v>8562</v>
      </c>
      <c r="Q24" s="68">
        <v>8497</v>
      </c>
      <c r="R24" s="68">
        <v>8530</v>
      </c>
      <c r="S24" s="68">
        <v>8574</v>
      </c>
      <c r="T24" s="68">
        <v>8553</v>
      </c>
      <c r="U24" s="68">
        <v>8563</v>
      </c>
      <c r="V24" s="68">
        <v>8572</v>
      </c>
      <c r="W24" s="68">
        <v>8527</v>
      </c>
      <c r="X24" s="68">
        <v>8525</v>
      </c>
      <c r="Y24" s="68">
        <v>8502</v>
      </c>
      <c r="Z24" s="68">
        <v>8508</v>
      </c>
      <c r="AA24" s="68">
        <v>8568</v>
      </c>
      <c r="AB24" s="68">
        <v>8572</v>
      </c>
      <c r="AC24" s="68">
        <v>8466</v>
      </c>
      <c r="AD24" s="68">
        <v>8548</v>
      </c>
      <c r="AE24" s="68">
        <v>8512</v>
      </c>
      <c r="AF24" s="68">
        <v>8492</v>
      </c>
      <c r="AG24" s="68">
        <v>8506</v>
      </c>
      <c r="AH24" s="68">
        <v>8395</v>
      </c>
      <c r="AI24" s="68">
        <v>8221</v>
      </c>
      <c r="AJ24" s="68">
        <v>8380</v>
      </c>
      <c r="AK24" s="68">
        <v>8301</v>
      </c>
      <c r="AL24" s="68">
        <v>8206</v>
      </c>
      <c r="AM24" s="68">
        <v>8418</v>
      </c>
      <c r="AN24" s="68">
        <v>8401</v>
      </c>
      <c r="AO24" s="68">
        <v>8404</v>
      </c>
      <c r="AP24" s="68">
        <v>8327</v>
      </c>
      <c r="AQ24" s="68">
        <v>8384</v>
      </c>
      <c r="AR24" s="68">
        <v>8315</v>
      </c>
      <c r="AS24" s="68">
        <v>8358</v>
      </c>
      <c r="AT24" s="68">
        <v>8331</v>
      </c>
      <c r="AU24" s="68">
        <v>8126</v>
      </c>
      <c r="AV24" s="68">
        <v>8387</v>
      </c>
      <c r="AW24" s="68">
        <v>8161</v>
      </c>
      <c r="AX24" s="68">
        <v>8196</v>
      </c>
      <c r="AY24" s="68">
        <v>8175</v>
      </c>
      <c r="AZ24" s="68">
        <v>8126</v>
      </c>
      <c r="BA24" s="68">
        <v>8081</v>
      </c>
      <c r="BB24" s="68">
        <v>8170</v>
      </c>
      <c r="BC24" s="68">
        <v>7947</v>
      </c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8"/>
      <c r="BY24" s="68"/>
      <c r="BZ24" s="69"/>
    </row>
    <row r="25" spans="1:78" x14ac:dyDescent="0.35">
      <c r="A25" s="70" t="s">
        <v>32</v>
      </c>
      <c r="B25" s="71">
        <f t="shared" si="0"/>
        <v>68.541886792452843</v>
      </c>
      <c r="C25" s="72">
        <v>62.3</v>
      </c>
      <c r="D25" s="73">
        <v>63.5</v>
      </c>
      <c r="E25" s="73">
        <v>65.400000000000006</v>
      </c>
      <c r="F25" s="73">
        <v>71</v>
      </c>
      <c r="G25" s="73">
        <v>71</v>
      </c>
      <c r="H25" s="73">
        <v>71.099999999999994</v>
      </c>
      <c r="I25" s="73">
        <v>70.400000000000006</v>
      </c>
      <c r="J25" s="73">
        <v>63.2</v>
      </c>
      <c r="K25" s="73">
        <v>59.8</v>
      </c>
      <c r="L25" s="73">
        <v>61.8</v>
      </c>
      <c r="M25" s="73">
        <v>63.6</v>
      </c>
      <c r="N25" s="73">
        <v>58.4</v>
      </c>
      <c r="O25" s="73">
        <v>61.2</v>
      </c>
      <c r="P25" s="73">
        <v>64</v>
      </c>
      <c r="Q25" s="73">
        <v>62.8</v>
      </c>
      <c r="R25" s="73">
        <v>63.7</v>
      </c>
      <c r="S25" s="73">
        <v>67.8</v>
      </c>
      <c r="T25" s="73">
        <v>66.3</v>
      </c>
      <c r="U25" s="73">
        <v>64.400000000000006</v>
      </c>
      <c r="V25" s="73">
        <v>66.3</v>
      </c>
      <c r="W25" s="73">
        <v>68.290000000000006</v>
      </c>
      <c r="X25" s="73">
        <v>70.599999999999994</v>
      </c>
      <c r="Y25" s="73">
        <v>63.1</v>
      </c>
      <c r="Z25" s="73">
        <v>71.89</v>
      </c>
      <c r="AA25" s="73">
        <v>70.3</v>
      </c>
      <c r="AB25" s="73">
        <v>70.099999999999994</v>
      </c>
      <c r="AC25" s="73">
        <v>68.349999999999994</v>
      </c>
      <c r="AD25" s="73">
        <v>71.14</v>
      </c>
      <c r="AE25" s="73">
        <v>70.7</v>
      </c>
      <c r="AF25" s="73">
        <v>70.599999999999994</v>
      </c>
      <c r="AG25" s="73">
        <v>70.37</v>
      </c>
      <c r="AH25" s="73">
        <v>70.8</v>
      </c>
      <c r="AI25" s="73">
        <v>71.3</v>
      </c>
      <c r="AJ25" s="73">
        <v>71.209999999999994</v>
      </c>
      <c r="AK25" s="73">
        <v>70.53</v>
      </c>
      <c r="AL25" s="73">
        <v>71.400000000000006</v>
      </c>
      <c r="AM25" s="73">
        <v>71</v>
      </c>
      <c r="AN25" s="73">
        <v>71.400000000000006</v>
      </c>
      <c r="AO25" s="73">
        <v>70.5</v>
      </c>
      <c r="AP25" s="73">
        <v>71.3</v>
      </c>
      <c r="AQ25" s="73">
        <v>70.900000000000006</v>
      </c>
      <c r="AR25" s="73">
        <v>70.97</v>
      </c>
      <c r="AS25" s="73">
        <v>71.3</v>
      </c>
      <c r="AT25" s="73">
        <v>70.5</v>
      </c>
      <c r="AU25" s="73">
        <v>70.73</v>
      </c>
      <c r="AV25" s="73">
        <v>71.25</v>
      </c>
      <c r="AW25" s="73">
        <v>71</v>
      </c>
      <c r="AX25" s="73">
        <v>70.599999999999994</v>
      </c>
      <c r="AY25" s="73">
        <v>71.36</v>
      </c>
      <c r="AZ25" s="73">
        <v>71.23</v>
      </c>
      <c r="BA25" s="73">
        <v>71.099999999999994</v>
      </c>
      <c r="BB25" s="73">
        <v>75.5</v>
      </c>
      <c r="BC25" s="73">
        <v>73.400000000000006</v>
      </c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64"/>
    </row>
    <row r="26" spans="1:78" ht="15" thickBot="1" x14ac:dyDescent="0.4">
      <c r="A26" s="74" t="s">
        <v>33</v>
      </c>
      <c r="B26" s="75">
        <f t="shared" si="0"/>
        <v>8719.5283018867922</v>
      </c>
      <c r="C26" s="76">
        <v>8950</v>
      </c>
      <c r="D26" s="77">
        <v>8750</v>
      </c>
      <c r="E26" s="77">
        <v>8800</v>
      </c>
      <c r="F26" s="77">
        <v>8770</v>
      </c>
      <c r="G26" s="77">
        <v>8700</v>
      </c>
      <c r="H26" s="77">
        <v>8850</v>
      </c>
      <c r="I26" s="77">
        <v>8740</v>
      </c>
      <c r="J26" s="77">
        <v>8700</v>
      </c>
      <c r="K26" s="77">
        <v>8720</v>
      </c>
      <c r="L26" s="77">
        <v>9120</v>
      </c>
      <c r="M26" s="77">
        <v>8880</v>
      </c>
      <c r="N26" s="77">
        <v>8790</v>
      </c>
      <c r="O26" s="77">
        <v>8700</v>
      </c>
      <c r="P26" s="77">
        <v>8745</v>
      </c>
      <c r="Q26" s="77">
        <v>8750</v>
      </c>
      <c r="R26" s="77">
        <v>8700</v>
      </c>
      <c r="S26" s="77">
        <v>8750</v>
      </c>
      <c r="T26" s="77">
        <v>8770</v>
      </c>
      <c r="U26" s="77">
        <v>8780</v>
      </c>
      <c r="V26" s="77">
        <v>8770</v>
      </c>
      <c r="W26" s="77">
        <v>8710</v>
      </c>
      <c r="X26" s="77">
        <v>8680</v>
      </c>
      <c r="Y26" s="77">
        <v>8680</v>
      </c>
      <c r="Z26" s="77">
        <v>8780</v>
      </c>
      <c r="AA26" s="77">
        <v>8710</v>
      </c>
      <c r="AB26" s="77">
        <v>8730</v>
      </c>
      <c r="AC26" s="77">
        <v>8980</v>
      </c>
      <c r="AD26" s="77">
        <v>8670</v>
      </c>
      <c r="AE26" s="77">
        <v>8650</v>
      </c>
      <c r="AF26" s="77">
        <v>8760</v>
      </c>
      <c r="AG26" s="77">
        <v>8720</v>
      </c>
      <c r="AH26" s="77">
        <v>8760</v>
      </c>
      <c r="AI26" s="77">
        <v>8720</v>
      </c>
      <c r="AJ26" s="77">
        <v>8530</v>
      </c>
      <c r="AK26" s="77">
        <v>8610</v>
      </c>
      <c r="AL26" s="77">
        <v>8670</v>
      </c>
      <c r="AM26" s="77">
        <v>8700</v>
      </c>
      <c r="AN26" s="77">
        <v>8740</v>
      </c>
      <c r="AO26" s="77">
        <v>8720</v>
      </c>
      <c r="AP26" s="77">
        <v>8550</v>
      </c>
      <c r="AQ26" s="77">
        <v>8750</v>
      </c>
      <c r="AR26" s="77">
        <v>8620</v>
      </c>
      <c r="AS26" s="77">
        <v>8610</v>
      </c>
      <c r="AT26" s="77">
        <v>8590</v>
      </c>
      <c r="AU26" s="77">
        <v>8590</v>
      </c>
      <c r="AV26" s="77">
        <v>8770</v>
      </c>
      <c r="AW26" s="77">
        <v>8660</v>
      </c>
      <c r="AX26" s="77">
        <v>8680</v>
      </c>
      <c r="AY26" s="77">
        <v>8670</v>
      </c>
      <c r="AZ26" s="77">
        <v>8700</v>
      </c>
      <c r="BA26" s="77">
        <v>8640</v>
      </c>
      <c r="BB26" s="77">
        <v>8510</v>
      </c>
      <c r="BC26" s="77">
        <v>8540</v>
      </c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77"/>
      <c r="BX26" s="77"/>
      <c r="BY26" s="77"/>
      <c r="BZ26" s="64"/>
    </row>
    <row r="27" spans="1:78" x14ac:dyDescent="0.35">
      <c r="A27" s="78" t="s">
        <v>34</v>
      </c>
      <c r="B27" s="79">
        <f t="shared" si="0"/>
        <v>5238.2075471698117</v>
      </c>
      <c r="C27" s="80">
        <v>5200</v>
      </c>
      <c r="D27" s="81">
        <v>5074</v>
      </c>
      <c r="E27" s="81">
        <v>5100</v>
      </c>
      <c r="F27" s="81">
        <v>5199</v>
      </c>
      <c r="G27" s="81">
        <v>5170</v>
      </c>
      <c r="H27" s="81">
        <v>5172</v>
      </c>
      <c r="I27" s="81">
        <v>5220</v>
      </c>
      <c r="J27" s="81">
        <v>5300</v>
      </c>
      <c r="K27" s="81">
        <v>5140</v>
      </c>
      <c r="L27" s="81">
        <v>5280</v>
      </c>
      <c r="M27" s="81">
        <v>5310</v>
      </c>
      <c r="N27" s="81">
        <v>5210</v>
      </c>
      <c r="O27" s="81">
        <v>5290</v>
      </c>
      <c r="P27" s="81">
        <v>5270</v>
      </c>
      <c r="Q27" s="81">
        <v>5302</v>
      </c>
      <c r="R27" s="81">
        <v>5320</v>
      </c>
      <c r="S27" s="81">
        <v>5370</v>
      </c>
      <c r="T27" s="81">
        <v>5318</v>
      </c>
      <c r="U27" s="81">
        <v>5332</v>
      </c>
      <c r="V27" s="81">
        <v>5280</v>
      </c>
      <c r="W27" s="81">
        <v>5180</v>
      </c>
      <c r="X27" s="81">
        <v>5224</v>
      </c>
      <c r="Y27" s="81">
        <v>5120</v>
      </c>
      <c r="Z27" s="81">
        <v>5180</v>
      </c>
      <c r="AA27" s="81">
        <v>5235</v>
      </c>
      <c r="AB27" s="81">
        <v>5346</v>
      </c>
      <c r="AC27" s="81">
        <v>5180</v>
      </c>
      <c r="AD27" s="81">
        <v>5140</v>
      </c>
      <c r="AE27" s="81">
        <v>5175</v>
      </c>
      <c r="AF27" s="81">
        <v>5262</v>
      </c>
      <c r="AG27" s="81">
        <v>5180</v>
      </c>
      <c r="AH27" s="81">
        <v>5229</v>
      </c>
      <c r="AI27" s="81">
        <v>5163</v>
      </c>
      <c r="AJ27" s="81">
        <v>5130</v>
      </c>
      <c r="AK27" s="81">
        <v>5110</v>
      </c>
      <c r="AL27" s="81">
        <v>5222</v>
      </c>
      <c r="AM27" s="81">
        <v>5347</v>
      </c>
      <c r="AN27" s="81">
        <v>5260</v>
      </c>
      <c r="AO27" s="81">
        <v>5290</v>
      </c>
      <c r="AP27" s="81">
        <v>5217</v>
      </c>
      <c r="AQ27" s="81">
        <v>5280</v>
      </c>
      <c r="AR27" s="81">
        <v>5220</v>
      </c>
      <c r="AS27" s="81">
        <v>5319</v>
      </c>
      <c r="AT27" s="81">
        <v>5231</v>
      </c>
      <c r="AU27" s="81">
        <v>5260</v>
      </c>
      <c r="AV27" s="81">
        <v>5160</v>
      </c>
      <c r="AW27" s="81">
        <v>5259</v>
      </c>
      <c r="AX27" s="81">
        <v>5278</v>
      </c>
      <c r="AY27" s="81">
        <v>5220</v>
      </c>
      <c r="AZ27" s="81">
        <v>5270</v>
      </c>
      <c r="BA27" s="81">
        <v>5337</v>
      </c>
      <c r="BB27" s="81">
        <v>5350</v>
      </c>
      <c r="BC27" s="81">
        <v>5394</v>
      </c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64"/>
    </row>
    <row r="28" spans="1:78" x14ac:dyDescent="0.35">
      <c r="A28" s="82" t="s">
        <v>35</v>
      </c>
      <c r="B28" s="83">
        <f t="shared" si="0"/>
        <v>0.87083765605705699</v>
      </c>
      <c r="C28" s="84">
        <v>0.87066698776239937</v>
      </c>
      <c r="D28" s="84">
        <v>0.86003351109166781</v>
      </c>
      <c r="E28" s="84">
        <v>0.86199720100398569</v>
      </c>
      <c r="F28" s="84">
        <v>0.86993974353524317</v>
      </c>
      <c r="G28" s="84">
        <v>0.86709143341446848</v>
      </c>
      <c r="H28" s="84">
        <v>0.86684069788022611</v>
      </c>
      <c r="I28" s="84">
        <v>0.87066748138661643</v>
      </c>
      <c r="J28" s="84">
        <v>0.87718279243400388</v>
      </c>
      <c r="K28" s="84">
        <v>0.86365207308162606</v>
      </c>
      <c r="L28" s="84">
        <v>0.87508885995178942</v>
      </c>
      <c r="M28" s="84">
        <v>0.87764818867180638</v>
      </c>
      <c r="N28" s="84">
        <v>0.8693066032438993</v>
      </c>
      <c r="O28" s="84">
        <v>0.87587767660537785</v>
      </c>
      <c r="P28" s="84">
        <v>0.87407473200696084</v>
      </c>
      <c r="Q28" s="84">
        <v>0.87650349882599854</v>
      </c>
      <c r="R28" s="84">
        <v>0.87784501967233663</v>
      </c>
      <c r="S28" s="84">
        <v>0.88190061820035426</v>
      </c>
      <c r="T28" s="84">
        <v>0.87734368968469412</v>
      </c>
      <c r="U28" s="84">
        <v>0.87847956035378427</v>
      </c>
      <c r="V28" s="84">
        <v>0.87413291717960495</v>
      </c>
      <c r="W28" s="84">
        <v>0.86555363079350234</v>
      </c>
      <c r="X28" s="84">
        <v>0.86913549852115202</v>
      </c>
      <c r="Y28" s="84">
        <v>0.86041324111069384</v>
      </c>
      <c r="Z28" s="84">
        <v>0.86533717739158023</v>
      </c>
      <c r="AA28" s="84">
        <v>0.8699222967561886</v>
      </c>
      <c r="AB28" s="84">
        <v>0.87917945708326384</v>
      </c>
      <c r="AC28" s="84">
        <v>0.86532636040997479</v>
      </c>
      <c r="AD28" s="84">
        <v>0.86198558378969148</v>
      </c>
      <c r="AE28" s="84">
        <v>0.86489840454515132</v>
      </c>
      <c r="AF28" s="84">
        <v>0.87215296810161436</v>
      </c>
      <c r="AG28" s="84">
        <v>0.86530833331053003</v>
      </c>
      <c r="AH28" s="84">
        <v>0.86939259212043352</v>
      </c>
      <c r="AI28" s="84">
        <v>0.86388289617579328</v>
      </c>
      <c r="AJ28" s="84">
        <v>0.8611227272628682</v>
      </c>
      <c r="AK28" s="84">
        <v>0.85945425308250611</v>
      </c>
      <c r="AL28" s="84">
        <v>0.86878680598883817</v>
      </c>
      <c r="AM28" s="84">
        <v>0.87911778189059131</v>
      </c>
      <c r="AN28" s="84">
        <v>0.87189460754858616</v>
      </c>
      <c r="AO28" s="84">
        <v>0.87457362913002112</v>
      </c>
      <c r="AP28" s="84">
        <v>0.86856220465698541</v>
      </c>
      <c r="AQ28" s="84">
        <v>0.87384583683156258</v>
      </c>
      <c r="AR28" s="84">
        <v>0.86881985214074675</v>
      </c>
      <c r="AS28" s="84">
        <v>0.87700088905206941</v>
      </c>
      <c r="AT28" s="84">
        <v>0.869592212516478</v>
      </c>
      <c r="AU28" s="84">
        <v>0.87205934615127856</v>
      </c>
      <c r="AV28" s="84">
        <v>0.86371882764593966</v>
      </c>
      <c r="AW28" s="84">
        <v>0.87192831023210815</v>
      </c>
      <c r="AX28" s="84">
        <v>0.87345474375928056</v>
      </c>
      <c r="AY28" s="84">
        <v>0.86860180007841303</v>
      </c>
      <c r="AZ28" s="84">
        <v>0.87275803895664072</v>
      </c>
      <c r="BA28" s="84">
        <v>0.8782466247062356</v>
      </c>
      <c r="BB28" s="84">
        <v>0.87923033799359651</v>
      </c>
      <c r="BC28" s="84">
        <v>0.88286521530284723</v>
      </c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  <c r="BS28" s="84"/>
      <c r="BT28" s="84"/>
      <c r="BU28" s="84"/>
      <c r="BV28" s="84"/>
      <c r="BW28" s="84"/>
      <c r="BX28" s="84"/>
      <c r="BY28" s="84"/>
      <c r="BZ28" s="64"/>
    </row>
    <row r="29" spans="1:78" x14ac:dyDescent="0.35">
      <c r="A29" s="85" t="s">
        <v>36</v>
      </c>
      <c r="B29" s="86">
        <f t="shared" si="0"/>
        <v>55</v>
      </c>
      <c r="C29" s="87">
        <v>55</v>
      </c>
      <c r="D29" s="88">
        <v>55</v>
      </c>
      <c r="E29" s="88">
        <v>55</v>
      </c>
      <c r="F29" s="88">
        <v>55</v>
      </c>
      <c r="G29" s="88">
        <v>55</v>
      </c>
      <c r="H29" s="88">
        <v>55</v>
      </c>
      <c r="I29" s="88">
        <v>55</v>
      </c>
      <c r="J29" s="88">
        <v>55</v>
      </c>
      <c r="K29" s="88">
        <v>55</v>
      </c>
      <c r="L29" s="88">
        <v>55</v>
      </c>
      <c r="M29" s="88">
        <v>55</v>
      </c>
      <c r="N29" s="88">
        <v>55</v>
      </c>
      <c r="O29" s="88">
        <v>55</v>
      </c>
      <c r="P29" s="88">
        <v>55</v>
      </c>
      <c r="Q29" s="88">
        <v>55</v>
      </c>
      <c r="R29" s="88">
        <v>55</v>
      </c>
      <c r="S29" s="88">
        <v>55</v>
      </c>
      <c r="T29" s="88">
        <v>55</v>
      </c>
      <c r="U29" s="88">
        <v>55</v>
      </c>
      <c r="V29" s="88">
        <v>55</v>
      </c>
      <c r="W29" s="88">
        <v>55</v>
      </c>
      <c r="X29" s="88">
        <v>55</v>
      </c>
      <c r="Y29" s="88">
        <v>55</v>
      </c>
      <c r="Z29" s="88">
        <v>55</v>
      </c>
      <c r="AA29" s="88">
        <v>55</v>
      </c>
      <c r="AB29" s="88">
        <v>55</v>
      </c>
      <c r="AC29" s="88">
        <v>55</v>
      </c>
      <c r="AD29" s="88">
        <v>55</v>
      </c>
      <c r="AE29" s="88">
        <v>55</v>
      </c>
      <c r="AF29" s="88">
        <v>55</v>
      </c>
      <c r="AG29" s="88">
        <v>55</v>
      </c>
      <c r="AH29" s="88">
        <v>55</v>
      </c>
      <c r="AI29" s="88">
        <v>55</v>
      </c>
      <c r="AJ29" s="88">
        <v>55</v>
      </c>
      <c r="AK29" s="88">
        <v>55</v>
      </c>
      <c r="AL29" s="88">
        <v>55</v>
      </c>
      <c r="AM29" s="88">
        <v>55</v>
      </c>
      <c r="AN29" s="88">
        <v>55</v>
      </c>
      <c r="AO29" s="88">
        <v>55</v>
      </c>
      <c r="AP29" s="88">
        <v>55</v>
      </c>
      <c r="AQ29" s="88">
        <v>55</v>
      </c>
      <c r="AR29" s="88">
        <v>55</v>
      </c>
      <c r="AS29" s="88">
        <v>55</v>
      </c>
      <c r="AT29" s="88">
        <v>55</v>
      </c>
      <c r="AU29" s="88">
        <v>55</v>
      </c>
      <c r="AV29" s="88">
        <v>55</v>
      </c>
      <c r="AW29" s="88">
        <v>55</v>
      </c>
      <c r="AX29" s="88">
        <v>55</v>
      </c>
      <c r="AY29" s="88">
        <v>55</v>
      </c>
      <c r="AZ29" s="88">
        <v>55</v>
      </c>
      <c r="BA29" s="88">
        <v>55</v>
      </c>
      <c r="BB29" s="88">
        <v>55</v>
      </c>
      <c r="BC29" s="88">
        <v>55</v>
      </c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88"/>
      <c r="BT29" s="88"/>
      <c r="BU29" s="88"/>
      <c r="BV29" s="88"/>
      <c r="BW29" s="88"/>
      <c r="BX29" s="88"/>
      <c r="BY29" s="88"/>
      <c r="BZ29" s="64"/>
    </row>
    <row r="30" spans="1:78" x14ac:dyDescent="0.35">
      <c r="A30" s="89" t="s">
        <v>37</v>
      </c>
      <c r="B30" s="90">
        <f t="shared" si="0"/>
        <v>13518.309202737697</v>
      </c>
      <c r="C30" s="91">
        <v>10214.558823529413</v>
      </c>
      <c r="D30" s="92">
        <v>11630.6568627451</v>
      </c>
      <c r="E30" s="92">
        <v>10836.720588235296</v>
      </c>
      <c r="F30" s="92">
        <v>14678.529411764706</v>
      </c>
      <c r="G30" s="92">
        <v>14485.549019607844</v>
      </c>
      <c r="H30" s="92">
        <v>14488.982843137255</v>
      </c>
      <c r="I30" s="92">
        <v>12302.862745098042</v>
      </c>
      <c r="J30" s="92">
        <v>12404.431372549021</v>
      </c>
      <c r="K30" s="92">
        <v>11741.740196078432</v>
      </c>
      <c r="L30" s="92">
        <v>12181.421568627451</v>
      </c>
      <c r="M30" s="92">
        <v>12613.63480392157</v>
      </c>
      <c r="N30" s="92">
        <v>11040.441176470589</v>
      </c>
      <c r="O30" s="92">
        <v>12454.647058823532</v>
      </c>
      <c r="P30" s="92">
        <v>12926.941176470591</v>
      </c>
      <c r="Q30" s="92">
        <v>12391.458333333334</v>
      </c>
      <c r="R30" s="92">
        <v>12502.303921568628</v>
      </c>
      <c r="S30" s="92">
        <v>13617.529411764706</v>
      </c>
      <c r="T30" s="92">
        <v>13437.433823529411</v>
      </c>
      <c r="U30" s="92">
        <v>13222.279411764706</v>
      </c>
      <c r="V30" s="92">
        <v>13276.095098039215</v>
      </c>
      <c r="W30" s="92">
        <v>13626.480392156864</v>
      </c>
      <c r="X30" s="92">
        <v>13769.546568627451</v>
      </c>
      <c r="Y30" s="92">
        <v>12127.852941176472</v>
      </c>
      <c r="Z30" s="92">
        <v>14232.132352941177</v>
      </c>
      <c r="AA30" s="92">
        <v>14259.000000000002</v>
      </c>
      <c r="AB30" s="92">
        <v>13782.431372549019</v>
      </c>
      <c r="AC30" s="92">
        <v>13491.65</v>
      </c>
      <c r="AD30" s="92">
        <v>14598.643137254903</v>
      </c>
      <c r="AE30" s="92">
        <v>14374.431372549021</v>
      </c>
      <c r="AF30" s="92">
        <v>14444.725490196081</v>
      </c>
      <c r="AG30" s="92">
        <v>13826.419607843136</v>
      </c>
      <c r="AH30" s="92">
        <v>13929.938725490198</v>
      </c>
      <c r="AI30" s="92">
        <v>14124.806372549019</v>
      </c>
      <c r="AJ30" s="92">
        <v>14437.014705882355</v>
      </c>
      <c r="AK30" s="92">
        <v>14180.875000000002</v>
      </c>
      <c r="AL30" s="92">
        <v>14038.696078431372</v>
      </c>
      <c r="AM30" s="92">
        <v>14360.117647058823</v>
      </c>
      <c r="AN30" s="92">
        <v>14145.801470588238</v>
      </c>
      <c r="AO30" s="92">
        <v>14356.833333333336</v>
      </c>
      <c r="AP30" s="92">
        <v>14306.928921568628</v>
      </c>
      <c r="AQ30" s="92">
        <v>14343.215686274511</v>
      </c>
      <c r="AR30" s="92">
        <v>14115.120098039217</v>
      </c>
      <c r="AS30" s="92">
        <v>14339.705882352942</v>
      </c>
      <c r="AT30" s="92">
        <v>14272.963235294119</v>
      </c>
      <c r="AU30" s="92">
        <v>13921.750000000002</v>
      </c>
      <c r="AV30" s="92">
        <v>14366.848774509806</v>
      </c>
      <c r="AW30" s="92">
        <v>14061.723039215685</v>
      </c>
      <c r="AX30" s="92">
        <v>13800.617647058827</v>
      </c>
      <c r="AY30" s="92">
        <v>14111.893382352942</v>
      </c>
      <c r="AZ30" s="92">
        <v>14027.308333333336</v>
      </c>
      <c r="BA30" s="92">
        <v>13864.460784313727</v>
      </c>
      <c r="BB30" s="92">
        <v>14377.598039215687</v>
      </c>
      <c r="BC30" s="92">
        <v>14004.639705882355</v>
      </c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64"/>
    </row>
    <row r="31" spans="1:78" ht="15" thickBot="1" x14ac:dyDescent="0.4">
      <c r="A31" s="93" t="s">
        <v>38</v>
      </c>
      <c r="B31" s="94" t="str">
        <f t="shared" si="0"/>
        <v/>
      </c>
      <c r="C31" s="95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7"/>
      <c r="BB31" s="97"/>
      <c r="BC31" s="97"/>
      <c r="BD31" s="97"/>
      <c r="BE31" s="97"/>
      <c r="BF31" s="97"/>
      <c r="BG31" s="97"/>
      <c r="BH31" s="97"/>
      <c r="BI31" s="97"/>
      <c r="BJ31" s="97"/>
      <c r="BK31" s="97"/>
      <c r="BL31" s="97"/>
      <c r="BM31" s="97"/>
      <c r="BN31" s="97"/>
      <c r="BO31" s="97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8"/>
    </row>
    <row r="32" spans="1:78" x14ac:dyDescent="0.35">
      <c r="A32" s="99" t="str">
        <f>IF('[7]Set Up'!E41=0,"",'[7]Set Up'!E41&amp;", bbl")</f>
        <v>15% HCl Acid, bbl</v>
      </c>
      <c r="B32" s="100">
        <f>IF(BZ32=0,"",AVERAGE(C32:BY32))</f>
        <v>28.571428571428594</v>
      </c>
      <c r="C32" s="101">
        <v>28.571428571428573</v>
      </c>
      <c r="D32" s="102">
        <v>28.571428571428573</v>
      </c>
      <c r="E32" s="102">
        <v>28.571428571428573</v>
      </c>
      <c r="F32" s="102">
        <v>28.571428571428573</v>
      </c>
      <c r="G32" s="102">
        <v>28.571428571428573</v>
      </c>
      <c r="H32" s="102">
        <v>28.571428571428573</v>
      </c>
      <c r="I32" s="102">
        <v>28.571428571428573</v>
      </c>
      <c r="J32" s="102">
        <v>28.571428571428573</v>
      </c>
      <c r="K32" s="102">
        <v>28.571428571428573</v>
      </c>
      <c r="L32" s="102">
        <v>28.571428571428573</v>
      </c>
      <c r="M32" s="102">
        <v>28.571428571428573</v>
      </c>
      <c r="N32" s="102">
        <v>28.571428571428573</v>
      </c>
      <c r="O32" s="102">
        <v>28.571428571428573</v>
      </c>
      <c r="P32" s="102">
        <v>28.571428571428573</v>
      </c>
      <c r="Q32" s="102">
        <v>28.571428571428573</v>
      </c>
      <c r="R32" s="102">
        <v>28.571428571428573</v>
      </c>
      <c r="S32" s="102">
        <v>28.571428571428573</v>
      </c>
      <c r="T32" s="102">
        <v>28.571428571428573</v>
      </c>
      <c r="U32" s="102">
        <v>28.571428571428573</v>
      </c>
      <c r="V32" s="102">
        <v>28.571428571428573</v>
      </c>
      <c r="W32" s="102">
        <v>28.571428571428573</v>
      </c>
      <c r="X32" s="102">
        <v>28.571428571428573</v>
      </c>
      <c r="Y32" s="102">
        <v>28.571428571428573</v>
      </c>
      <c r="Z32" s="102">
        <v>28.571428571428573</v>
      </c>
      <c r="AA32" s="102">
        <v>28.571428571428573</v>
      </c>
      <c r="AB32" s="102">
        <v>28.571428571428573</v>
      </c>
      <c r="AC32" s="102">
        <v>28.571428571428573</v>
      </c>
      <c r="AD32" s="102">
        <v>28.571428571428573</v>
      </c>
      <c r="AE32" s="102">
        <v>28.571428571428573</v>
      </c>
      <c r="AF32" s="102">
        <v>28.571428571428573</v>
      </c>
      <c r="AG32" s="102">
        <v>28.571428571428573</v>
      </c>
      <c r="AH32" s="102">
        <v>28.571428571428573</v>
      </c>
      <c r="AI32" s="102">
        <v>28.571428571428573</v>
      </c>
      <c r="AJ32" s="102">
        <v>28.571428571428573</v>
      </c>
      <c r="AK32" s="102">
        <v>28.571428571428573</v>
      </c>
      <c r="AL32" s="102">
        <v>28.571428571428573</v>
      </c>
      <c r="AM32" s="102">
        <v>28.571428571428573</v>
      </c>
      <c r="AN32" s="102">
        <v>28.571428571428573</v>
      </c>
      <c r="AO32" s="102">
        <v>28.571428571428573</v>
      </c>
      <c r="AP32" s="102">
        <v>28.571428571428573</v>
      </c>
      <c r="AQ32" s="102">
        <v>28.571428571428573</v>
      </c>
      <c r="AR32" s="102">
        <v>28.571428571428573</v>
      </c>
      <c r="AS32" s="102">
        <v>28.571428571428573</v>
      </c>
      <c r="AT32" s="102">
        <v>28.571428571428573</v>
      </c>
      <c r="AU32" s="102">
        <v>28.571428571428573</v>
      </c>
      <c r="AV32" s="102">
        <v>28.571428571428573</v>
      </c>
      <c r="AW32" s="102">
        <v>28.571428571428573</v>
      </c>
      <c r="AX32" s="102">
        <v>28.571428571428573</v>
      </c>
      <c r="AY32" s="102">
        <v>28.571428571428573</v>
      </c>
      <c r="AZ32" s="102">
        <v>28.571428571428573</v>
      </c>
      <c r="BA32" s="101">
        <v>28.571428571428573</v>
      </c>
      <c r="BB32" s="101">
        <v>28.571428571428573</v>
      </c>
      <c r="BC32" s="101">
        <v>28.571428571428573</v>
      </c>
      <c r="BD32" s="101"/>
      <c r="BE32" s="101"/>
      <c r="BF32" s="101"/>
      <c r="BG32" s="101"/>
      <c r="BH32" s="101"/>
      <c r="BI32" s="101"/>
      <c r="BJ32" s="101"/>
      <c r="BK32" s="101"/>
      <c r="BL32" s="101"/>
      <c r="BM32" s="101"/>
      <c r="BN32" s="101"/>
      <c r="BO32" s="101"/>
      <c r="BP32" s="101"/>
      <c r="BQ32" s="101"/>
      <c r="BR32" s="101"/>
      <c r="BS32" s="101"/>
      <c r="BT32" s="101"/>
      <c r="BU32" s="101"/>
      <c r="BV32" s="101"/>
      <c r="BW32" s="101"/>
      <c r="BX32" s="101"/>
      <c r="BY32" s="101"/>
      <c r="BZ32" s="103">
        <f t="shared" ref="BZ32:BZ58" si="1">SUM(C32:BY32)</f>
        <v>1514.2857142857156</v>
      </c>
    </row>
    <row r="33" spans="1:78" x14ac:dyDescent="0.35">
      <c r="A33" s="104" t="str">
        <f>IF('[7]Set Up'!E42=0,"",'[7]Set Up'!E42&amp;", bbl")</f>
        <v>Slickwater, bbl</v>
      </c>
      <c r="B33" s="105">
        <f>IF(BZ33=0,"",AVERAGE(C33:BY33))</f>
        <v>11021.223477088944</v>
      </c>
      <c r="C33" s="106">
        <v>11735.22857142857</v>
      </c>
      <c r="D33" s="107">
        <v>11149.32857142857</v>
      </c>
      <c r="E33" s="107">
        <v>11101.4</v>
      </c>
      <c r="F33" s="107">
        <v>11106.028571428571</v>
      </c>
      <c r="G33" s="107">
        <v>11006.9</v>
      </c>
      <c r="H33" s="107">
        <v>10880.900000000001</v>
      </c>
      <c r="I33" s="107">
        <v>10941.528571428571</v>
      </c>
      <c r="J33" s="107">
        <v>10988.499999999998</v>
      </c>
      <c r="K33" s="107">
        <v>11088.999999999998</v>
      </c>
      <c r="L33" s="107">
        <v>10858.3</v>
      </c>
      <c r="M33" s="107">
        <v>10977.599999999999</v>
      </c>
      <c r="N33" s="107">
        <v>11132.9</v>
      </c>
      <c r="O33" s="107">
        <v>11078.5</v>
      </c>
      <c r="P33" s="107">
        <v>10987.4</v>
      </c>
      <c r="Q33" s="107">
        <v>11067.100000000002</v>
      </c>
      <c r="R33" s="107">
        <v>11153.2</v>
      </c>
      <c r="S33" s="107">
        <v>10990.9</v>
      </c>
      <c r="T33" s="107">
        <v>11009.699999999999</v>
      </c>
      <c r="U33" s="107">
        <v>11020</v>
      </c>
      <c r="V33" s="107">
        <v>10928.999999999998</v>
      </c>
      <c r="W33" s="107">
        <v>10924.300000000001</v>
      </c>
      <c r="X33" s="107">
        <v>10951.500000000002</v>
      </c>
      <c r="Y33" s="107">
        <v>11013.300000000001</v>
      </c>
      <c r="Z33" s="107">
        <v>10969.800000000001</v>
      </c>
      <c r="AA33" s="107">
        <v>10535.1</v>
      </c>
      <c r="AB33" s="107">
        <v>11098.800000000001</v>
      </c>
      <c r="AC33" s="107">
        <v>11107.7</v>
      </c>
      <c r="AD33" s="107">
        <v>10967.600000000002</v>
      </c>
      <c r="AE33" s="107">
        <v>11032.78</v>
      </c>
      <c r="AF33" s="107">
        <v>10978.800000000001</v>
      </c>
      <c r="AG33" s="107">
        <v>10949.300000000001</v>
      </c>
      <c r="AH33" s="107">
        <v>10926.8</v>
      </c>
      <c r="AI33" s="107">
        <v>11000.800000000001</v>
      </c>
      <c r="AJ33" s="107">
        <v>11598.7</v>
      </c>
      <c r="AK33" s="107">
        <v>10999.4</v>
      </c>
      <c r="AL33" s="107">
        <v>11039.099999999999</v>
      </c>
      <c r="AM33" s="107">
        <v>10965.95</v>
      </c>
      <c r="AN33" s="107">
        <v>10897.6</v>
      </c>
      <c r="AO33" s="107">
        <v>11041.300000000001</v>
      </c>
      <c r="AP33" s="107">
        <v>10975</v>
      </c>
      <c r="AQ33" s="107">
        <v>10978.300000000001</v>
      </c>
      <c r="AR33" s="107">
        <v>11012.1</v>
      </c>
      <c r="AS33" s="107">
        <v>10975.299999999997</v>
      </c>
      <c r="AT33" s="107">
        <v>10916.5</v>
      </c>
      <c r="AU33" s="107">
        <v>11655.800000000001</v>
      </c>
      <c r="AV33" s="107">
        <v>10987.699999999999</v>
      </c>
      <c r="AW33" s="107">
        <v>10945.4</v>
      </c>
      <c r="AX33" s="107">
        <v>10940.800000000001</v>
      </c>
      <c r="AY33" s="107">
        <v>10996.800000000003</v>
      </c>
      <c r="AZ33" s="107">
        <v>10988.2</v>
      </c>
      <c r="BA33" s="106">
        <v>10991.7</v>
      </c>
      <c r="BB33" s="106">
        <v>10918.599999999999</v>
      </c>
      <c r="BC33" s="106">
        <v>10640.600000000002</v>
      </c>
      <c r="BD33" s="106"/>
      <c r="BE33" s="106"/>
      <c r="BF33" s="106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8">
        <f t="shared" si="1"/>
        <v>584124.84428571409</v>
      </c>
    </row>
    <row r="34" spans="1:78" x14ac:dyDescent="0.35">
      <c r="A34" s="99" t="str">
        <f>IF('[7]Set Up'!E43=0,"",'[7]Set Up'!E43&amp;", bbl")</f>
        <v>Pump Down, bbl</v>
      </c>
      <c r="B34" s="109">
        <f>IF(BZ34=0,"",AVERAGE(C34:BY34))</f>
        <v>162.28301886792454</v>
      </c>
      <c r="C34" s="110">
        <v>384</v>
      </c>
      <c r="D34" s="111">
        <v>405</v>
      </c>
      <c r="E34" s="111">
        <v>331</v>
      </c>
      <c r="F34" s="111">
        <v>319</v>
      </c>
      <c r="G34" s="111">
        <v>323</v>
      </c>
      <c r="H34" s="111">
        <v>406</v>
      </c>
      <c r="I34" s="111">
        <v>387</v>
      </c>
      <c r="J34" s="111">
        <v>373</v>
      </c>
      <c r="K34" s="111">
        <v>380</v>
      </c>
      <c r="L34" s="111">
        <v>672</v>
      </c>
      <c r="M34" s="111">
        <v>238</v>
      </c>
      <c r="N34" s="111">
        <v>228</v>
      </c>
      <c r="O34" s="111">
        <v>241</v>
      </c>
      <c r="P34" s="111">
        <v>213</v>
      </c>
      <c r="Q34" s="111">
        <v>217</v>
      </c>
      <c r="R34" s="111">
        <v>206</v>
      </c>
      <c r="S34" s="111">
        <v>200</v>
      </c>
      <c r="T34" s="111">
        <v>140</v>
      </c>
      <c r="U34" s="111">
        <v>128</v>
      </c>
      <c r="V34" s="111">
        <v>176</v>
      </c>
      <c r="W34" s="111">
        <v>186</v>
      </c>
      <c r="X34" s="111">
        <v>172</v>
      </c>
      <c r="Y34" s="111">
        <v>132</v>
      </c>
      <c r="Z34" s="111">
        <v>114</v>
      </c>
      <c r="AA34" s="111">
        <v>97</v>
      </c>
      <c r="AB34" s="111">
        <v>91</v>
      </c>
      <c r="AC34" s="111">
        <v>131</v>
      </c>
      <c r="AD34" s="111">
        <v>116</v>
      </c>
      <c r="AE34" s="111">
        <v>123</v>
      </c>
      <c r="AF34" s="111">
        <v>121</v>
      </c>
      <c r="AG34" s="111">
        <v>107</v>
      </c>
      <c r="AH34" s="111">
        <v>103</v>
      </c>
      <c r="AI34" s="111">
        <v>98</v>
      </c>
      <c r="AJ34" s="111">
        <v>92</v>
      </c>
      <c r="AK34" s="111">
        <v>91</v>
      </c>
      <c r="AL34" s="111">
        <v>85</v>
      </c>
      <c r="AM34" s="111">
        <v>78</v>
      </c>
      <c r="AN34" s="111">
        <v>74</v>
      </c>
      <c r="AO34" s="111">
        <v>71</v>
      </c>
      <c r="AP34" s="111">
        <v>80</v>
      </c>
      <c r="AQ34" s="111">
        <v>60</v>
      </c>
      <c r="AR34" s="111">
        <v>58</v>
      </c>
      <c r="AS34" s="111">
        <v>55</v>
      </c>
      <c r="AT34" s="111">
        <v>50</v>
      </c>
      <c r="AU34" s="111">
        <v>45</v>
      </c>
      <c r="AV34" s="111">
        <v>41</v>
      </c>
      <c r="AW34" s="111">
        <v>39</v>
      </c>
      <c r="AX34" s="111">
        <v>34</v>
      </c>
      <c r="AY34" s="111">
        <v>28</v>
      </c>
      <c r="AZ34" s="111">
        <v>23</v>
      </c>
      <c r="BA34" s="111">
        <v>21</v>
      </c>
      <c r="BB34" s="111">
        <v>18</v>
      </c>
      <c r="BC34" s="111">
        <v>0</v>
      </c>
      <c r="BD34" s="111"/>
      <c r="BE34" s="111"/>
      <c r="BF34" s="111"/>
      <c r="BG34" s="111"/>
      <c r="BH34" s="111"/>
      <c r="BI34" s="111"/>
      <c r="BJ34" s="111"/>
      <c r="BK34" s="111"/>
      <c r="BL34" s="111"/>
      <c r="BM34" s="111"/>
      <c r="BN34" s="111"/>
      <c r="BO34" s="111"/>
      <c r="BP34" s="111"/>
      <c r="BQ34" s="111"/>
      <c r="BR34" s="111"/>
      <c r="BS34" s="111"/>
      <c r="BT34" s="111"/>
      <c r="BU34" s="111"/>
      <c r="BV34" s="111"/>
      <c r="BW34" s="111"/>
      <c r="BX34" s="111"/>
      <c r="BY34" s="111"/>
      <c r="BZ34" s="109">
        <f t="shared" si="1"/>
        <v>8601</v>
      </c>
    </row>
    <row r="35" spans="1:78" x14ac:dyDescent="0.35">
      <c r="A35" s="104" t="str">
        <f>IF('[7]Set Up'!E44=0,"",'[7]Set Up'!E44&amp;", bbl")</f>
        <v/>
      </c>
      <c r="B35" s="105" t="str">
        <f>IF(BZ35=0,"",AVERAGE(C35:BY35))</f>
        <v/>
      </c>
      <c r="C35" s="106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  <c r="AU35" s="107">
        <v>0</v>
      </c>
      <c r="AV35" s="107">
        <v>0</v>
      </c>
      <c r="AW35" s="107">
        <v>0</v>
      </c>
      <c r="AX35" s="107">
        <v>0</v>
      </c>
      <c r="AY35" s="107">
        <v>0</v>
      </c>
      <c r="AZ35" s="107">
        <v>0</v>
      </c>
      <c r="BA35" s="107">
        <v>0</v>
      </c>
      <c r="BB35" s="107">
        <v>0</v>
      </c>
      <c r="BC35" s="107">
        <v>0</v>
      </c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5">
        <f t="shared" si="1"/>
        <v>0</v>
      </c>
    </row>
    <row r="36" spans="1:78" ht="15" thickBot="1" x14ac:dyDescent="0.4">
      <c r="A36" s="112" t="s">
        <v>39</v>
      </c>
      <c r="B36" s="113">
        <f>IF(BZ36=0,"",AVERAGE(C36:BY36))</f>
        <v>11212.077924528299</v>
      </c>
      <c r="C36" s="114">
        <v>12147.8</v>
      </c>
      <c r="D36" s="115">
        <v>11582.9</v>
      </c>
      <c r="E36" s="115">
        <v>11460.971428571429</v>
      </c>
      <c r="F36" s="115">
        <v>11453.6</v>
      </c>
      <c r="G36" s="115">
        <v>11358.471428571429</v>
      </c>
      <c r="H36" s="115">
        <v>11315.471428571431</v>
      </c>
      <c r="I36" s="115">
        <v>11357.1</v>
      </c>
      <c r="J36" s="115">
        <v>11390.071428571428</v>
      </c>
      <c r="K36" s="115">
        <v>11497.571428571428</v>
      </c>
      <c r="L36" s="115">
        <v>11558.871428571429</v>
      </c>
      <c r="M36" s="115">
        <v>11244.171428571428</v>
      </c>
      <c r="N36" s="115">
        <v>11389.471428571429</v>
      </c>
      <c r="O36" s="115">
        <v>11348.071428571429</v>
      </c>
      <c r="P36" s="115">
        <v>11228.971428571429</v>
      </c>
      <c r="Q36" s="115">
        <v>11312.671428571432</v>
      </c>
      <c r="R36" s="115">
        <v>11387.77142857143</v>
      </c>
      <c r="S36" s="115">
        <v>11219.471428571429</v>
      </c>
      <c r="T36" s="115">
        <v>11178.271428571428</v>
      </c>
      <c r="U36" s="115">
        <v>11176.571428571429</v>
      </c>
      <c r="V36" s="115">
        <v>11133.571428571428</v>
      </c>
      <c r="W36" s="115">
        <v>11138.87142857143</v>
      </c>
      <c r="X36" s="115">
        <v>11152.071428571431</v>
      </c>
      <c r="Y36" s="115">
        <v>11173.87142857143</v>
      </c>
      <c r="Z36" s="115">
        <v>11112.37142857143</v>
      </c>
      <c r="AA36" s="115">
        <v>10660.67142857143</v>
      </c>
      <c r="AB36" s="115">
        <v>11218.37142857143</v>
      </c>
      <c r="AC36" s="115">
        <v>11267.27142857143</v>
      </c>
      <c r="AD36" s="115">
        <v>11112.171428571432</v>
      </c>
      <c r="AE36" s="115">
        <v>11184.35142857143</v>
      </c>
      <c r="AF36" s="115">
        <v>11128.37142857143</v>
      </c>
      <c r="AG36" s="115">
        <v>11084.87142857143</v>
      </c>
      <c r="AH36" s="115">
        <v>11058.371428571429</v>
      </c>
      <c r="AI36" s="115">
        <v>11127.37142857143</v>
      </c>
      <c r="AJ36" s="115">
        <v>11719.27142857143</v>
      </c>
      <c r="AK36" s="115">
        <v>11118.971428571429</v>
      </c>
      <c r="AL36" s="115">
        <v>11152.671428571428</v>
      </c>
      <c r="AM36" s="115">
        <v>11072.52142857143</v>
      </c>
      <c r="AN36" s="115">
        <v>11000.17142857143</v>
      </c>
      <c r="AO36" s="115">
        <v>11140.87142857143</v>
      </c>
      <c r="AP36" s="115">
        <v>11083.571428571429</v>
      </c>
      <c r="AQ36" s="115">
        <v>11066.87142857143</v>
      </c>
      <c r="AR36" s="115">
        <v>11098.67142857143</v>
      </c>
      <c r="AS36" s="115">
        <v>11058.871428571427</v>
      </c>
      <c r="AT36" s="115">
        <v>10995.071428571429</v>
      </c>
      <c r="AU36" s="115">
        <v>11729.37142857143</v>
      </c>
      <c r="AV36" s="115">
        <v>11057.271428571428</v>
      </c>
      <c r="AW36" s="115">
        <v>11012.971428571429</v>
      </c>
      <c r="AX36" s="115">
        <v>11003.37142857143</v>
      </c>
      <c r="AY36" s="115">
        <v>11053.371428571432</v>
      </c>
      <c r="AZ36" s="115">
        <v>11039.77142857143</v>
      </c>
      <c r="BA36" s="114">
        <v>11041.27142857143</v>
      </c>
      <c r="BB36" s="114">
        <v>10965.171428571428</v>
      </c>
      <c r="BC36" s="114">
        <v>10669.171428571432</v>
      </c>
      <c r="BD36" s="114"/>
      <c r="BE36" s="114"/>
      <c r="BF36" s="114"/>
      <c r="BG36" s="114"/>
      <c r="BH36" s="114"/>
      <c r="BI36" s="114"/>
      <c r="BJ36" s="114"/>
      <c r="BK36" s="114"/>
      <c r="BL36" s="114"/>
      <c r="BM36" s="114"/>
      <c r="BN36" s="114"/>
      <c r="BO36" s="114"/>
      <c r="BP36" s="114"/>
      <c r="BQ36" s="114"/>
      <c r="BR36" s="114"/>
      <c r="BS36" s="114"/>
      <c r="BT36" s="114"/>
      <c r="BU36" s="114"/>
      <c r="BV36" s="114"/>
      <c r="BW36" s="114"/>
      <c r="BX36" s="114"/>
      <c r="BY36" s="114"/>
      <c r="BZ36" s="116">
        <f t="shared" si="1"/>
        <v>594240.12999999989</v>
      </c>
    </row>
    <row r="37" spans="1:78" x14ac:dyDescent="0.35">
      <c r="A37" s="117" t="str">
        <f>IF('[7]Set Up'!E35=0,"",'[7]Set Up'!E35&amp;", lb")</f>
        <v>100 Mesh, lb</v>
      </c>
      <c r="B37" s="118">
        <f t="shared" ref="B37:B58" si="2">IF(C37="","",AVERAGE(C37:BY37))</f>
        <v>500313.58490566036</v>
      </c>
      <c r="C37" s="119">
        <v>496020</v>
      </c>
      <c r="D37" s="120">
        <v>502480</v>
      </c>
      <c r="E37" s="120">
        <v>496460</v>
      </c>
      <c r="F37" s="120">
        <v>504360</v>
      </c>
      <c r="G37" s="120">
        <v>507360</v>
      </c>
      <c r="H37" s="120">
        <v>496880</v>
      </c>
      <c r="I37" s="120">
        <v>503240</v>
      </c>
      <c r="J37" s="120">
        <v>498260</v>
      </c>
      <c r="K37" s="120">
        <v>506200</v>
      </c>
      <c r="L37" s="120">
        <v>496400</v>
      </c>
      <c r="M37" s="120">
        <v>501100</v>
      </c>
      <c r="N37" s="120">
        <v>495960</v>
      </c>
      <c r="O37" s="120">
        <v>512260</v>
      </c>
      <c r="P37" s="120">
        <v>501580</v>
      </c>
      <c r="Q37" s="120">
        <v>501620</v>
      </c>
      <c r="R37" s="120">
        <v>506300</v>
      </c>
      <c r="S37" s="120">
        <v>504100</v>
      </c>
      <c r="T37" s="120">
        <v>499260</v>
      </c>
      <c r="U37" s="120">
        <v>501320</v>
      </c>
      <c r="V37" s="120">
        <v>499940</v>
      </c>
      <c r="W37" s="120">
        <v>495800</v>
      </c>
      <c r="X37" s="120">
        <v>492180</v>
      </c>
      <c r="Y37" s="120">
        <v>492960</v>
      </c>
      <c r="Z37" s="120">
        <v>497800</v>
      </c>
      <c r="AA37" s="120">
        <v>500080</v>
      </c>
      <c r="AB37" s="120">
        <v>505100</v>
      </c>
      <c r="AC37" s="120">
        <v>503400</v>
      </c>
      <c r="AD37" s="120">
        <v>497880</v>
      </c>
      <c r="AE37" s="120">
        <v>496940</v>
      </c>
      <c r="AF37" s="120">
        <v>497160</v>
      </c>
      <c r="AG37" s="120">
        <v>497240</v>
      </c>
      <c r="AH37" s="120">
        <v>497920</v>
      </c>
      <c r="AI37" s="120">
        <v>501000</v>
      </c>
      <c r="AJ37" s="120">
        <v>500500</v>
      </c>
      <c r="AK37" s="120">
        <v>496260</v>
      </c>
      <c r="AL37" s="120">
        <v>507340</v>
      </c>
      <c r="AM37" s="120">
        <v>503360</v>
      </c>
      <c r="AN37" s="120">
        <v>493540</v>
      </c>
      <c r="AO37" s="120">
        <v>496740</v>
      </c>
      <c r="AP37" s="120">
        <v>503260</v>
      </c>
      <c r="AQ37" s="120">
        <v>496260</v>
      </c>
      <c r="AR37" s="120">
        <v>503520</v>
      </c>
      <c r="AS37" s="120">
        <v>499720</v>
      </c>
      <c r="AT37" s="120">
        <v>496000</v>
      </c>
      <c r="AU37" s="120">
        <v>495940</v>
      </c>
      <c r="AV37" s="120">
        <v>503160</v>
      </c>
      <c r="AW37" s="120">
        <v>507560</v>
      </c>
      <c r="AX37" s="120">
        <v>500780</v>
      </c>
      <c r="AY37" s="120">
        <v>506340</v>
      </c>
      <c r="AZ37" s="120">
        <v>504080</v>
      </c>
      <c r="BA37" s="119">
        <v>502400</v>
      </c>
      <c r="BB37" s="119">
        <v>495440</v>
      </c>
      <c r="BC37" s="119">
        <v>497860</v>
      </c>
      <c r="BD37" s="119"/>
      <c r="BE37" s="119"/>
      <c r="BF37" s="119"/>
      <c r="BG37" s="119"/>
      <c r="BH37" s="119"/>
      <c r="BI37" s="119"/>
      <c r="BJ37" s="119"/>
      <c r="BK37" s="119"/>
      <c r="BL37" s="119"/>
      <c r="BM37" s="119"/>
      <c r="BN37" s="119"/>
      <c r="BO37" s="119"/>
      <c r="BP37" s="119"/>
      <c r="BQ37" s="119"/>
      <c r="BR37" s="119"/>
      <c r="BS37" s="119"/>
      <c r="BT37" s="119"/>
      <c r="BU37" s="119"/>
      <c r="BV37" s="119"/>
      <c r="BW37" s="119"/>
      <c r="BX37" s="119"/>
      <c r="BY37" s="119"/>
      <c r="BZ37" s="121">
        <f t="shared" si="1"/>
        <v>26516620</v>
      </c>
    </row>
    <row r="38" spans="1:78" x14ac:dyDescent="0.35">
      <c r="A38" s="122" t="str">
        <f>IF('[7]Set Up'!E36=0,"",'[7]Set Up'!E36&amp;", lb")</f>
        <v/>
      </c>
      <c r="B38" s="105" t="str">
        <f t="shared" si="2"/>
        <v/>
      </c>
      <c r="C38" s="123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  <c r="AZ38" s="124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08">
        <f t="shared" si="1"/>
        <v>0</v>
      </c>
    </row>
    <row r="39" spans="1:78" x14ac:dyDescent="0.35">
      <c r="A39" s="125" t="str">
        <f>IF('[7]Set Up'!E37=0,"",'[7]Set Up'!E37&amp;", lb")</f>
        <v/>
      </c>
      <c r="B39" s="126" t="str">
        <f t="shared" si="2"/>
        <v/>
      </c>
      <c r="C39" s="127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7"/>
      <c r="BB39" s="127"/>
      <c r="BC39" s="127"/>
      <c r="BD39" s="127"/>
      <c r="BE39" s="127"/>
      <c r="BF39" s="127"/>
      <c r="BG39" s="127"/>
      <c r="BH39" s="127"/>
      <c r="BI39" s="127"/>
      <c r="BJ39" s="127"/>
      <c r="BK39" s="127"/>
      <c r="BL39" s="127"/>
      <c r="BM39" s="127"/>
      <c r="BN39" s="127"/>
      <c r="BO39" s="127"/>
      <c r="BP39" s="127"/>
      <c r="BQ39" s="127"/>
      <c r="BR39" s="127"/>
      <c r="BS39" s="127"/>
      <c r="BT39" s="127"/>
      <c r="BU39" s="127"/>
      <c r="BV39" s="127"/>
      <c r="BW39" s="127"/>
      <c r="BX39" s="127"/>
      <c r="BY39" s="127"/>
      <c r="BZ39" s="129">
        <f t="shared" si="1"/>
        <v>0</v>
      </c>
    </row>
    <row r="40" spans="1:78" x14ac:dyDescent="0.35">
      <c r="A40" s="122" t="str">
        <f>IF('[7]Set Up'!E38=0,"",'[7]Set Up'!E38&amp;", lb")</f>
        <v/>
      </c>
      <c r="B40" s="105" t="str">
        <f t="shared" si="2"/>
        <v/>
      </c>
      <c r="C40" s="123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24"/>
      <c r="AX40" s="124"/>
      <c r="AY40" s="124"/>
      <c r="AZ40" s="124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08">
        <f t="shared" si="1"/>
        <v>0</v>
      </c>
    </row>
    <row r="41" spans="1:78" ht="15" thickBot="1" x14ac:dyDescent="0.4">
      <c r="A41" s="130" t="s">
        <v>40</v>
      </c>
      <c r="B41" s="131">
        <f t="shared" si="2"/>
        <v>500313.58490566036</v>
      </c>
      <c r="C41" s="131">
        <v>496020</v>
      </c>
      <c r="D41" s="132">
        <v>502480</v>
      </c>
      <c r="E41" s="132">
        <v>496460</v>
      </c>
      <c r="F41" s="132">
        <v>504360</v>
      </c>
      <c r="G41" s="132">
        <v>507360</v>
      </c>
      <c r="H41" s="132">
        <v>496880</v>
      </c>
      <c r="I41" s="132">
        <v>503240</v>
      </c>
      <c r="J41" s="132">
        <v>498260</v>
      </c>
      <c r="K41" s="132">
        <v>506200</v>
      </c>
      <c r="L41" s="132">
        <v>496400</v>
      </c>
      <c r="M41" s="132">
        <v>501100</v>
      </c>
      <c r="N41" s="132">
        <v>495960</v>
      </c>
      <c r="O41" s="132">
        <v>512260</v>
      </c>
      <c r="P41" s="132">
        <v>501580</v>
      </c>
      <c r="Q41" s="132">
        <v>501620</v>
      </c>
      <c r="R41" s="132">
        <v>506300</v>
      </c>
      <c r="S41" s="132">
        <v>504100</v>
      </c>
      <c r="T41" s="132">
        <v>499260</v>
      </c>
      <c r="U41" s="132">
        <v>501320</v>
      </c>
      <c r="V41" s="132">
        <v>499940</v>
      </c>
      <c r="W41" s="132">
        <v>495800</v>
      </c>
      <c r="X41" s="132">
        <v>492180</v>
      </c>
      <c r="Y41" s="132">
        <v>492960</v>
      </c>
      <c r="Z41" s="132">
        <v>497800</v>
      </c>
      <c r="AA41" s="132">
        <v>500080</v>
      </c>
      <c r="AB41" s="132">
        <v>505100</v>
      </c>
      <c r="AC41" s="132">
        <v>503400</v>
      </c>
      <c r="AD41" s="132">
        <v>497880</v>
      </c>
      <c r="AE41" s="132">
        <v>496940</v>
      </c>
      <c r="AF41" s="132">
        <v>497160</v>
      </c>
      <c r="AG41" s="132">
        <v>497240</v>
      </c>
      <c r="AH41" s="132">
        <v>497920</v>
      </c>
      <c r="AI41" s="132">
        <v>501000</v>
      </c>
      <c r="AJ41" s="132">
        <v>500500</v>
      </c>
      <c r="AK41" s="132">
        <v>496260</v>
      </c>
      <c r="AL41" s="132">
        <v>507340</v>
      </c>
      <c r="AM41" s="132">
        <v>503360</v>
      </c>
      <c r="AN41" s="132">
        <v>493540</v>
      </c>
      <c r="AO41" s="132">
        <v>496740</v>
      </c>
      <c r="AP41" s="132">
        <v>503260</v>
      </c>
      <c r="AQ41" s="132">
        <v>496260</v>
      </c>
      <c r="AR41" s="132">
        <v>503520</v>
      </c>
      <c r="AS41" s="132">
        <v>499720</v>
      </c>
      <c r="AT41" s="132">
        <v>496000</v>
      </c>
      <c r="AU41" s="132">
        <v>495940</v>
      </c>
      <c r="AV41" s="132">
        <v>503160</v>
      </c>
      <c r="AW41" s="132">
        <v>507560</v>
      </c>
      <c r="AX41" s="132">
        <v>500780</v>
      </c>
      <c r="AY41" s="132">
        <v>506340</v>
      </c>
      <c r="AZ41" s="132">
        <v>504080</v>
      </c>
      <c r="BA41" s="132">
        <v>502400</v>
      </c>
      <c r="BB41" s="132">
        <v>495440</v>
      </c>
      <c r="BC41" s="132">
        <v>497860</v>
      </c>
      <c r="BD41" s="132"/>
      <c r="BE41" s="132"/>
      <c r="BF41" s="132"/>
      <c r="BG41" s="132"/>
      <c r="BH41" s="132"/>
      <c r="BI41" s="132"/>
      <c r="BJ41" s="132"/>
      <c r="BK41" s="132"/>
      <c r="BL41" s="132"/>
      <c r="BM41" s="132"/>
      <c r="BN41" s="132"/>
      <c r="BO41" s="132"/>
      <c r="BP41" s="132"/>
      <c r="BQ41" s="132"/>
      <c r="BR41" s="132"/>
      <c r="BS41" s="132"/>
      <c r="BT41" s="132"/>
      <c r="BU41" s="132"/>
      <c r="BV41" s="132"/>
      <c r="BW41" s="132"/>
      <c r="BX41" s="132"/>
      <c r="BY41" s="132"/>
      <c r="BZ41" s="133">
        <f t="shared" si="1"/>
        <v>26516620</v>
      </c>
    </row>
    <row r="42" spans="1:78" x14ac:dyDescent="0.35">
      <c r="A42" s="134" t="str">
        <f>A37</f>
        <v>100 Mesh, lb</v>
      </c>
      <c r="B42" s="135">
        <f t="shared" si="2"/>
        <v>500313.58490566036</v>
      </c>
      <c r="C42" s="136">
        <v>496020</v>
      </c>
      <c r="D42" s="136">
        <v>502480</v>
      </c>
      <c r="E42" s="136">
        <v>496460</v>
      </c>
      <c r="F42" s="136">
        <v>504360</v>
      </c>
      <c r="G42" s="136">
        <v>507360</v>
      </c>
      <c r="H42" s="136">
        <v>496880</v>
      </c>
      <c r="I42" s="136">
        <v>503240</v>
      </c>
      <c r="J42" s="136">
        <v>498260</v>
      </c>
      <c r="K42" s="136">
        <v>506200</v>
      </c>
      <c r="L42" s="136">
        <v>496400</v>
      </c>
      <c r="M42" s="136">
        <v>501100</v>
      </c>
      <c r="N42" s="136">
        <v>495960</v>
      </c>
      <c r="O42" s="136">
        <v>512260</v>
      </c>
      <c r="P42" s="136">
        <v>501580</v>
      </c>
      <c r="Q42" s="136">
        <v>501620</v>
      </c>
      <c r="R42" s="136">
        <v>506300</v>
      </c>
      <c r="S42" s="136">
        <v>504100</v>
      </c>
      <c r="T42" s="136">
        <v>499260</v>
      </c>
      <c r="U42" s="136">
        <v>501320</v>
      </c>
      <c r="V42" s="136">
        <v>499940</v>
      </c>
      <c r="W42" s="136">
        <v>495800</v>
      </c>
      <c r="X42" s="136">
        <v>492180</v>
      </c>
      <c r="Y42" s="136">
        <v>492960</v>
      </c>
      <c r="Z42" s="136">
        <v>497800</v>
      </c>
      <c r="AA42" s="136">
        <v>500080</v>
      </c>
      <c r="AB42" s="136">
        <v>505100</v>
      </c>
      <c r="AC42" s="136">
        <v>503400</v>
      </c>
      <c r="AD42" s="136">
        <v>497880</v>
      </c>
      <c r="AE42" s="136">
        <v>496940</v>
      </c>
      <c r="AF42" s="136">
        <v>497160</v>
      </c>
      <c r="AG42" s="136">
        <v>497240</v>
      </c>
      <c r="AH42" s="136">
        <v>497920</v>
      </c>
      <c r="AI42" s="136">
        <v>501000</v>
      </c>
      <c r="AJ42" s="136">
        <v>500500</v>
      </c>
      <c r="AK42" s="136">
        <v>496260</v>
      </c>
      <c r="AL42" s="136">
        <v>507340</v>
      </c>
      <c r="AM42" s="136">
        <v>503360</v>
      </c>
      <c r="AN42" s="136">
        <v>493540</v>
      </c>
      <c r="AO42" s="136">
        <v>496740</v>
      </c>
      <c r="AP42" s="136">
        <v>503260</v>
      </c>
      <c r="AQ42" s="136">
        <v>496260</v>
      </c>
      <c r="AR42" s="136">
        <v>503520</v>
      </c>
      <c r="AS42" s="136">
        <v>499720</v>
      </c>
      <c r="AT42" s="136">
        <v>496000</v>
      </c>
      <c r="AU42" s="136">
        <v>495940</v>
      </c>
      <c r="AV42" s="136">
        <v>503160</v>
      </c>
      <c r="AW42" s="136">
        <v>507560</v>
      </c>
      <c r="AX42" s="136">
        <v>500780</v>
      </c>
      <c r="AY42" s="136">
        <v>506340</v>
      </c>
      <c r="AZ42" s="136">
        <v>504080</v>
      </c>
      <c r="BA42" s="137">
        <v>502400</v>
      </c>
      <c r="BB42" s="137">
        <v>495440</v>
      </c>
      <c r="BC42" s="137">
        <v>497860</v>
      </c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8">
        <f t="shared" si="1"/>
        <v>26516620</v>
      </c>
    </row>
    <row r="43" spans="1:78" x14ac:dyDescent="0.35">
      <c r="A43" s="122" t="str">
        <f>A38</f>
        <v/>
      </c>
      <c r="B43" s="105" t="str">
        <f t="shared" si="2"/>
        <v/>
      </c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  <c r="AZ43" s="124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08">
        <f t="shared" si="1"/>
        <v>0</v>
      </c>
    </row>
    <row r="44" spans="1:78" x14ac:dyDescent="0.35">
      <c r="A44" s="139" t="str">
        <f>A39</f>
        <v/>
      </c>
      <c r="B44" s="140" t="str">
        <f t="shared" si="2"/>
        <v/>
      </c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  <c r="AO44" s="141"/>
      <c r="AP44" s="141"/>
      <c r="AQ44" s="141"/>
      <c r="AR44" s="141"/>
      <c r="AS44" s="141"/>
      <c r="AT44" s="141"/>
      <c r="AU44" s="141"/>
      <c r="AV44" s="141"/>
      <c r="AW44" s="141"/>
      <c r="AX44" s="141"/>
      <c r="AY44" s="141"/>
      <c r="AZ44" s="141"/>
      <c r="BA44" s="141"/>
      <c r="BB44" s="141"/>
      <c r="BC44" s="141"/>
      <c r="BD44" s="141"/>
      <c r="BE44" s="141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1"/>
      <c r="BQ44" s="141"/>
      <c r="BR44" s="141"/>
      <c r="BS44" s="141"/>
      <c r="BT44" s="141"/>
      <c r="BU44" s="141"/>
      <c r="BV44" s="141"/>
      <c r="BW44" s="141"/>
      <c r="BX44" s="141"/>
      <c r="BY44" s="141"/>
      <c r="BZ44" s="140">
        <f t="shared" si="1"/>
        <v>0</v>
      </c>
    </row>
    <row r="45" spans="1:78" x14ac:dyDescent="0.35">
      <c r="A45" s="142" t="str">
        <f>A40</f>
        <v/>
      </c>
      <c r="B45" s="143" t="str">
        <f t="shared" si="2"/>
        <v/>
      </c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24"/>
      <c r="BL45" s="124"/>
      <c r="BM45" s="124"/>
      <c r="BN45" s="124"/>
      <c r="BO45" s="124"/>
      <c r="BP45" s="124"/>
      <c r="BQ45" s="124"/>
      <c r="BR45" s="124"/>
      <c r="BS45" s="124"/>
      <c r="BT45" s="124"/>
      <c r="BU45" s="124"/>
      <c r="BV45" s="124"/>
      <c r="BW45" s="124"/>
      <c r="BX45" s="124"/>
      <c r="BY45" s="124"/>
      <c r="BZ45" s="105">
        <f t="shared" si="1"/>
        <v>0</v>
      </c>
    </row>
    <row r="46" spans="1:78" ht="15" thickBot="1" x14ac:dyDescent="0.4">
      <c r="A46" s="144" t="s">
        <v>41</v>
      </c>
      <c r="B46" s="145">
        <f t="shared" si="2"/>
        <v>500313.58490566036</v>
      </c>
      <c r="C46" s="146">
        <v>496020</v>
      </c>
      <c r="D46" s="146">
        <v>502480</v>
      </c>
      <c r="E46" s="146">
        <v>496460</v>
      </c>
      <c r="F46" s="146">
        <v>504360</v>
      </c>
      <c r="G46" s="146">
        <v>507360</v>
      </c>
      <c r="H46" s="146">
        <v>496880</v>
      </c>
      <c r="I46" s="146">
        <v>503240</v>
      </c>
      <c r="J46" s="146">
        <v>498260</v>
      </c>
      <c r="K46" s="146">
        <v>506200</v>
      </c>
      <c r="L46" s="146">
        <v>496400</v>
      </c>
      <c r="M46" s="146">
        <v>501100</v>
      </c>
      <c r="N46" s="146">
        <v>495960</v>
      </c>
      <c r="O46" s="146">
        <v>512260</v>
      </c>
      <c r="P46" s="146">
        <v>501580</v>
      </c>
      <c r="Q46" s="146">
        <v>501620</v>
      </c>
      <c r="R46" s="146">
        <v>506300</v>
      </c>
      <c r="S46" s="146">
        <v>504100</v>
      </c>
      <c r="T46" s="146">
        <v>499260</v>
      </c>
      <c r="U46" s="146">
        <v>501320</v>
      </c>
      <c r="V46" s="146">
        <v>499940</v>
      </c>
      <c r="W46" s="146">
        <v>495800</v>
      </c>
      <c r="X46" s="146">
        <v>492180</v>
      </c>
      <c r="Y46" s="146">
        <v>492960</v>
      </c>
      <c r="Z46" s="146">
        <v>497800</v>
      </c>
      <c r="AA46" s="146">
        <v>500080</v>
      </c>
      <c r="AB46" s="146">
        <v>505100</v>
      </c>
      <c r="AC46" s="146">
        <v>503400</v>
      </c>
      <c r="AD46" s="146">
        <v>497880</v>
      </c>
      <c r="AE46" s="146">
        <v>496940</v>
      </c>
      <c r="AF46" s="146">
        <v>497160</v>
      </c>
      <c r="AG46" s="146">
        <v>497240</v>
      </c>
      <c r="AH46" s="146">
        <v>497920</v>
      </c>
      <c r="AI46" s="146">
        <v>501000</v>
      </c>
      <c r="AJ46" s="146">
        <v>500500</v>
      </c>
      <c r="AK46" s="146">
        <v>496260</v>
      </c>
      <c r="AL46" s="146">
        <v>507340</v>
      </c>
      <c r="AM46" s="146">
        <v>503360</v>
      </c>
      <c r="AN46" s="146">
        <v>493540</v>
      </c>
      <c r="AO46" s="146">
        <v>496740</v>
      </c>
      <c r="AP46" s="146">
        <v>503260</v>
      </c>
      <c r="AQ46" s="146">
        <v>496260</v>
      </c>
      <c r="AR46" s="146">
        <v>503520</v>
      </c>
      <c r="AS46" s="146">
        <v>499720</v>
      </c>
      <c r="AT46" s="146">
        <v>496000</v>
      </c>
      <c r="AU46" s="146">
        <v>495940</v>
      </c>
      <c r="AV46" s="146">
        <v>503160</v>
      </c>
      <c r="AW46" s="146">
        <v>507560</v>
      </c>
      <c r="AX46" s="146">
        <v>500780</v>
      </c>
      <c r="AY46" s="146">
        <v>506340</v>
      </c>
      <c r="AZ46" s="146">
        <v>504080</v>
      </c>
      <c r="BA46" s="146">
        <v>502400</v>
      </c>
      <c r="BB46" s="146">
        <v>495440</v>
      </c>
      <c r="BC46" s="146">
        <v>497860</v>
      </c>
      <c r="BD46" s="146"/>
      <c r="BE46" s="146"/>
      <c r="BF46" s="146"/>
      <c r="BG46" s="146"/>
      <c r="BH46" s="146"/>
      <c r="BI46" s="146"/>
      <c r="BJ46" s="146"/>
      <c r="BK46" s="146"/>
      <c r="BL46" s="146"/>
      <c r="BM46" s="146"/>
      <c r="BN46" s="146"/>
      <c r="BO46" s="146"/>
      <c r="BP46" s="146"/>
      <c r="BQ46" s="146"/>
      <c r="BR46" s="146"/>
      <c r="BS46" s="146"/>
      <c r="BT46" s="146"/>
      <c r="BU46" s="146"/>
      <c r="BV46" s="146"/>
      <c r="BW46" s="146"/>
      <c r="BX46" s="146"/>
      <c r="BY46" s="146"/>
      <c r="BZ46" s="145">
        <f t="shared" si="1"/>
        <v>26516620</v>
      </c>
    </row>
    <row r="47" spans="1:78" x14ac:dyDescent="0.35">
      <c r="A47" s="147" t="str">
        <f>'[7]Set Up'!E51</f>
        <v>Plexslick 957, gal</v>
      </c>
      <c r="B47" s="148">
        <f t="shared" si="2"/>
        <v>402.01886792452831</v>
      </c>
      <c r="C47" s="149">
        <v>491</v>
      </c>
      <c r="D47" s="150">
        <v>453</v>
      </c>
      <c r="E47" s="150">
        <v>465</v>
      </c>
      <c r="F47" s="150">
        <v>481</v>
      </c>
      <c r="G47" s="150">
        <v>461</v>
      </c>
      <c r="H47" s="150">
        <v>455</v>
      </c>
      <c r="I47" s="150">
        <v>480</v>
      </c>
      <c r="J47" s="150">
        <v>460</v>
      </c>
      <c r="K47" s="150">
        <v>480</v>
      </c>
      <c r="L47" s="151">
        <v>455</v>
      </c>
      <c r="M47" s="151">
        <v>473</v>
      </c>
      <c r="N47" s="151">
        <v>485</v>
      </c>
      <c r="O47" s="151">
        <v>465</v>
      </c>
      <c r="P47" s="151">
        <v>460</v>
      </c>
      <c r="Q47" s="151">
        <v>485</v>
      </c>
      <c r="R47" s="151">
        <v>477</v>
      </c>
      <c r="S47" s="151">
        <v>475</v>
      </c>
      <c r="T47" s="151">
        <v>462</v>
      </c>
      <c r="U47" s="151">
        <v>462</v>
      </c>
      <c r="V47" s="151">
        <v>466</v>
      </c>
      <c r="W47" s="151">
        <v>459</v>
      </c>
      <c r="X47" s="151">
        <v>475</v>
      </c>
      <c r="Y47" s="151">
        <v>476</v>
      </c>
      <c r="Z47" s="151">
        <v>464</v>
      </c>
      <c r="AA47" s="151">
        <v>455</v>
      </c>
      <c r="AB47" s="151">
        <v>468</v>
      </c>
      <c r="AC47" s="151">
        <v>470</v>
      </c>
      <c r="AD47" s="151">
        <v>460</v>
      </c>
      <c r="AE47" s="151">
        <v>480</v>
      </c>
      <c r="AF47" s="151">
        <v>470</v>
      </c>
      <c r="AG47" s="151">
        <v>460</v>
      </c>
      <c r="AH47" s="151">
        <v>475</v>
      </c>
      <c r="AI47" s="151">
        <v>475</v>
      </c>
      <c r="AJ47" s="151">
        <v>493</v>
      </c>
      <c r="AK47" s="151">
        <v>475</v>
      </c>
      <c r="AL47" s="151">
        <v>440</v>
      </c>
      <c r="AM47" s="151">
        <v>441</v>
      </c>
      <c r="AN47" s="151">
        <v>282</v>
      </c>
      <c r="AO47" s="151">
        <v>276</v>
      </c>
      <c r="AP47" s="151">
        <v>223</v>
      </c>
      <c r="AQ47" s="151">
        <v>290</v>
      </c>
      <c r="AR47" s="151">
        <v>285</v>
      </c>
      <c r="AS47" s="151">
        <v>238</v>
      </c>
      <c r="AT47" s="151">
        <v>270</v>
      </c>
      <c r="AU47" s="151">
        <v>328</v>
      </c>
      <c r="AV47" s="151">
        <v>230</v>
      </c>
      <c r="AW47" s="151">
        <v>228</v>
      </c>
      <c r="AX47" s="151">
        <v>211</v>
      </c>
      <c r="AY47" s="151">
        <v>244</v>
      </c>
      <c r="AZ47" s="151">
        <v>217</v>
      </c>
      <c r="BA47" s="152">
        <v>214</v>
      </c>
      <c r="BB47" s="152">
        <v>222</v>
      </c>
      <c r="BC47" s="152">
        <v>222</v>
      </c>
      <c r="BD47" s="152"/>
      <c r="BE47" s="152"/>
      <c r="BF47" s="152"/>
      <c r="BG47" s="152"/>
      <c r="BH47" s="152"/>
      <c r="BI47" s="152"/>
      <c r="BJ47" s="152"/>
      <c r="BK47" s="152"/>
      <c r="BL47" s="152"/>
      <c r="BM47" s="152"/>
      <c r="BN47" s="152"/>
      <c r="BO47" s="152"/>
      <c r="BP47" s="152"/>
      <c r="BQ47" s="152"/>
      <c r="BR47" s="152"/>
      <c r="BS47" s="152"/>
      <c r="BT47" s="152"/>
      <c r="BU47" s="152"/>
      <c r="BV47" s="152"/>
      <c r="BW47" s="152"/>
      <c r="BX47" s="152"/>
      <c r="BY47" s="152"/>
      <c r="BZ47" s="153">
        <f t="shared" si="1"/>
        <v>21307</v>
      </c>
    </row>
    <row r="48" spans="1:78" x14ac:dyDescent="0.35">
      <c r="A48" s="154" t="str">
        <f>'[7]Set Up'!E52</f>
        <v>Chemplex 4-N-1, gal</v>
      </c>
      <c r="B48" s="155">
        <f t="shared" si="2"/>
        <v>7</v>
      </c>
      <c r="C48" s="156">
        <v>7</v>
      </c>
      <c r="D48" s="157">
        <v>7</v>
      </c>
      <c r="E48" s="157">
        <v>7</v>
      </c>
      <c r="F48" s="157">
        <v>7</v>
      </c>
      <c r="G48" s="157">
        <v>7</v>
      </c>
      <c r="H48" s="157">
        <v>7</v>
      </c>
      <c r="I48" s="157">
        <v>7</v>
      </c>
      <c r="J48" s="157">
        <v>7</v>
      </c>
      <c r="K48" s="157">
        <v>7</v>
      </c>
      <c r="L48" s="107">
        <v>7</v>
      </c>
      <c r="M48" s="107">
        <v>7</v>
      </c>
      <c r="N48" s="107">
        <v>7</v>
      </c>
      <c r="O48" s="107">
        <v>7</v>
      </c>
      <c r="P48" s="107">
        <v>7</v>
      </c>
      <c r="Q48" s="107">
        <v>7</v>
      </c>
      <c r="R48" s="107">
        <v>7</v>
      </c>
      <c r="S48" s="107">
        <v>7</v>
      </c>
      <c r="T48" s="107">
        <v>7</v>
      </c>
      <c r="U48" s="107">
        <v>7</v>
      </c>
      <c r="V48" s="107">
        <v>7</v>
      </c>
      <c r="W48" s="107">
        <v>7</v>
      </c>
      <c r="X48" s="107">
        <v>7</v>
      </c>
      <c r="Y48" s="107">
        <v>7</v>
      </c>
      <c r="Z48" s="107">
        <v>7</v>
      </c>
      <c r="AA48" s="107">
        <v>7</v>
      </c>
      <c r="AB48" s="107">
        <v>7</v>
      </c>
      <c r="AC48" s="107">
        <v>7</v>
      </c>
      <c r="AD48" s="107">
        <v>7</v>
      </c>
      <c r="AE48" s="107">
        <v>7</v>
      </c>
      <c r="AF48" s="107">
        <v>7</v>
      </c>
      <c r="AG48" s="107">
        <v>7</v>
      </c>
      <c r="AH48" s="107">
        <v>7</v>
      </c>
      <c r="AI48" s="107">
        <v>7</v>
      </c>
      <c r="AJ48" s="107">
        <v>7</v>
      </c>
      <c r="AK48" s="107">
        <v>7</v>
      </c>
      <c r="AL48" s="107">
        <v>7</v>
      </c>
      <c r="AM48" s="107">
        <v>7</v>
      </c>
      <c r="AN48" s="107">
        <v>7</v>
      </c>
      <c r="AO48" s="107">
        <v>7</v>
      </c>
      <c r="AP48" s="107">
        <v>7</v>
      </c>
      <c r="AQ48" s="107">
        <v>7</v>
      </c>
      <c r="AR48" s="107">
        <v>7</v>
      </c>
      <c r="AS48" s="107">
        <v>7</v>
      </c>
      <c r="AT48" s="107">
        <v>7</v>
      </c>
      <c r="AU48" s="107">
        <v>7</v>
      </c>
      <c r="AV48" s="107">
        <v>7</v>
      </c>
      <c r="AW48" s="107">
        <v>7</v>
      </c>
      <c r="AX48" s="107">
        <v>7</v>
      </c>
      <c r="AY48" s="107">
        <v>7</v>
      </c>
      <c r="AZ48" s="107">
        <v>7</v>
      </c>
      <c r="BA48" s="106">
        <v>7</v>
      </c>
      <c r="BB48" s="106">
        <v>7</v>
      </c>
      <c r="BC48" s="106">
        <v>7</v>
      </c>
      <c r="BD48" s="106"/>
      <c r="BE48" s="106"/>
      <c r="BF48" s="106"/>
      <c r="BG48" s="106"/>
      <c r="BH48" s="106"/>
      <c r="BI48" s="106"/>
      <c r="BJ48" s="106"/>
      <c r="BK48" s="106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58">
        <f t="shared" si="1"/>
        <v>371</v>
      </c>
    </row>
    <row r="49" spans="1:78" x14ac:dyDescent="0.35">
      <c r="A49" s="147" t="str">
        <f>'[7]Set Up'!E53</f>
        <v>Payzone 845, gal</v>
      </c>
      <c r="B49" s="148">
        <f t="shared" si="2"/>
        <v>92.64150943396227</v>
      </c>
      <c r="C49" s="159">
        <v>103</v>
      </c>
      <c r="D49" s="160">
        <v>93</v>
      </c>
      <c r="E49" s="160">
        <v>94</v>
      </c>
      <c r="F49" s="160">
        <v>94</v>
      </c>
      <c r="G49" s="160">
        <v>91</v>
      </c>
      <c r="H49" s="160">
        <v>91</v>
      </c>
      <c r="I49" s="160">
        <v>93</v>
      </c>
      <c r="J49" s="160">
        <v>91</v>
      </c>
      <c r="K49" s="160">
        <v>91</v>
      </c>
      <c r="L49" s="161">
        <v>92</v>
      </c>
      <c r="M49" s="161">
        <v>91</v>
      </c>
      <c r="N49" s="161">
        <v>93</v>
      </c>
      <c r="O49" s="161">
        <v>94</v>
      </c>
      <c r="P49" s="161">
        <v>92</v>
      </c>
      <c r="Q49" s="161">
        <v>94</v>
      </c>
      <c r="R49" s="161">
        <v>95</v>
      </c>
      <c r="S49" s="161">
        <v>92</v>
      </c>
      <c r="T49" s="161">
        <v>93</v>
      </c>
      <c r="U49" s="161">
        <v>92</v>
      </c>
      <c r="V49" s="161">
        <v>91</v>
      </c>
      <c r="W49" s="161">
        <v>92</v>
      </c>
      <c r="X49" s="161">
        <v>92</v>
      </c>
      <c r="Y49" s="161">
        <v>94</v>
      </c>
      <c r="Z49" s="161">
        <v>92</v>
      </c>
      <c r="AA49" s="161">
        <v>85</v>
      </c>
      <c r="AB49" s="161">
        <v>92</v>
      </c>
      <c r="AC49" s="161">
        <v>93</v>
      </c>
      <c r="AD49" s="161">
        <v>92</v>
      </c>
      <c r="AE49" s="161">
        <v>93</v>
      </c>
      <c r="AF49" s="161">
        <v>93</v>
      </c>
      <c r="AG49" s="161">
        <v>93</v>
      </c>
      <c r="AH49" s="161">
        <v>92</v>
      </c>
      <c r="AI49" s="161">
        <v>93</v>
      </c>
      <c r="AJ49" s="161">
        <v>97</v>
      </c>
      <c r="AK49" s="161">
        <v>92</v>
      </c>
      <c r="AL49" s="161">
        <v>93</v>
      </c>
      <c r="AM49" s="161">
        <v>92</v>
      </c>
      <c r="AN49" s="161">
        <v>93</v>
      </c>
      <c r="AO49" s="161">
        <v>94</v>
      </c>
      <c r="AP49" s="161">
        <v>92</v>
      </c>
      <c r="AQ49" s="161">
        <v>93</v>
      </c>
      <c r="AR49" s="161">
        <v>93</v>
      </c>
      <c r="AS49" s="161">
        <v>92</v>
      </c>
      <c r="AT49" s="161">
        <v>92</v>
      </c>
      <c r="AU49" s="161">
        <v>96</v>
      </c>
      <c r="AV49" s="161">
        <v>94</v>
      </c>
      <c r="AW49" s="161">
        <v>92</v>
      </c>
      <c r="AX49" s="161">
        <v>91</v>
      </c>
      <c r="AY49" s="161">
        <v>91</v>
      </c>
      <c r="AZ49" s="161">
        <v>92</v>
      </c>
      <c r="BA49" s="162">
        <v>92</v>
      </c>
      <c r="BB49" s="162">
        <v>91</v>
      </c>
      <c r="BC49" s="162">
        <v>92</v>
      </c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3">
        <f t="shared" si="1"/>
        <v>4910</v>
      </c>
    </row>
    <row r="50" spans="1:78" x14ac:dyDescent="0.35">
      <c r="A50" s="154" t="str">
        <f>'[7]Set Up'!E54</f>
        <v>Payzone 850, gal</v>
      </c>
      <c r="B50" s="155">
        <f t="shared" si="2"/>
        <v>34.754716981132077</v>
      </c>
      <c r="C50" s="156">
        <v>38</v>
      </c>
      <c r="D50" s="157">
        <v>35</v>
      </c>
      <c r="E50" s="157">
        <v>35</v>
      </c>
      <c r="F50" s="157">
        <v>35</v>
      </c>
      <c r="G50" s="157">
        <v>34</v>
      </c>
      <c r="H50" s="157">
        <v>34</v>
      </c>
      <c r="I50" s="157">
        <v>34</v>
      </c>
      <c r="J50" s="157">
        <v>34</v>
      </c>
      <c r="K50" s="157">
        <v>34</v>
      </c>
      <c r="L50" s="157">
        <v>34</v>
      </c>
      <c r="M50" s="157">
        <v>34</v>
      </c>
      <c r="N50" s="157">
        <v>35</v>
      </c>
      <c r="O50" s="157">
        <v>35</v>
      </c>
      <c r="P50" s="157">
        <v>35</v>
      </c>
      <c r="Q50" s="157">
        <v>36</v>
      </c>
      <c r="R50" s="157">
        <v>36</v>
      </c>
      <c r="S50" s="157">
        <v>35</v>
      </c>
      <c r="T50" s="107">
        <v>35</v>
      </c>
      <c r="U50" s="107">
        <v>34</v>
      </c>
      <c r="V50" s="107">
        <v>34</v>
      </c>
      <c r="W50" s="107">
        <v>34</v>
      </c>
      <c r="X50" s="107">
        <v>34</v>
      </c>
      <c r="Y50" s="107">
        <v>35</v>
      </c>
      <c r="Z50" s="107">
        <v>34</v>
      </c>
      <c r="AA50" s="107">
        <v>32</v>
      </c>
      <c r="AB50" s="107">
        <v>34</v>
      </c>
      <c r="AC50" s="107">
        <v>35</v>
      </c>
      <c r="AD50" s="107">
        <v>35</v>
      </c>
      <c r="AE50" s="107">
        <v>35</v>
      </c>
      <c r="AF50" s="107">
        <v>35</v>
      </c>
      <c r="AG50" s="107">
        <v>35</v>
      </c>
      <c r="AH50" s="107">
        <v>35</v>
      </c>
      <c r="AI50" s="107">
        <v>35</v>
      </c>
      <c r="AJ50" s="107">
        <v>36</v>
      </c>
      <c r="AK50" s="107">
        <v>35</v>
      </c>
      <c r="AL50" s="107">
        <v>35</v>
      </c>
      <c r="AM50" s="107">
        <v>35</v>
      </c>
      <c r="AN50" s="107">
        <v>35</v>
      </c>
      <c r="AO50" s="107">
        <v>35</v>
      </c>
      <c r="AP50" s="107">
        <v>35</v>
      </c>
      <c r="AQ50" s="107">
        <v>35</v>
      </c>
      <c r="AR50" s="107">
        <v>35</v>
      </c>
      <c r="AS50" s="107">
        <v>35</v>
      </c>
      <c r="AT50" s="107">
        <v>34</v>
      </c>
      <c r="AU50" s="107">
        <v>36</v>
      </c>
      <c r="AV50" s="107">
        <v>35</v>
      </c>
      <c r="AW50" s="107">
        <v>35</v>
      </c>
      <c r="AX50" s="107">
        <v>34</v>
      </c>
      <c r="AY50" s="107">
        <v>34</v>
      </c>
      <c r="AZ50" s="107">
        <v>35</v>
      </c>
      <c r="BA50" s="106">
        <v>35</v>
      </c>
      <c r="BB50" s="106">
        <v>35</v>
      </c>
      <c r="BC50" s="106">
        <v>34</v>
      </c>
      <c r="BD50" s="106"/>
      <c r="BE50" s="106"/>
      <c r="BF50" s="106"/>
      <c r="BG50" s="106"/>
      <c r="BH50" s="106"/>
      <c r="BI50" s="106"/>
      <c r="BJ50" s="106"/>
      <c r="BK50" s="106"/>
      <c r="BL50" s="106"/>
      <c r="BM50" s="106"/>
      <c r="BN50" s="106"/>
      <c r="BO50" s="106"/>
      <c r="BP50" s="106"/>
      <c r="BQ50" s="106"/>
      <c r="BR50" s="106"/>
      <c r="BS50" s="106"/>
      <c r="BT50" s="106"/>
      <c r="BU50" s="106"/>
      <c r="BV50" s="106"/>
      <c r="BW50" s="106"/>
      <c r="BX50" s="106"/>
      <c r="BY50" s="106"/>
      <c r="BZ50" s="158">
        <f t="shared" si="1"/>
        <v>1842</v>
      </c>
    </row>
    <row r="51" spans="1:78" x14ac:dyDescent="0.35">
      <c r="A51" s="147" t="str">
        <f>'[7]Set Up'!E55</f>
        <v>Payzone 217, gal</v>
      </c>
      <c r="B51" s="148">
        <f t="shared" si="2"/>
        <v>92.64150943396227</v>
      </c>
      <c r="C51" s="159">
        <v>103</v>
      </c>
      <c r="D51" s="160">
        <v>93</v>
      </c>
      <c r="E51" s="160">
        <v>94</v>
      </c>
      <c r="F51" s="160">
        <v>94</v>
      </c>
      <c r="G51" s="160">
        <v>91</v>
      </c>
      <c r="H51" s="160">
        <v>91</v>
      </c>
      <c r="I51" s="160">
        <v>93</v>
      </c>
      <c r="J51" s="160">
        <v>91</v>
      </c>
      <c r="K51" s="160">
        <v>91</v>
      </c>
      <c r="L51" s="161">
        <v>92</v>
      </c>
      <c r="M51" s="161">
        <v>91</v>
      </c>
      <c r="N51" s="161">
        <v>93</v>
      </c>
      <c r="O51" s="161">
        <v>94</v>
      </c>
      <c r="P51" s="161">
        <v>92</v>
      </c>
      <c r="Q51" s="161">
        <v>94</v>
      </c>
      <c r="R51" s="161">
        <v>95</v>
      </c>
      <c r="S51" s="161">
        <v>92</v>
      </c>
      <c r="T51" s="161">
        <v>93</v>
      </c>
      <c r="U51" s="161">
        <v>92</v>
      </c>
      <c r="V51" s="161">
        <v>91</v>
      </c>
      <c r="W51" s="161">
        <v>92</v>
      </c>
      <c r="X51" s="161">
        <v>92</v>
      </c>
      <c r="Y51" s="161">
        <v>94</v>
      </c>
      <c r="Z51" s="161">
        <v>92</v>
      </c>
      <c r="AA51" s="161">
        <v>85</v>
      </c>
      <c r="AB51" s="161">
        <v>92</v>
      </c>
      <c r="AC51" s="161">
        <v>93</v>
      </c>
      <c r="AD51" s="161">
        <v>92</v>
      </c>
      <c r="AE51" s="161">
        <v>93</v>
      </c>
      <c r="AF51" s="161">
        <v>93</v>
      </c>
      <c r="AG51" s="161">
        <v>93</v>
      </c>
      <c r="AH51" s="161">
        <v>92</v>
      </c>
      <c r="AI51" s="161">
        <v>93</v>
      </c>
      <c r="AJ51" s="161">
        <v>97</v>
      </c>
      <c r="AK51" s="161">
        <v>92</v>
      </c>
      <c r="AL51" s="161">
        <v>93</v>
      </c>
      <c r="AM51" s="161">
        <v>92</v>
      </c>
      <c r="AN51" s="161">
        <v>93</v>
      </c>
      <c r="AO51" s="161">
        <v>94</v>
      </c>
      <c r="AP51" s="161">
        <v>92</v>
      </c>
      <c r="AQ51" s="161">
        <v>93</v>
      </c>
      <c r="AR51" s="161">
        <v>93</v>
      </c>
      <c r="AS51" s="161">
        <v>92</v>
      </c>
      <c r="AT51" s="161">
        <v>92</v>
      </c>
      <c r="AU51" s="161">
        <v>96</v>
      </c>
      <c r="AV51" s="161">
        <v>94</v>
      </c>
      <c r="AW51" s="161">
        <v>92</v>
      </c>
      <c r="AX51" s="161">
        <v>91</v>
      </c>
      <c r="AY51" s="161">
        <v>91</v>
      </c>
      <c r="AZ51" s="161">
        <v>92</v>
      </c>
      <c r="BA51" s="162">
        <v>92</v>
      </c>
      <c r="BB51" s="162">
        <v>91</v>
      </c>
      <c r="BC51" s="162">
        <v>92</v>
      </c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3">
        <f t="shared" si="1"/>
        <v>4910</v>
      </c>
    </row>
    <row r="52" spans="1:78" x14ac:dyDescent="0.35">
      <c r="A52" s="154" t="str">
        <f>'[7]Set Up'!E56</f>
        <v>Stim741 Gel, gal</v>
      </c>
      <c r="B52" s="155">
        <f t="shared" si="2"/>
        <v>10.576923076923077</v>
      </c>
      <c r="C52" s="156">
        <v>20</v>
      </c>
      <c r="D52" s="157">
        <v>20</v>
      </c>
      <c r="E52" s="157">
        <v>20</v>
      </c>
      <c r="F52" s="157">
        <v>10</v>
      </c>
      <c r="G52" s="157">
        <v>10</v>
      </c>
      <c r="H52" s="157">
        <v>10</v>
      </c>
      <c r="I52" s="157">
        <v>10</v>
      </c>
      <c r="J52" s="157">
        <v>10</v>
      </c>
      <c r="K52" s="157">
        <v>10</v>
      </c>
      <c r="L52" s="107">
        <v>10</v>
      </c>
      <c r="M52" s="107">
        <v>10</v>
      </c>
      <c r="N52" s="107">
        <v>10</v>
      </c>
      <c r="O52" s="107">
        <v>10</v>
      </c>
      <c r="P52" s="107">
        <v>10</v>
      </c>
      <c r="Q52" s="107">
        <v>10</v>
      </c>
      <c r="R52" s="107">
        <v>10</v>
      </c>
      <c r="S52" s="107">
        <v>10</v>
      </c>
      <c r="T52" s="107">
        <v>10</v>
      </c>
      <c r="U52" s="107">
        <v>10</v>
      </c>
      <c r="V52" s="107">
        <v>10</v>
      </c>
      <c r="W52" s="107">
        <v>10</v>
      </c>
      <c r="X52" s="107">
        <v>10</v>
      </c>
      <c r="Y52" s="107">
        <v>10</v>
      </c>
      <c r="Z52" s="107">
        <v>10</v>
      </c>
      <c r="AA52" s="107">
        <v>10</v>
      </c>
      <c r="AB52" s="107">
        <v>10</v>
      </c>
      <c r="AC52" s="107">
        <v>10</v>
      </c>
      <c r="AD52" s="107">
        <v>10</v>
      </c>
      <c r="AE52" s="107">
        <v>10</v>
      </c>
      <c r="AF52" s="107">
        <v>10</v>
      </c>
      <c r="AG52" s="107">
        <v>10</v>
      </c>
      <c r="AH52" s="107">
        <v>10</v>
      </c>
      <c r="AI52" s="107">
        <v>10</v>
      </c>
      <c r="AJ52" s="107">
        <v>10</v>
      </c>
      <c r="AK52" s="107">
        <v>10</v>
      </c>
      <c r="AL52" s="107">
        <v>10</v>
      </c>
      <c r="AM52" s="107">
        <v>10</v>
      </c>
      <c r="AN52" s="107">
        <v>10</v>
      </c>
      <c r="AO52" s="107">
        <v>10</v>
      </c>
      <c r="AP52" s="107">
        <v>10</v>
      </c>
      <c r="AQ52" s="107">
        <v>10</v>
      </c>
      <c r="AR52" s="107">
        <v>10</v>
      </c>
      <c r="AS52" s="107">
        <v>10</v>
      </c>
      <c r="AT52" s="107">
        <v>10</v>
      </c>
      <c r="AU52" s="107">
        <v>10</v>
      </c>
      <c r="AV52" s="107">
        <v>10</v>
      </c>
      <c r="AW52" s="107">
        <v>10</v>
      </c>
      <c r="AX52" s="107">
        <v>10</v>
      </c>
      <c r="AY52" s="107">
        <v>10</v>
      </c>
      <c r="AZ52" s="107">
        <v>10</v>
      </c>
      <c r="BA52" s="106">
        <v>10</v>
      </c>
      <c r="BB52" s="106">
        <v>10</v>
      </c>
      <c r="BC52" s="106"/>
      <c r="BD52" s="106"/>
      <c r="BE52" s="106"/>
      <c r="BF52" s="106"/>
      <c r="BG52" s="106"/>
      <c r="BH52" s="106"/>
      <c r="BI52" s="106"/>
      <c r="BJ52" s="106"/>
      <c r="BK52" s="106"/>
      <c r="BL52" s="106"/>
      <c r="BM52" s="106"/>
      <c r="BN52" s="106"/>
      <c r="BO52" s="106"/>
      <c r="BP52" s="106"/>
      <c r="BQ52" s="106"/>
      <c r="BR52" s="106"/>
      <c r="BS52" s="106"/>
      <c r="BT52" s="106"/>
      <c r="BU52" s="106"/>
      <c r="BV52" s="106"/>
      <c r="BW52" s="106"/>
      <c r="BX52" s="106"/>
      <c r="BY52" s="106"/>
      <c r="BZ52" s="158">
        <f t="shared" si="1"/>
        <v>550</v>
      </c>
    </row>
    <row r="53" spans="1:78" x14ac:dyDescent="0.35">
      <c r="A53" s="147">
        <f>'[7]Set Up'!E57</f>
        <v>0</v>
      </c>
      <c r="B53" s="148" t="str">
        <f t="shared" si="2"/>
        <v/>
      </c>
      <c r="C53" s="159"/>
      <c r="D53" s="160"/>
      <c r="E53" s="160"/>
      <c r="F53" s="160"/>
      <c r="G53" s="160"/>
      <c r="H53" s="160"/>
      <c r="I53" s="160"/>
      <c r="J53" s="160"/>
      <c r="K53" s="160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  <c r="AF53" s="161"/>
      <c r="AG53" s="161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1"/>
      <c r="AS53" s="161"/>
      <c r="AT53" s="161"/>
      <c r="AU53" s="161"/>
      <c r="AV53" s="161"/>
      <c r="AW53" s="161"/>
      <c r="AX53" s="161"/>
      <c r="AY53" s="161"/>
      <c r="AZ53" s="161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3">
        <f t="shared" si="1"/>
        <v>0</v>
      </c>
    </row>
    <row r="54" spans="1:78" x14ac:dyDescent="0.35">
      <c r="A54" s="154">
        <f>'[7]Set Up'!E58</f>
        <v>0</v>
      </c>
      <c r="B54" s="155" t="str">
        <f t="shared" si="2"/>
        <v/>
      </c>
      <c r="C54" s="156"/>
      <c r="D54" s="157"/>
      <c r="E54" s="157"/>
      <c r="F54" s="157"/>
      <c r="G54" s="157"/>
      <c r="H54" s="157"/>
      <c r="I54" s="157"/>
      <c r="J54" s="157"/>
      <c r="K54" s="15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6"/>
      <c r="BB54" s="106"/>
      <c r="BC54" s="106"/>
      <c r="BD54" s="106"/>
      <c r="BE54" s="106"/>
      <c r="BF54" s="106"/>
      <c r="BG54" s="106"/>
      <c r="BH54" s="106"/>
      <c r="BI54" s="106"/>
      <c r="BJ54" s="106"/>
      <c r="BK54" s="106"/>
      <c r="BL54" s="106"/>
      <c r="BM54" s="106"/>
      <c r="BN54" s="106"/>
      <c r="BO54" s="106"/>
      <c r="BP54" s="106"/>
      <c r="BQ54" s="106"/>
      <c r="BR54" s="106"/>
      <c r="BS54" s="106"/>
      <c r="BT54" s="106"/>
      <c r="BU54" s="106"/>
      <c r="BV54" s="106"/>
      <c r="BW54" s="106"/>
      <c r="BX54" s="106"/>
      <c r="BY54" s="106"/>
      <c r="BZ54" s="158">
        <f t="shared" si="1"/>
        <v>0</v>
      </c>
    </row>
    <row r="55" spans="1:78" x14ac:dyDescent="0.35">
      <c r="A55" s="147">
        <f>'[7]Set Up'!E59</f>
        <v>0</v>
      </c>
      <c r="B55" s="148" t="str">
        <f t="shared" si="2"/>
        <v/>
      </c>
      <c r="C55" s="159"/>
      <c r="D55" s="160"/>
      <c r="E55" s="160"/>
      <c r="F55" s="160"/>
      <c r="G55" s="160"/>
      <c r="H55" s="160"/>
      <c r="I55" s="160"/>
      <c r="J55" s="160"/>
      <c r="K55" s="160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1"/>
      <c r="AU55" s="161"/>
      <c r="AV55" s="161"/>
      <c r="AW55" s="161"/>
      <c r="AX55" s="161"/>
      <c r="AY55" s="161"/>
      <c r="AZ55" s="161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3">
        <f t="shared" si="1"/>
        <v>0</v>
      </c>
    </row>
    <row r="56" spans="1:78" x14ac:dyDescent="0.35">
      <c r="A56" s="154">
        <f>'[7]Set Up'!E60</f>
        <v>0</v>
      </c>
      <c r="B56" s="155" t="str">
        <f t="shared" si="2"/>
        <v/>
      </c>
      <c r="C56" s="156"/>
      <c r="D56" s="157"/>
      <c r="E56" s="157"/>
      <c r="F56" s="157"/>
      <c r="G56" s="157"/>
      <c r="H56" s="157"/>
      <c r="I56" s="157"/>
      <c r="J56" s="157"/>
      <c r="K56" s="15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6"/>
      <c r="BB56" s="106"/>
      <c r="BC56" s="106"/>
      <c r="BD56" s="106"/>
      <c r="BE56" s="106"/>
      <c r="BF56" s="106"/>
      <c r="BG56" s="106"/>
      <c r="BH56" s="106"/>
      <c r="BI56" s="106"/>
      <c r="BJ56" s="106"/>
      <c r="BK56" s="106"/>
      <c r="BL56" s="106"/>
      <c r="BM56" s="106"/>
      <c r="BN56" s="106"/>
      <c r="BO56" s="106"/>
      <c r="BP56" s="106"/>
      <c r="BQ56" s="106"/>
      <c r="BR56" s="106"/>
      <c r="BS56" s="106"/>
      <c r="BT56" s="106"/>
      <c r="BU56" s="106"/>
      <c r="BV56" s="106"/>
      <c r="BW56" s="106"/>
      <c r="BX56" s="106"/>
      <c r="BY56" s="106"/>
      <c r="BZ56" s="158">
        <f t="shared" si="1"/>
        <v>0</v>
      </c>
    </row>
    <row r="57" spans="1:78" x14ac:dyDescent="0.35">
      <c r="A57" s="164">
        <f>'[7]Set Up'!E61</f>
        <v>0</v>
      </c>
      <c r="B57" s="165" t="str">
        <f t="shared" si="2"/>
        <v/>
      </c>
      <c r="C57" s="159"/>
      <c r="D57" s="160"/>
      <c r="E57" s="160"/>
      <c r="F57" s="160"/>
      <c r="G57" s="160"/>
      <c r="H57" s="160"/>
      <c r="I57" s="160"/>
      <c r="J57" s="160"/>
      <c r="K57" s="160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3">
        <f t="shared" si="1"/>
        <v>0</v>
      </c>
    </row>
    <row r="58" spans="1:78" x14ac:dyDescent="0.35">
      <c r="A58" s="166" t="str">
        <f>'[7]Set Up'!E62</f>
        <v>15% HCl Acid, gal</v>
      </c>
      <c r="B58" s="167">
        <f t="shared" si="2"/>
        <v>1200</v>
      </c>
      <c r="C58" s="156">
        <v>1200</v>
      </c>
      <c r="D58" s="157">
        <v>1200</v>
      </c>
      <c r="E58" s="157">
        <v>1200</v>
      </c>
      <c r="F58" s="157">
        <v>1200</v>
      </c>
      <c r="G58" s="157">
        <v>1200</v>
      </c>
      <c r="H58" s="157">
        <v>1200</v>
      </c>
      <c r="I58" s="157">
        <v>1200</v>
      </c>
      <c r="J58" s="157">
        <v>1200</v>
      </c>
      <c r="K58" s="157">
        <v>1200</v>
      </c>
      <c r="L58" s="107">
        <v>1200</v>
      </c>
      <c r="M58" s="107">
        <v>1200</v>
      </c>
      <c r="N58" s="107">
        <v>1200</v>
      </c>
      <c r="O58" s="107">
        <v>1200</v>
      </c>
      <c r="P58" s="107">
        <v>1200</v>
      </c>
      <c r="Q58" s="107">
        <v>1200</v>
      </c>
      <c r="R58" s="107">
        <v>1200</v>
      </c>
      <c r="S58" s="107">
        <v>1200</v>
      </c>
      <c r="T58" s="107">
        <v>1200</v>
      </c>
      <c r="U58" s="107">
        <v>1200</v>
      </c>
      <c r="V58" s="107">
        <v>1200</v>
      </c>
      <c r="W58" s="107">
        <v>1200</v>
      </c>
      <c r="X58" s="107">
        <v>1200</v>
      </c>
      <c r="Y58" s="107">
        <v>1200</v>
      </c>
      <c r="Z58" s="107">
        <v>1200</v>
      </c>
      <c r="AA58" s="107">
        <v>1200</v>
      </c>
      <c r="AB58" s="107">
        <v>1200</v>
      </c>
      <c r="AC58" s="107">
        <v>1200</v>
      </c>
      <c r="AD58" s="107">
        <v>1200</v>
      </c>
      <c r="AE58" s="107">
        <v>1200</v>
      </c>
      <c r="AF58" s="107">
        <v>1200</v>
      </c>
      <c r="AG58" s="107">
        <v>1200</v>
      </c>
      <c r="AH58" s="107">
        <v>1200</v>
      </c>
      <c r="AI58" s="107">
        <v>1200</v>
      </c>
      <c r="AJ58" s="107">
        <v>1200</v>
      </c>
      <c r="AK58" s="107">
        <v>1200</v>
      </c>
      <c r="AL58" s="107">
        <v>1200</v>
      </c>
      <c r="AM58" s="107">
        <v>1200</v>
      </c>
      <c r="AN58" s="107">
        <v>1200</v>
      </c>
      <c r="AO58" s="107">
        <v>1200</v>
      </c>
      <c r="AP58" s="107">
        <v>1200</v>
      </c>
      <c r="AQ58" s="107">
        <v>1200</v>
      </c>
      <c r="AR58" s="107">
        <v>1200</v>
      </c>
      <c r="AS58" s="107">
        <v>1200</v>
      </c>
      <c r="AT58" s="107">
        <v>1200</v>
      </c>
      <c r="AU58" s="107">
        <v>1200</v>
      </c>
      <c r="AV58" s="107">
        <v>1200</v>
      </c>
      <c r="AW58" s="107">
        <v>1200</v>
      </c>
      <c r="AX58" s="107">
        <v>1200</v>
      </c>
      <c r="AY58" s="107">
        <v>1200</v>
      </c>
      <c r="AZ58" s="107">
        <v>1200</v>
      </c>
      <c r="BA58" s="107">
        <v>1200</v>
      </c>
      <c r="BB58" s="107">
        <v>1200</v>
      </c>
      <c r="BC58" s="107">
        <v>1200</v>
      </c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90">
        <f t="shared" si="1"/>
        <v>63600</v>
      </c>
    </row>
  </sheetData>
  <mergeCells count="17">
    <mergeCell ref="A1:D1"/>
    <mergeCell ref="E1:K1"/>
    <mergeCell ref="L1:V6"/>
    <mergeCell ref="B2:D2"/>
    <mergeCell ref="F2:G2"/>
    <mergeCell ref="B3:D3"/>
    <mergeCell ref="F3:G3"/>
    <mergeCell ref="B4:D4"/>
    <mergeCell ref="F4:G4"/>
    <mergeCell ref="B5:D5"/>
    <mergeCell ref="C16:I16"/>
    <mergeCell ref="F5:G5"/>
    <mergeCell ref="B6:E6"/>
    <mergeCell ref="F6:H6"/>
    <mergeCell ref="I6:K6"/>
    <mergeCell ref="B8:B12"/>
    <mergeCell ref="B13:B1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Z58"/>
  <sheetViews>
    <sheetView topLeftCell="A31" workbookViewId="0">
      <selection sqref="A1:XFD1048576"/>
    </sheetView>
  </sheetViews>
  <sheetFormatPr defaultRowHeight="14.5" x14ac:dyDescent="0.35"/>
  <cols>
    <col min="1" max="1" width="21.1796875" bestFit="1" customWidth="1"/>
    <col min="2" max="2" width="17.81640625" bestFit="1" customWidth="1"/>
    <col min="3" max="4" width="7.453125" bestFit="1" customWidth="1"/>
    <col min="5" max="5" width="9.54296875" bestFit="1" customWidth="1"/>
    <col min="6" max="7" width="7.453125" bestFit="1" customWidth="1"/>
    <col min="8" max="8" width="8.1796875" bestFit="1" customWidth="1"/>
    <col min="9" max="9" width="7.453125" bestFit="1" customWidth="1"/>
    <col min="10" max="10" width="8" bestFit="1" customWidth="1"/>
    <col min="11" max="54" width="7.453125" bestFit="1" customWidth="1"/>
    <col min="55" max="77" width="3.1796875" bestFit="1" customWidth="1"/>
    <col min="78" max="78" width="9.81640625" bestFit="1" customWidth="1"/>
  </cols>
  <sheetData>
    <row r="1" spans="1:78" ht="24" thickTop="1" x14ac:dyDescent="0.35">
      <c r="A1" s="198"/>
      <c r="B1" s="199"/>
      <c r="C1" s="199"/>
      <c r="D1" s="199"/>
      <c r="E1" s="200" t="s">
        <v>0</v>
      </c>
      <c r="F1" s="199"/>
      <c r="G1" s="199"/>
      <c r="H1" s="199"/>
      <c r="I1" s="199"/>
      <c r="J1" s="199"/>
      <c r="K1" s="201"/>
      <c r="L1" s="202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2"/>
    </row>
    <row r="2" spans="1:78" x14ac:dyDescent="0.35">
      <c r="A2" s="3" t="s">
        <v>1</v>
      </c>
      <c r="B2" s="188" t="str">
        <f>'[8]Set Up'!E5</f>
        <v>Anadarko Petroleum Corporation</v>
      </c>
      <c r="C2" s="207"/>
      <c r="D2" s="208"/>
      <c r="E2" s="4" t="s">
        <v>2</v>
      </c>
      <c r="F2" s="209" t="str">
        <f>'[8]Set Up'!E9</f>
        <v>Wolfcamp Middle Beta</v>
      </c>
      <c r="G2" s="210"/>
      <c r="H2" s="5">
        <f>'[8]Set Up'!K15</f>
        <v>11527</v>
      </c>
      <c r="I2" s="6" t="str">
        <f>'[8]Set Up'!E15</f>
        <v>5-1/2"</v>
      </c>
      <c r="J2" s="7">
        <f>'[8]Set Up'!F15</f>
        <v>23</v>
      </c>
      <c r="K2" s="6" t="str">
        <f>'[8]Set Up'!H15</f>
        <v>P-110</v>
      </c>
      <c r="L2" s="204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8"/>
    </row>
    <row r="3" spans="1:78" x14ac:dyDescent="0.35">
      <c r="A3" s="3" t="s">
        <v>3</v>
      </c>
      <c r="B3" s="188" t="str">
        <f>'[8]Set Up'!E7</f>
        <v>Silvertip 76-7 Unit A 8H</v>
      </c>
      <c r="C3" s="207"/>
      <c r="D3" s="208"/>
      <c r="E3" s="4" t="s">
        <v>4</v>
      </c>
      <c r="F3" s="209" t="str">
        <f>'[8]Set Up'!J7</f>
        <v>2136269.CMP</v>
      </c>
      <c r="G3" s="210"/>
      <c r="H3" s="5">
        <f>'[8]Set Up'!K16</f>
        <v>11263</v>
      </c>
      <c r="I3" s="6" t="str">
        <f>'[8]Set Up'!E16</f>
        <v>4-1/2"</v>
      </c>
      <c r="J3" s="7">
        <f>'[8]Set Up'!F16</f>
        <v>13.5</v>
      </c>
      <c r="K3" s="6" t="str">
        <f>'[8]Set Up'!H16</f>
        <v>P-110</v>
      </c>
      <c r="L3" s="204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8"/>
    </row>
    <row r="4" spans="1:78" x14ac:dyDescent="0.35">
      <c r="A4" s="3" t="s">
        <v>5</v>
      </c>
      <c r="B4" s="188" t="str">
        <f>'[8]Set Up'!E6</f>
        <v>Matt Jones</v>
      </c>
      <c r="C4" s="207"/>
      <c r="D4" s="208"/>
      <c r="E4" s="4" t="s">
        <v>6</v>
      </c>
      <c r="F4" s="211">
        <f>'[8]Set Up'!R2</f>
        <v>12500</v>
      </c>
      <c r="G4" s="212"/>
      <c r="H4" s="5" t="str">
        <f>'[8]Set Up'!K17</f>
        <v/>
      </c>
      <c r="I4" s="6" t="str">
        <f>'[8]Set Up'!E17</f>
        <v/>
      </c>
      <c r="J4" s="7" t="str">
        <f>'[8]Set Up'!F17</f>
        <v/>
      </c>
      <c r="K4" s="6" t="str">
        <f>'[8]Set Up'!H17</f>
        <v/>
      </c>
      <c r="L4" s="204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9"/>
    </row>
    <row r="5" spans="1:78" x14ac:dyDescent="0.35">
      <c r="A5" s="3" t="s">
        <v>7</v>
      </c>
      <c r="B5" s="188" t="str">
        <f>'[8]Set Up'!E8</f>
        <v>Loving, TX</v>
      </c>
      <c r="C5" s="207"/>
      <c r="D5" s="208"/>
      <c r="E5" s="10" t="s">
        <v>8</v>
      </c>
      <c r="F5" s="186" t="str">
        <f>'[8]Set Up'!R11</f>
        <v>52-Stage SW Plug &amp; Perf</v>
      </c>
      <c r="G5" s="187"/>
      <c r="H5" s="5" t="str">
        <f>'[8]Set Up'!K18</f>
        <v/>
      </c>
      <c r="I5" s="6" t="str">
        <f>'[8]Set Up'!E18</f>
        <v/>
      </c>
      <c r="J5" s="7" t="str">
        <f>'[8]Set Up'!F18</f>
        <v/>
      </c>
      <c r="K5" s="6" t="str">
        <f>'[8]Set Up'!H18</f>
        <v/>
      </c>
      <c r="L5" s="204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8"/>
    </row>
    <row r="6" spans="1:78" x14ac:dyDescent="0.35">
      <c r="A6" s="3" t="s">
        <v>9</v>
      </c>
      <c r="B6" s="188" t="str">
        <f>'[8]Set Up'!E10</f>
        <v>PumpCo 3</v>
      </c>
      <c r="C6" s="189"/>
      <c r="D6" s="189"/>
      <c r="E6" s="190"/>
      <c r="F6" s="191" t="str">
        <f>'[8]Set Up'!E11</f>
        <v>Odessa</v>
      </c>
      <c r="G6" s="192"/>
      <c r="H6" s="193"/>
      <c r="I6" s="191" t="str">
        <f>'[8]Set Up'!E12</f>
        <v>Karl Heinrich / Jose Robles</v>
      </c>
      <c r="J6" s="192"/>
      <c r="K6" s="193"/>
      <c r="L6" s="205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3"/>
    </row>
    <row r="7" spans="1:78" ht="15" thickBot="1" x14ac:dyDescent="0.4">
      <c r="A7" s="14" t="s">
        <v>10</v>
      </c>
      <c r="B7" s="15" t="s">
        <v>11</v>
      </c>
      <c r="C7" s="15">
        <v>1</v>
      </c>
      <c r="D7" s="15">
        <v>2</v>
      </c>
      <c r="E7" s="15">
        <v>3</v>
      </c>
      <c r="F7" s="16">
        <v>4</v>
      </c>
      <c r="G7" s="15">
        <v>5</v>
      </c>
      <c r="H7" s="15">
        <v>6</v>
      </c>
      <c r="I7" s="15">
        <v>7</v>
      </c>
      <c r="J7" s="15">
        <v>8</v>
      </c>
      <c r="K7" s="15">
        <v>9</v>
      </c>
      <c r="L7" s="15">
        <v>10</v>
      </c>
      <c r="M7" s="15">
        <v>11</v>
      </c>
      <c r="N7" s="15">
        <v>12</v>
      </c>
      <c r="O7" s="15">
        <v>13</v>
      </c>
      <c r="P7" s="15">
        <v>14</v>
      </c>
      <c r="Q7" s="15">
        <v>15</v>
      </c>
      <c r="R7" s="15">
        <v>16</v>
      </c>
      <c r="S7" s="15">
        <v>17</v>
      </c>
      <c r="T7" s="15">
        <v>18</v>
      </c>
      <c r="U7" s="15">
        <v>19</v>
      </c>
      <c r="V7" s="15">
        <v>20</v>
      </c>
      <c r="W7" s="15">
        <v>21</v>
      </c>
      <c r="X7" s="15">
        <v>22</v>
      </c>
      <c r="Y7" s="15">
        <v>23</v>
      </c>
      <c r="Z7" s="15">
        <v>24</v>
      </c>
      <c r="AA7" s="15">
        <v>25</v>
      </c>
      <c r="AB7" s="15">
        <v>26</v>
      </c>
      <c r="AC7" s="15">
        <v>27</v>
      </c>
      <c r="AD7" s="15">
        <v>28</v>
      </c>
      <c r="AE7" s="15">
        <v>29</v>
      </c>
      <c r="AF7" s="15">
        <v>30</v>
      </c>
      <c r="AG7" s="15">
        <v>31</v>
      </c>
      <c r="AH7" s="15">
        <v>32</v>
      </c>
      <c r="AI7" s="15">
        <v>33</v>
      </c>
      <c r="AJ7" s="15">
        <v>34</v>
      </c>
      <c r="AK7" s="15">
        <v>35</v>
      </c>
      <c r="AL7" s="15">
        <v>36</v>
      </c>
      <c r="AM7" s="15">
        <v>37</v>
      </c>
      <c r="AN7" s="15">
        <v>38</v>
      </c>
      <c r="AO7" s="15">
        <v>39</v>
      </c>
      <c r="AP7" s="15">
        <v>40</v>
      </c>
      <c r="AQ7" s="15">
        <v>41</v>
      </c>
      <c r="AR7" s="15">
        <v>42</v>
      </c>
      <c r="AS7" s="15">
        <v>43</v>
      </c>
      <c r="AT7" s="15">
        <v>44</v>
      </c>
      <c r="AU7" s="15">
        <v>45</v>
      </c>
      <c r="AV7" s="15">
        <v>46</v>
      </c>
      <c r="AW7" s="15">
        <v>47</v>
      </c>
      <c r="AX7" s="15">
        <v>48</v>
      </c>
      <c r="AY7" s="15">
        <v>49</v>
      </c>
      <c r="AZ7" s="15">
        <v>50</v>
      </c>
      <c r="BA7" s="15">
        <v>51</v>
      </c>
      <c r="BB7" s="15">
        <v>52</v>
      </c>
      <c r="BC7" s="15">
        <v>53</v>
      </c>
      <c r="BD7" s="15">
        <v>54</v>
      </c>
      <c r="BE7" s="15">
        <v>55</v>
      </c>
      <c r="BF7" s="15">
        <v>56</v>
      </c>
      <c r="BG7" s="15">
        <v>57</v>
      </c>
      <c r="BH7" s="15">
        <v>58</v>
      </c>
      <c r="BI7" s="15">
        <v>59</v>
      </c>
      <c r="BJ7" s="15">
        <v>60</v>
      </c>
      <c r="BK7" s="15">
        <v>61</v>
      </c>
      <c r="BL7" s="15">
        <v>62</v>
      </c>
      <c r="BM7" s="15">
        <v>63</v>
      </c>
      <c r="BN7" s="15">
        <v>64</v>
      </c>
      <c r="BO7" s="15">
        <v>65</v>
      </c>
      <c r="BP7" s="15">
        <v>66</v>
      </c>
      <c r="BQ7" s="15">
        <v>67</v>
      </c>
      <c r="BR7" s="15">
        <v>68</v>
      </c>
      <c r="BS7" s="15">
        <v>69</v>
      </c>
      <c r="BT7" s="15">
        <v>70</v>
      </c>
      <c r="BU7" s="15">
        <v>71</v>
      </c>
      <c r="BV7" s="15">
        <v>72</v>
      </c>
      <c r="BW7" s="15">
        <v>73</v>
      </c>
      <c r="BX7" s="15">
        <v>74</v>
      </c>
      <c r="BY7" s="15">
        <v>75</v>
      </c>
      <c r="BZ7" s="17" t="s">
        <v>12</v>
      </c>
    </row>
    <row r="8" spans="1:78" x14ac:dyDescent="0.35">
      <c r="A8" s="18" t="s">
        <v>13</v>
      </c>
      <c r="B8" s="194" t="s">
        <v>14</v>
      </c>
      <c r="C8" s="19">
        <f>'[8]Set Up'!$U$2</f>
        <v>22597</v>
      </c>
      <c r="D8" s="19">
        <f>'[8]Set Up'!$U$3</f>
        <v>22398</v>
      </c>
      <c r="E8" s="19">
        <f>'[8]Set Up'!$U$4</f>
        <v>22200</v>
      </c>
      <c r="F8" s="19">
        <f>'[8]Set Up'!$U$5</f>
        <v>22001</v>
      </c>
      <c r="G8" s="19">
        <f>'[8]Set Up'!$U$6</f>
        <v>21803</v>
      </c>
      <c r="H8" s="19">
        <f>'[8]Set Up'!$U$7</f>
        <v>21604</v>
      </c>
      <c r="I8" s="19">
        <f>'[8]Set Up'!$U$8</f>
        <v>21405</v>
      </c>
      <c r="J8" s="19">
        <f>'[8]Set Up'!$U$9</f>
        <v>21207</v>
      </c>
      <c r="K8" s="19">
        <f>'[8]Set Up'!$U$10</f>
        <v>21008</v>
      </c>
      <c r="L8" s="19">
        <f>'[8]Set Up'!$U$11</f>
        <v>20810</v>
      </c>
      <c r="M8" s="19">
        <f>'[8]Set Up'!$U$12</f>
        <v>20611</v>
      </c>
      <c r="N8" s="19">
        <f>'[8]Set Up'!$U$13</f>
        <v>20413</v>
      </c>
      <c r="O8" s="19">
        <f>'[8]Set Up'!$U$14</f>
        <v>20214</v>
      </c>
      <c r="P8" s="19">
        <f>'[8]Set Up'!$U$15</f>
        <v>20015</v>
      </c>
      <c r="Q8" s="19">
        <f>'[8]Set Up'!$U$16</f>
        <v>19817</v>
      </c>
      <c r="R8" s="19">
        <f>'[8]Set Up'!$U$17</f>
        <v>19618</v>
      </c>
      <c r="S8" s="19">
        <f>'[8]Set Up'!$U$18</f>
        <v>19420</v>
      </c>
      <c r="T8" s="19">
        <f>'[8]Set Up'!$U$19</f>
        <v>19221</v>
      </c>
      <c r="U8" s="19">
        <f>'[8]Set Up'!$U$20</f>
        <v>19023</v>
      </c>
      <c r="V8" s="19">
        <f>'[8]Set Up'!$U$21</f>
        <v>18824</v>
      </c>
      <c r="W8" s="19">
        <f>'[8]Set Up'!$U$22</f>
        <v>18626</v>
      </c>
      <c r="X8" s="19">
        <f>'[8]Set Up'!$U$23</f>
        <v>18427</v>
      </c>
      <c r="Y8" s="19">
        <f>'[8]Set Up'!$U$24</f>
        <v>18228</v>
      </c>
      <c r="Z8" s="19">
        <f>'[8]Set Up'!$U$25</f>
        <v>18030</v>
      </c>
      <c r="AA8" s="19">
        <f>'[8]Set Up'!$U$26</f>
        <v>17831</v>
      </c>
      <c r="AB8" s="19">
        <f>'[8]Set Up'!$U$27</f>
        <v>17633</v>
      </c>
      <c r="AC8" s="19">
        <f>'[8]Set Up'!$U$28</f>
        <v>17434</v>
      </c>
      <c r="AD8" s="19">
        <f>'[8]Set Up'!$U$29</f>
        <v>17236</v>
      </c>
      <c r="AE8" s="19">
        <f>'[8]Set Up'!$U$30</f>
        <v>17037</v>
      </c>
      <c r="AF8" s="19">
        <f>'[8]Set Up'!$U$31</f>
        <v>16838</v>
      </c>
      <c r="AG8" s="19">
        <f>'[8]Set Up'!$U$32</f>
        <v>16640</v>
      </c>
      <c r="AH8" s="19">
        <f>'[8]Set Up'!$U$33</f>
        <v>16441</v>
      </c>
      <c r="AI8" s="19">
        <f>'[8]Set Up'!$U$34</f>
        <v>16243</v>
      </c>
      <c r="AJ8" s="19">
        <f>'[8]Set Up'!$U$35</f>
        <v>16044</v>
      </c>
      <c r="AK8" s="19">
        <f>'[8]Set Up'!$U$36</f>
        <v>15846</v>
      </c>
      <c r="AL8" s="19">
        <f>'[8]Set Up'!$U$37</f>
        <v>15647</v>
      </c>
      <c r="AM8" s="19">
        <f>'[8]Set Up'!$U$38</f>
        <v>15448</v>
      </c>
      <c r="AN8" s="19">
        <f>'[8]Set Up'!$U$39</f>
        <v>15250</v>
      </c>
      <c r="AO8" s="19">
        <f>'[8]Set Up'!$U$40</f>
        <v>15051</v>
      </c>
      <c r="AP8" s="19">
        <f>'[8]Set Up'!$U$41</f>
        <v>14853</v>
      </c>
      <c r="AQ8" s="19">
        <f>'[8]Set Up'!$U$42</f>
        <v>14654</v>
      </c>
      <c r="AR8" s="19">
        <f>'[8]Set Up'!$U$43</f>
        <v>14456</v>
      </c>
      <c r="AS8" s="19">
        <f>'[8]Set Up'!$U$44</f>
        <v>14257</v>
      </c>
      <c r="AT8" s="19">
        <f>'[8]Set Up'!$U$45</f>
        <v>14059</v>
      </c>
      <c r="AU8" s="19">
        <f>'[8]Set Up'!$U$46</f>
        <v>13860</v>
      </c>
      <c r="AV8" s="19">
        <f>'[8]Set Up'!$U$47</f>
        <v>13661</v>
      </c>
      <c r="AW8" s="19">
        <f>'[8]Set Up'!$U$48</f>
        <v>13463</v>
      </c>
      <c r="AX8" s="19">
        <f>'[8]Set Up'!$U$49</f>
        <v>13264</v>
      </c>
      <c r="AY8" s="19">
        <f>'[8]Set Up'!$U$50</f>
        <v>13066</v>
      </c>
      <c r="AZ8" s="19">
        <f>'[8]Set Up'!$U$51</f>
        <v>12867</v>
      </c>
      <c r="BA8" s="19">
        <f>'[8]Set Up'!$U$52</f>
        <v>12669</v>
      </c>
      <c r="BB8" s="19">
        <f>'[8]Set Up'!$U$53</f>
        <v>12470</v>
      </c>
      <c r="BC8" s="19">
        <f>'[8]Set Up'!$U$54</f>
        <v>0</v>
      </c>
      <c r="BD8" s="19">
        <f>'[8]Set Up'!$U$55</f>
        <v>0</v>
      </c>
      <c r="BE8" s="19">
        <f>'[8]Set Up'!$U$56</f>
        <v>0</v>
      </c>
      <c r="BF8" s="19">
        <f>'[8]Set Up'!$U$57</f>
        <v>0</v>
      </c>
      <c r="BG8" s="19">
        <f>'[8]Set Up'!$U$58</f>
        <v>0</v>
      </c>
      <c r="BH8" s="19">
        <f>'[8]Set Up'!$U$59</f>
        <v>0</v>
      </c>
      <c r="BI8" s="19">
        <f>'[8]Set Up'!$U$60</f>
        <v>0</v>
      </c>
      <c r="BJ8" s="19">
        <f>'[8]Set Up'!$U$61</f>
        <v>0</v>
      </c>
      <c r="BK8" s="19">
        <f>'[8]Set Up'!$U$62</f>
        <v>0</v>
      </c>
      <c r="BL8" s="19">
        <f>'[8]Set Up'!$U$63</f>
        <v>0</v>
      </c>
      <c r="BM8" s="19">
        <f>'[8]Set Up'!$U$64</f>
        <v>0</v>
      </c>
      <c r="BN8" s="19">
        <f>'[8]Set Up'!$U$65</f>
        <v>0</v>
      </c>
      <c r="BO8" s="19">
        <f>'[8]Set Up'!$U$66</f>
        <v>0</v>
      </c>
      <c r="BP8" s="19">
        <f>'[8]Set Up'!$U$67</f>
        <v>0</v>
      </c>
      <c r="BQ8" s="19">
        <f>'[8]Set Up'!$U$68</f>
        <v>0</v>
      </c>
      <c r="BR8" s="19">
        <f>'[8]Set Up'!$U$69</f>
        <v>0</v>
      </c>
      <c r="BS8" s="19">
        <f>'[8]Set Up'!$U$70</f>
        <v>0</v>
      </c>
      <c r="BT8" s="19">
        <f>'[8]Set Up'!$U$71</f>
        <v>0</v>
      </c>
      <c r="BU8" s="19">
        <f>'[8]Set Up'!$U$72</f>
        <v>0</v>
      </c>
      <c r="BV8" s="19">
        <f>'[8]Set Up'!$U$73</f>
        <v>0</v>
      </c>
      <c r="BW8" s="19">
        <f>'[8]Set Up'!$U$74</f>
        <v>0</v>
      </c>
      <c r="BX8" s="19">
        <f>'[8]Set Up'!$U$75</f>
        <v>0</v>
      </c>
      <c r="BY8" s="19">
        <f>'[8]Set Up'!$U$76</f>
        <v>0</v>
      </c>
      <c r="BZ8" s="8"/>
    </row>
    <row r="9" spans="1:78" x14ac:dyDescent="0.35">
      <c r="A9" s="20" t="s">
        <v>15</v>
      </c>
      <c r="B9" s="195"/>
      <c r="C9" s="21">
        <f>'[8]Set Up'!$V2</f>
        <v>22756</v>
      </c>
      <c r="D9" s="21">
        <f>'[8]Set Up'!$V3</f>
        <v>22558</v>
      </c>
      <c r="E9" s="21">
        <f>'[8]Set Up'!$V4</f>
        <v>22359</v>
      </c>
      <c r="F9" s="21">
        <f>'[8]Set Up'!$V5</f>
        <v>22161</v>
      </c>
      <c r="G9" s="21">
        <f>'[8]Set Up'!$V6</f>
        <v>21962</v>
      </c>
      <c r="H9" s="21">
        <f>'[8]Set Up'!$V7</f>
        <v>21764</v>
      </c>
      <c r="I9" s="21">
        <f>'[8]Set Up'!$V8</f>
        <v>21565</v>
      </c>
      <c r="J9" s="21">
        <f>'[8]Set Up'!$V9</f>
        <v>21366</v>
      </c>
      <c r="K9" s="21">
        <f>'[8]Set Up'!$V10</f>
        <v>21168</v>
      </c>
      <c r="L9" s="21">
        <f>'[8]Set Up'!$V11</f>
        <v>20969</v>
      </c>
      <c r="M9" s="21">
        <f>'[8]Set Up'!$V12</f>
        <v>20771</v>
      </c>
      <c r="N9" s="21">
        <f>'[8]Set Up'!$V13</f>
        <v>20572</v>
      </c>
      <c r="O9" s="21">
        <f>'[8]Set Up'!$V14</f>
        <v>20374</v>
      </c>
      <c r="P9" s="21">
        <f>'[8]Set Up'!$V15</f>
        <v>20175</v>
      </c>
      <c r="Q9" s="21">
        <f>'[8]Set Up'!$V16</f>
        <v>19976</v>
      </c>
      <c r="R9" s="21">
        <f>'[8]Set Up'!$V17</f>
        <v>19778</v>
      </c>
      <c r="S9" s="21">
        <f>'[8]Set Up'!$V18</f>
        <v>19579</v>
      </c>
      <c r="T9" s="21">
        <f>'[8]Set Up'!$V19</f>
        <v>19381</v>
      </c>
      <c r="U9" s="21">
        <f>'[8]Set Up'!$V20</f>
        <v>19182</v>
      </c>
      <c r="V9" s="21">
        <f>'[8]Set Up'!$V21</f>
        <v>18984</v>
      </c>
      <c r="W9" s="21">
        <f>'[8]Set Up'!$V22</f>
        <v>18785</v>
      </c>
      <c r="X9" s="21">
        <f>'[8]Set Up'!$V23</f>
        <v>18587</v>
      </c>
      <c r="Y9" s="21">
        <f>'[8]Set Up'!$V24</f>
        <v>18388</v>
      </c>
      <c r="Z9" s="21">
        <f>'[8]Set Up'!$V25</f>
        <v>18189</v>
      </c>
      <c r="AA9" s="21">
        <f>'[8]Set Up'!$V26</f>
        <v>17991</v>
      </c>
      <c r="AB9" s="21">
        <f>'[8]Set Up'!$V27</f>
        <v>17792</v>
      </c>
      <c r="AC9" s="21">
        <f>'[8]Set Up'!$V28</f>
        <v>17594</v>
      </c>
      <c r="AD9" s="21">
        <f>'[8]Set Up'!$V29</f>
        <v>17395</v>
      </c>
      <c r="AE9" s="21">
        <f>'[8]Set Up'!$V30</f>
        <v>17197</v>
      </c>
      <c r="AF9" s="21">
        <f>'[8]Set Up'!$V31</f>
        <v>16998</v>
      </c>
      <c r="AG9" s="21">
        <f>'[8]Set Up'!$V32</f>
        <v>16799</v>
      </c>
      <c r="AH9" s="21">
        <f>'[8]Set Up'!$V33</f>
        <v>16601</v>
      </c>
      <c r="AI9" s="21">
        <f>'[8]Set Up'!$V34</f>
        <v>16402</v>
      </c>
      <c r="AJ9" s="21">
        <f>'[8]Set Up'!$V35</f>
        <v>16204</v>
      </c>
      <c r="AK9" s="21">
        <f>'[8]Set Up'!$V36</f>
        <v>16005</v>
      </c>
      <c r="AL9" s="21">
        <f>'[8]Set Up'!$V37</f>
        <v>15807</v>
      </c>
      <c r="AM9" s="21">
        <f>'[8]Set Up'!$V38</f>
        <v>15608</v>
      </c>
      <c r="AN9" s="21">
        <f>'[8]Set Up'!$V39</f>
        <v>15409</v>
      </c>
      <c r="AO9" s="21">
        <f>'[8]Set Up'!$V40</f>
        <v>15211</v>
      </c>
      <c r="AP9" s="21">
        <f>'[8]Set Up'!$V41</f>
        <v>15012</v>
      </c>
      <c r="AQ9" s="21">
        <f>'[8]Set Up'!$V42</f>
        <v>14814</v>
      </c>
      <c r="AR9" s="21">
        <f>'[8]Set Up'!$V43</f>
        <v>14615</v>
      </c>
      <c r="AS9" s="21">
        <f>'[8]Set Up'!$V44</f>
        <v>14417</v>
      </c>
      <c r="AT9" s="21">
        <f>'[8]Set Up'!$V45</f>
        <v>14218</v>
      </c>
      <c r="AU9" s="21">
        <f>'[8]Set Up'!$V46</f>
        <v>14020</v>
      </c>
      <c r="AV9" s="21">
        <f>'[8]Set Up'!$V47</f>
        <v>13821</v>
      </c>
      <c r="AW9" s="21">
        <f>'[8]Set Up'!$V48</f>
        <v>13622</v>
      </c>
      <c r="AX9" s="21">
        <f>'[8]Set Up'!$V49</f>
        <v>13424</v>
      </c>
      <c r="AY9" s="21">
        <f>'[8]Set Up'!$V50</f>
        <v>13225</v>
      </c>
      <c r="AZ9" s="21">
        <f>'[8]Set Up'!$V51</f>
        <v>13027</v>
      </c>
      <c r="BA9" s="21">
        <f>'[8]Set Up'!$V52</f>
        <v>12828</v>
      </c>
      <c r="BB9" s="21">
        <f>'[8]Set Up'!$V53</f>
        <v>12630</v>
      </c>
      <c r="BC9" s="21">
        <f>'[8]Set Up'!$V54</f>
        <v>0</v>
      </c>
      <c r="BD9" s="21">
        <f>'[8]Set Up'!$V55</f>
        <v>0</v>
      </c>
      <c r="BE9" s="21">
        <f>'[8]Set Up'!$V56</f>
        <v>0</v>
      </c>
      <c r="BF9" s="21">
        <f>'[8]Set Up'!$V57</f>
        <v>0</v>
      </c>
      <c r="BG9" s="21">
        <f>'[8]Set Up'!$V58</f>
        <v>0</v>
      </c>
      <c r="BH9" s="21">
        <f>'[8]Set Up'!$V59</f>
        <v>0</v>
      </c>
      <c r="BI9" s="21">
        <f>'[8]Set Up'!$V60</f>
        <v>0</v>
      </c>
      <c r="BJ9" s="21">
        <f>'[8]Set Up'!$V61</f>
        <v>0</v>
      </c>
      <c r="BK9" s="21">
        <f>'[8]Set Up'!$V62</f>
        <v>0</v>
      </c>
      <c r="BL9" s="21">
        <f>'[8]Set Up'!$V63</f>
        <v>0</v>
      </c>
      <c r="BM9" s="21">
        <f>'[8]Set Up'!$V64</f>
        <v>0</v>
      </c>
      <c r="BN9" s="21">
        <f>'[8]Set Up'!$V65</f>
        <v>0</v>
      </c>
      <c r="BO9" s="21">
        <f>'[8]Set Up'!$V66</f>
        <v>0</v>
      </c>
      <c r="BP9" s="21">
        <f>'[8]Set Up'!$V67</f>
        <v>0</v>
      </c>
      <c r="BQ9" s="21">
        <f>'[8]Set Up'!$V68</f>
        <v>0</v>
      </c>
      <c r="BR9" s="21">
        <f>'[8]Set Up'!$V69</f>
        <v>0</v>
      </c>
      <c r="BS9" s="21">
        <f>'[8]Set Up'!$V70</f>
        <v>0</v>
      </c>
      <c r="BT9" s="21">
        <f>'[8]Set Up'!$V71</f>
        <v>0</v>
      </c>
      <c r="BU9" s="21">
        <f>'[8]Set Up'!$V72</f>
        <v>0</v>
      </c>
      <c r="BV9" s="21">
        <f>'[8]Set Up'!$V73</f>
        <v>0</v>
      </c>
      <c r="BW9" s="21">
        <f>'[8]Set Up'!$V74</f>
        <v>0</v>
      </c>
      <c r="BX9" s="21">
        <f>'[8]Set Up'!$V75</f>
        <v>0</v>
      </c>
      <c r="BY9" s="21">
        <f>'[8]Set Up'!$V76</f>
        <v>0</v>
      </c>
      <c r="BZ9" s="8"/>
    </row>
    <row r="10" spans="1:78" ht="15" thickBot="1" x14ac:dyDescent="0.4">
      <c r="A10" s="22" t="s">
        <v>16</v>
      </c>
      <c r="B10" s="195"/>
      <c r="C10" s="23">
        <f>'[8]Set Up'!$W2</f>
        <v>24</v>
      </c>
      <c r="D10" s="23">
        <f>'[8]Set Up'!$W3</f>
        <v>24</v>
      </c>
      <c r="E10" s="23">
        <f>'[8]Set Up'!$W4</f>
        <v>24</v>
      </c>
      <c r="F10" s="23">
        <f>'[8]Set Up'!$W5</f>
        <v>24</v>
      </c>
      <c r="G10" s="23">
        <f>'[8]Set Up'!$W6</f>
        <v>24</v>
      </c>
      <c r="H10" s="23">
        <f>'[8]Set Up'!$W7</f>
        <v>24</v>
      </c>
      <c r="I10" s="23">
        <f>'[8]Set Up'!$W8</f>
        <v>24</v>
      </c>
      <c r="J10" s="23">
        <f>'[8]Set Up'!$W9</f>
        <v>24</v>
      </c>
      <c r="K10" s="23">
        <f>'[8]Set Up'!$W10</f>
        <v>24</v>
      </c>
      <c r="L10" s="23">
        <f>'[8]Set Up'!$W11</f>
        <v>24</v>
      </c>
      <c r="M10" s="23">
        <f>'[8]Set Up'!$W12</f>
        <v>24</v>
      </c>
      <c r="N10" s="23">
        <f>'[8]Set Up'!$W13</f>
        <v>24</v>
      </c>
      <c r="O10" s="23">
        <f>'[8]Set Up'!$W14</f>
        <v>24</v>
      </c>
      <c r="P10" s="23">
        <f>'[8]Set Up'!$W15</f>
        <v>24</v>
      </c>
      <c r="Q10" s="23">
        <f>'[8]Set Up'!$W16</f>
        <v>24</v>
      </c>
      <c r="R10" s="23">
        <f>'[8]Set Up'!$W17</f>
        <v>24</v>
      </c>
      <c r="S10" s="23">
        <f>'[8]Set Up'!$W18</f>
        <v>24</v>
      </c>
      <c r="T10" s="23">
        <f>'[8]Set Up'!$W19</f>
        <v>24</v>
      </c>
      <c r="U10" s="23">
        <f>'[8]Set Up'!$W20</f>
        <v>24</v>
      </c>
      <c r="V10" s="23">
        <f>'[8]Set Up'!$W21</f>
        <v>24</v>
      </c>
      <c r="W10" s="23">
        <f>'[8]Set Up'!$W22</f>
        <v>24</v>
      </c>
      <c r="X10" s="23">
        <f>'[8]Set Up'!$W23</f>
        <v>24</v>
      </c>
      <c r="Y10" s="23">
        <f>'[8]Set Up'!$W24</f>
        <v>24</v>
      </c>
      <c r="Z10" s="23">
        <f>'[8]Set Up'!$W25</f>
        <v>24</v>
      </c>
      <c r="AA10" s="23">
        <f>'[8]Set Up'!$W26</f>
        <v>24</v>
      </c>
      <c r="AB10" s="23">
        <f>'[8]Set Up'!$W27</f>
        <v>24</v>
      </c>
      <c r="AC10" s="23">
        <f>'[8]Set Up'!$W28</f>
        <v>24</v>
      </c>
      <c r="AD10" s="23">
        <f>'[8]Set Up'!$W29</f>
        <v>24</v>
      </c>
      <c r="AE10" s="23">
        <f>'[8]Set Up'!$W30</f>
        <v>24</v>
      </c>
      <c r="AF10" s="23">
        <f>'[8]Set Up'!$W31</f>
        <v>24</v>
      </c>
      <c r="AG10" s="23">
        <f>'[8]Set Up'!$W32</f>
        <v>24</v>
      </c>
      <c r="AH10" s="23">
        <f>'[8]Set Up'!$W33</f>
        <v>24</v>
      </c>
      <c r="AI10" s="23">
        <f>'[8]Set Up'!$W34</f>
        <v>24</v>
      </c>
      <c r="AJ10" s="23">
        <f>'[8]Set Up'!$W35</f>
        <v>24</v>
      </c>
      <c r="AK10" s="23">
        <f>'[8]Set Up'!$W36</f>
        <v>24</v>
      </c>
      <c r="AL10" s="23">
        <f>'[8]Set Up'!$W37</f>
        <v>24</v>
      </c>
      <c r="AM10" s="23">
        <f>'[8]Set Up'!$W38</f>
        <v>24</v>
      </c>
      <c r="AN10" s="23">
        <f>'[8]Set Up'!$W39</f>
        <v>24</v>
      </c>
      <c r="AO10" s="23">
        <f>'[8]Set Up'!$W40</f>
        <v>24</v>
      </c>
      <c r="AP10" s="23">
        <f>'[8]Set Up'!$W41</f>
        <v>24</v>
      </c>
      <c r="AQ10" s="23">
        <f>'[8]Set Up'!$W42</f>
        <v>24</v>
      </c>
      <c r="AR10" s="23">
        <f>'[8]Set Up'!$W43</f>
        <v>24</v>
      </c>
      <c r="AS10" s="23">
        <f>'[8]Set Up'!$W44</f>
        <v>24</v>
      </c>
      <c r="AT10" s="23">
        <f>'[8]Set Up'!$W45</f>
        <v>24</v>
      </c>
      <c r="AU10" s="23">
        <f>'[8]Set Up'!$W46</f>
        <v>24</v>
      </c>
      <c r="AV10" s="23">
        <f>'[8]Set Up'!$W47</f>
        <v>24</v>
      </c>
      <c r="AW10" s="23">
        <f>'[8]Set Up'!$W48</f>
        <v>24</v>
      </c>
      <c r="AX10" s="23">
        <f>'[8]Set Up'!$W49</f>
        <v>24</v>
      </c>
      <c r="AY10" s="23">
        <f>'[8]Set Up'!$W50</f>
        <v>24</v>
      </c>
      <c r="AZ10" s="23">
        <f>'[8]Set Up'!$W51</f>
        <v>24</v>
      </c>
      <c r="BA10" s="23">
        <f>'[8]Set Up'!$W52</f>
        <v>24</v>
      </c>
      <c r="BB10" s="23">
        <f>'[8]Set Up'!$W53</f>
        <v>24</v>
      </c>
      <c r="BC10" s="23">
        <f>'[8]Set Up'!$W54</f>
        <v>0</v>
      </c>
      <c r="BD10" s="23">
        <f>'[8]Set Up'!$W55</f>
        <v>0</v>
      </c>
      <c r="BE10" s="23">
        <f>'[8]Set Up'!$W56</f>
        <v>0</v>
      </c>
      <c r="BF10" s="23">
        <f>'[8]Set Up'!$W57</f>
        <v>0</v>
      </c>
      <c r="BG10" s="23">
        <f>'[8]Set Up'!$W58</f>
        <v>0</v>
      </c>
      <c r="BH10" s="23">
        <f>'[8]Set Up'!$W59</f>
        <v>0</v>
      </c>
      <c r="BI10" s="23">
        <f>'[8]Set Up'!$W60</f>
        <v>0</v>
      </c>
      <c r="BJ10" s="23">
        <f>'[8]Set Up'!$W61</f>
        <v>0</v>
      </c>
      <c r="BK10" s="23">
        <f>'[8]Set Up'!$W62</f>
        <v>0</v>
      </c>
      <c r="BL10" s="23">
        <f>'[8]Set Up'!$W63</f>
        <v>0</v>
      </c>
      <c r="BM10" s="23">
        <f>'[8]Set Up'!$W64</f>
        <v>0</v>
      </c>
      <c r="BN10" s="23">
        <f>'[8]Set Up'!$W65</f>
        <v>0</v>
      </c>
      <c r="BO10" s="23">
        <f>'[8]Set Up'!$W66</f>
        <v>0</v>
      </c>
      <c r="BP10" s="23">
        <f>'[8]Set Up'!$W67</f>
        <v>0</v>
      </c>
      <c r="BQ10" s="23">
        <f>'[8]Set Up'!$W68</f>
        <v>0</v>
      </c>
      <c r="BR10" s="23">
        <f>'[8]Set Up'!$W69</f>
        <v>0</v>
      </c>
      <c r="BS10" s="23">
        <f>'[8]Set Up'!$W70</f>
        <v>0</v>
      </c>
      <c r="BT10" s="23">
        <f>'[8]Set Up'!$W71</f>
        <v>0</v>
      </c>
      <c r="BU10" s="23">
        <f>'[8]Set Up'!$W72</f>
        <v>0</v>
      </c>
      <c r="BV10" s="23">
        <f>'[8]Set Up'!$W73</f>
        <v>0</v>
      </c>
      <c r="BW10" s="23">
        <f>'[8]Set Up'!$W74</f>
        <v>0</v>
      </c>
      <c r="BX10" s="23">
        <f>'[8]Set Up'!$W75</f>
        <v>0</v>
      </c>
      <c r="BY10" s="23">
        <f>'[8]Set Up'!$W76</f>
        <v>0</v>
      </c>
      <c r="BZ10" s="8"/>
    </row>
    <row r="11" spans="1:78" x14ac:dyDescent="0.35">
      <c r="A11" s="18" t="s">
        <v>17</v>
      </c>
      <c r="B11" s="195"/>
      <c r="C11" s="19">
        <f>'[8]Set Up'!$X2</f>
        <v>22775</v>
      </c>
      <c r="D11" s="19">
        <f>'[8]Set Up'!$X3</f>
        <v>22577</v>
      </c>
      <c r="E11" s="19">
        <f>'[8]Set Up'!$X4</f>
        <v>22378</v>
      </c>
      <c r="F11" s="19">
        <f>'[8]Set Up'!$X5</f>
        <v>22180</v>
      </c>
      <c r="G11" s="19">
        <f>'[8]Set Up'!$X6</f>
        <v>21981</v>
      </c>
      <c r="H11" s="19">
        <f>'[8]Set Up'!$X7</f>
        <v>21783</v>
      </c>
      <c r="I11" s="19">
        <f>'[8]Set Up'!$X8</f>
        <v>21584</v>
      </c>
      <c r="J11" s="19">
        <f>'[8]Set Up'!$X9</f>
        <v>21385</v>
      </c>
      <c r="K11" s="19">
        <f>'[8]Set Up'!$X10</f>
        <v>21187</v>
      </c>
      <c r="L11" s="19">
        <f>'[8]Set Up'!$X11</f>
        <v>20988</v>
      </c>
      <c r="M11" s="19">
        <f>'[8]Set Up'!$X12</f>
        <v>20790</v>
      </c>
      <c r="N11" s="19">
        <f>'[8]Set Up'!$X13</f>
        <v>20591</v>
      </c>
      <c r="O11" s="19">
        <f>'[8]Set Up'!$X14</f>
        <v>20393</v>
      </c>
      <c r="P11" s="19">
        <f>'[8]Set Up'!$X15</f>
        <v>20194</v>
      </c>
      <c r="Q11" s="19">
        <f>'[8]Set Up'!$X16</f>
        <v>19995</v>
      </c>
      <c r="R11" s="19">
        <f>'[8]Set Up'!$X17</f>
        <v>19797</v>
      </c>
      <c r="S11" s="19">
        <f>'[8]Set Up'!$X18</f>
        <v>19598</v>
      </c>
      <c r="T11" s="19">
        <f>'[8]Set Up'!$X19</f>
        <v>19400</v>
      </c>
      <c r="U11" s="19">
        <f>'[8]Set Up'!$X20</f>
        <v>19201</v>
      </c>
      <c r="V11" s="19">
        <f>'[8]Set Up'!$X21</f>
        <v>19003</v>
      </c>
      <c r="W11" s="19">
        <f>'[8]Set Up'!$X22</f>
        <v>18804</v>
      </c>
      <c r="X11" s="19">
        <f>'[8]Set Up'!$X23</f>
        <v>18606</v>
      </c>
      <c r="Y11" s="19">
        <f>'[8]Set Up'!$X24</f>
        <v>18407</v>
      </c>
      <c r="Z11" s="19">
        <f>'[8]Set Up'!$X25</f>
        <v>18208</v>
      </c>
      <c r="AA11" s="19">
        <f>'[8]Set Up'!$X26</f>
        <v>18010</v>
      </c>
      <c r="AB11" s="19">
        <f>'[8]Set Up'!$X27</f>
        <v>17811</v>
      </c>
      <c r="AC11" s="19">
        <f>'[8]Set Up'!$X28</f>
        <v>17613</v>
      </c>
      <c r="AD11" s="19">
        <f>'[8]Set Up'!$X29</f>
        <v>17414</v>
      </c>
      <c r="AE11" s="19">
        <f>'[8]Set Up'!$X30</f>
        <v>17216</v>
      </c>
      <c r="AF11" s="19">
        <f>'[8]Set Up'!$X31</f>
        <v>17017</v>
      </c>
      <c r="AG11" s="19">
        <f>'[8]Set Up'!$X32</f>
        <v>16818</v>
      </c>
      <c r="AH11" s="19">
        <f>'[8]Set Up'!$X33</f>
        <v>16620</v>
      </c>
      <c r="AI11" s="19">
        <f>'[8]Set Up'!$X34</f>
        <v>16421</v>
      </c>
      <c r="AJ11" s="19">
        <f>'[8]Set Up'!$X35</f>
        <v>16223</v>
      </c>
      <c r="AK11" s="19">
        <f>'[8]Set Up'!$X36</f>
        <v>16024</v>
      </c>
      <c r="AL11" s="19">
        <f>'[8]Set Up'!$X37</f>
        <v>15826</v>
      </c>
      <c r="AM11" s="19">
        <f>'[8]Set Up'!$X38</f>
        <v>15627</v>
      </c>
      <c r="AN11" s="19">
        <f>'[8]Set Up'!$X39</f>
        <v>15428</v>
      </c>
      <c r="AO11" s="19">
        <f>'[8]Set Up'!$X40</f>
        <v>15230</v>
      </c>
      <c r="AP11" s="19">
        <f>'[8]Set Up'!$X41</f>
        <v>15031</v>
      </c>
      <c r="AQ11" s="19">
        <f>'[8]Set Up'!$X42</f>
        <v>14833</v>
      </c>
      <c r="AR11" s="19">
        <f>'[8]Set Up'!$X43</f>
        <v>14634</v>
      </c>
      <c r="AS11" s="19">
        <f>'[8]Set Up'!$X44</f>
        <v>14436</v>
      </c>
      <c r="AT11" s="19">
        <f>'[8]Set Up'!$X45</f>
        <v>14237</v>
      </c>
      <c r="AU11" s="19">
        <f>'[8]Set Up'!$X46</f>
        <v>14039</v>
      </c>
      <c r="AV11" s="19">
        <f>'[8]Set Up'!$X47</f>
        <v>13840</v>
      </c>
      <c r="AW11" s="19">
        <f>'[8]Set Up'!$X48</f>
        <v>13641</v>
      </c>
      <c r="AX11" s="19">
        <f>'[8]Set Up'!$X49</f>
        <v>13443</v>
      </c>
      <c r="AY11" s="19">
        <f>'[8]Set Up'!$X50</f>
        <v>13244</v>
      </c>
      <c r="AZ11" s="19">
        <f>'[8]Set Up'!$X51</f>
        <v>13046</v>
      </c>
      <c r="BA11" s="19">
        <f>'[8]Set Up'!$X52</f>
        <v>12847</v>
      </c>
      <c r="BB11" s="19">
        <f>'[8]Set Up'!$X53</f>
        <v>12649</v>
      </c>
      <c r="BC11" s="19">
        <f>'[8]Set Up'!$X54</f>
        <v>0</v>
      </c>
      <c r="BD11" s="19">
        <f>'[8]Set Up'!$X55</f>
        <v>0</v>
      </c>
      <c r="BE11" s="19">
        <f>'[8]Set Up'!$X56</f>
        <v>0</v>
      </c>
      <c r="BF11" s="19">
        <f>'[8]Set Up'!$X57</f>
        <v>0</v>
      </c>
      <c r="BG11" s="19">
        <f>'[8]Set Up'!$X58</f>
        <v>0</v>
      </c>
      <c r="BH11" s="19">
        <f>'[8]Set Up'!$X59</f>
        <v>0</v>
      </c>
      <c r="BI11" s="19">
        <f>'[8]Set Up'!$X60</f>
        <v>0</v>
      </c>
      <c r="BJ11" s="19">
        <f>'[8]Set Up'!$X61</f>
        <v>0</v>
      </c>
      <c r="BK11" s="19">
        <f>'[8]Set Up'!$X62</f>
        <v>0</v>
      </c>
      <c r="BL11" s="19">
        <f>'[8]Set Up'!$X63</f>
        <v>0</v>
      </c>
      <c r="BM11" s="19">
        <f>'[8]Set Up'!$X64</f>
        <v>0</v>
      </c>
      <c r="BN11" s="19">
        <f>'[8]Set Up'!$X65</f>
        <v>0</v>
      </c>
      <c r="BO11" s="19">
        <f>'[8]Set Up'!$X66</f>
        <v>0</v>
      </c>
      <c r="BP11" s="19">
        <f>'[8]Set Up'!$X67</f>
        <v>0</v>
      </c>
      <c r="BQ11" s="19">
        <f>'[8]Set Up'!$X68</f>
        <v>0</v>
      </c>
      <c r="BR11" s="19">
        <f>'[8]Set Up'!$X69</f>
        <v>0</v>
      </c>
      <c r="BS11" s="19">
        <f>'[8]Set Up'!$X70</f>
        <v>0</v>
      </c>
      <c r="BT11" s="19">
        <f>'[8]Set Up'!$X71</f>
        <v>0</v>
      </c>
      <c r="BU11" s="19">
        <f>'[8]Set Up'!$X72</f>
        <v>0</v>
      </c>
      <c r="BV11" s="19">
        <f>'[8]Set Up'!$X73</f>
        <v>0</v>
      </c>
      <c r="BW11" s="19">
        <f>'[8]Set Up'!$X74</f>
        <v>0</v>
      </c>
      <c r="BX11" s="19">
        <f>'[8]Set Up'!$X75</f>
        <v>0</v>
      </c>
      <c r="BY11" s="19">
        <f>'[8]Set Up'!$X76</f>
        <v>0</v>
      </c>
      <c r="BZ11" s="8"/>
    </row>
    <row r="12" spans="1:78" ht="15" thickBot="1" x14ac:dyDescent="0.4">
      <c r="A12" s="20" t="s">
        <v>18</v>
      </c>
      <c r="B12" s="195"/>
      <c r="C12" s="24">
        <f>'[8]Set Up'!$AA2</f>
        <v>12405</v>
      </c>
      <c r="D12" s="24">
        <f>'[8]Set Up'!$AA3</f>
        <v>12400</v>
      </c>
      <c r="E12" s="24">
        <f>'[8]Set Up'!$AA4</f>
        <v>12401</v>
      </c>
      <c r="F12" s="24">
        <f>'[8]Set Up'!$AA5</f>
        <v>12398</v>
      </c>
      <c r="G12" s="24">
        <f>'[8]Set Up'!$AA6</f>
        <v>12397</v>
      </c>
      <c r="H12" s="24">
        <f>'[8]Set Up'!$AA7</f>
        <v>12401</v>
      </c>
      <c r="I12" s="24">
        <f>'[8]Set Up'!$AA8</f>
        <v>12401</v>
      </c>
      <c r="J12" s="24">
        <f>'[8]Set Up'!$AA9</f>
        <v>12400</v>
      </c>
      <c r="K12" s="24">
        <f>'[8]Set Up'!$AA10</f>
        <v>12396</v>
      </c>
      <c r="L12" s="24">
        <f>'[8]Set Up'!$AA11</f>
        <v>12399</v>
      </c>
      <c r="M12" s="24">
        <f>'[8]Set Up'!$AA12</f>
        <v>12397</v>
      </c>
      <c r="N12" s="24">
        <f>'[8]Set Up'!$AA13</f>
        <v>12395.72</v>
      </c>
      <c r="O12" s="24">
        <f>'[8]Set Up'!$AA14</f>
        <v>12399</v>
      </c>
      <c r="P12" s="24">
        <f>'[8]Set Up'!$AA15</f>
        <v>12398</v>
      </c>
      <c r="Q12" s="24">
        <f>'[8]Set Up'!$AA16</f>
        <v>12404</v>
      </c>
      <c r="R12" s="24">
        <f>'[8]Set Up'!$AA17</f>
        <v>12405</v>
      </c>
      <c r="S12" s="24">
        <f>'[8]Set Up'!$AA18</f>
        <v>12400</v>
      </c>
      <c r="T12" s="24">
        <f>'[8]Set Up'!$AA19</f>
        <v>12401</v>
      </c>
      <c r="U12" s="24">
        <f>'[8]Set Up'!$AA20</f>
        <v>12395</v>
      </c>
      <c r="V12" s="24">
        <f>'[8]Set Up'!$AA21</f>
        <v>12394</v>
      </c>
      <c r="W12" s="24">
        <f>'[8]Set Up'!$AA22</f>
        <v>12394</v>
      </c>
      <c r="X12" s="24">
        <f>'[8]Set Up'!$AA23</f>
        <v>12393</v>
      </c>
      <c r="Y12" s="24">
        <f>'[8]Set Up'!$AA24</f>
        <v>12391</v>
      </c>
      <c r="Z12" s="24">
        <f>'[8]Set Up'!$AA25</f>
        <v>12392</v>
      </c>
      <c r="AA12" s="24">
        <f>'[8]Set Up'!$AA26</f>
        <v>12391</v>
      </c>
      <c r="AB12" s="24">
        <f>'[8]Set Up'!$AA27</f>
        <v>12390</v>
      </c>
      <c r="AC12" s="24">
        <f>'[8]Set Up'!$AA28</f>
        <v>12384</v>
      </c>
      <c r="AD12" s="24">
        <f>'[8]Set Up'!$AA29</f>
        <v>12380</v>
      </c>
      <c r="AE12" s="24">
        <f>'[8]Set Up'!$AA30</f>
        <v>12377</v>
      </c>
      <c r="AF12" s="24">
        <f>'[8]Set Up'!$AA31</f>
        <v>12373</v>
      </c>
      <c r="AG12" s="24">
        <f>'[8]Set Up'!$AA32</f>
        <v>12370</v>
      </c>
      <c r="AH12" s="24">
        <f>'[8]Set Up'!$AA33</f>
        <v>12365</v>
      </c>
      <c r="AI12" s="24">
        <f>'[8]Set Up'!$AA34</f>
        <v>12360</v>
      </c>
      <c r="AJ12" s="24">
        <f>'[8]Set Up'!$AA35</f>
        <v>12359</v>
      </c>
      <c r="AK12" s="24">
        <f>'[8]Set Up'!$AA36</f>
        <v>12356</v>
      </c>
      <c r="AL12" s="24">
        <f>'[8]Set Up'!$AA37</f>
        <v>12354</v>
      </c>
      <c r="AM12" s="24">
        <f>'[8]Set Up'!$AA38</f>
        <v>12350</v>
      </c>
      <c r="AN12" s="24">
        <f>'[8]Set Up'!$AA39</f>
        <v>12344</v>
      </c>
      <c r="AO12" s="24">
        <f>'[8]Set Up'!$AA40</f>
        <v>12340</v>
      </c>
      <c r="AP12" s="24">
        <f>'[8]Set Up'!$AA41</f>
        <v>12335</v>
      </c>
      <c r="AQ12" s="24">
        <f>'[8]Set Up'!$AA42</f>
        <v>12327</v>
      </c>
      <c r="AR12" s="24">
        <f>'[8]Set Up'!$AA43</f>
        <v>12327</v>
      </c>
      <c r="AS12" s="24">
        <f>'[8]Set Up'!$AA44</f>
        <v>12313</v>
      </c>
      <c r="AT12" s="24">
        <f>'[8]Set Up'!$AA45</f>
        <v>12297</v>
      </c>
      <c r="AU12" s="24">
        <f>'[8]Set Up'!$AA46</f>
        <v>12296</v>
      </c>
      <c r="AV12" s="24">
        <f>'[8]Set Up'!$AA47</f>
        <v>12290</v>
      </c>
      <c r="AW12" s="24">
        <f>'[8]Set Up'!$AA48</f>
        <v>12289</v>
      </c>
      <c r="AX12" s="24">
        <f>'[8]Set Up'!$AA49</f>
        <v>12284</v>
      </c>
      <c r="AY12" s="24">
        <f>'[8]Set Up'!$AA50</f>
        <v>12278</v>
      </c>
      <c r="AZ12" s="24">
        <f>'[8]Set Up'!$AA51</f>
        <v>12278</v>
      </c>
      <c r="BA12" s="24">
        <f>'[8]Set Up'!$AA52</f>
        <v>12277</v>
      </c>
      <c r="BB12" s="24">
        <f>'[8]Set Up'!$AA53</f>
        <v>12274</v>
      </c>
      <c r="BC12" s="24">
        <f>'[8]Set Up'!$AA54</f>
        <v>0</v>
      </c>
      <c r="BD12" s="24">
        <f>'[8]Set Up'!$AA55</f>
        <v>0</v>
      </c>
      <c r="BE12" s="24">
        <f>'[8]Set Up'!$AA56</f>
        <v>0</v>
      </c>
      <c r="BF12" s="24">
        <f>'[8]Set Up'!$AA57</f>
        <v>0</v>
      </c>
      <c r="BG12" s="24">
        <f>'[8]Set Up'!$AA58</f>
        <v>0</v>
      </c>
      <c r="BH12" s="24">
        <f>'[8]Set Up'!$AA59</f>
        <v>0</v>
      </c>
      <c r="BI12" s="24">
        <f>'[8]Set Up'!$AA60</f>
        <v>0</v>
      </c>
      <c r="BJ12" s="24">
        <f>'[8]Set Up'!$AA61</f>
        <v>0</v>
      </c>
      <c r="BK12" s="24">
        <f>'[8]Set Up'!$AA62</f>
        <v>0</v>
      </c>
      <c r="BL12" s="24">
        <f>'[8]Set Up'!$AA63</f>
        <v>0</v>
      </c>
      <c r="BM12" s="24">
        <f>'[8]Set Up'!$AA64</f>
        <v>0</v>
      </c>
      <c r="BN12" s="24">
        <f>'[8]Set Up'!$AA65</f>
        <v>0</v>
      </c>
      <c r="BO12" s="24">
        <f>'[8]Set Up'!$AA66</f>
        <v>0</v>
      </c>
      <c r="BP12" s="24">
        <f>'[8]Set Up'!$AA67</f>
        <v>0</v>
      </c>
      <c r="BQ12" s="24">
        <f>'[8]Set Up'!$AA68</f>
        <v>0</v>
      </c>
      <c r="BR12" s="24">
        <f>'[8]Set Up'!$AA69</f>
        <v>0</v>
      </c>
      <c r="BS12" s="24">
        <f>'[8]Set Up'!$AA70</f>
        <v>0</v>
      </c>
      <c r="BT12" s="24">
        <f>'[8]Set Up'!$AA71</f>
        <v>0</v>
      </c>
      <c r="BU12" s="24">
        <f>'[8]Set Up'!$AA72</f>
        <v>0</v>
      </c>
      <c r="BV12" s="24">
        <f>'[8]Set Up'!$AA73</f>
        <v>0</v>
      </c>
      <c r="BW12" s="24">
        <f>'[8]Set Up'!$AA74</f>
        <v>0</v>
      </c>
      <c r="BX12" s="24">
        <f>'[8]Set Up'!$AA75</f>
        <v>0</v>
      </c>
      <c r="BY12" s="24">
        <f>'[8]Set Up'!$AA76</f>
        <v>0</v>
      </c>
      <c r="BZ12" s="8"/>
    </row>
    <row r="13" spans="1:78" x14ac:dyDescent="0.35">
      <c r="A13" s="25" t="s">
        <v>19</v>
      </c>
      <c r="B13" s="196" t="s">
        <v>20</v>
      </c>
      <c r="C13" s="26">
        <f>IF(C8="","",IF(C8&lt;'[8]Set Up'!$J$15,C8*'[8]Set Up'!$N$15,IF(C8&lt;'[8]Set Up'!$J$16,(C8-'[8]Set Up'!$J$15)*'[8]Set Up'!$N$16+'[8]Set Up'!$O$15,IF(C8&lt;'[8]Set Up'!$J$17,(C8-'[8]Set Up'!$J$16)*'[8]Set Up'!$N$17+'[8]Set Up'!$O$15+'[8]Set Up'!$O$16,(C8-'[8]Set Up'!$J$17)*'[8]Set Up'!$N$18 + SUM('[8]Set Up'!$O$15:'[8]Set Up'!$O$17)))))</f>
        <v>409.56659363987035</v>
      </c>
      <c r="D13" s="26">
        <f>IF(D8="","",IF(D8&lt;'[8]Set Up'!$J$15,D8*'[8]Set Up'!$N$15,IF(D8&lt;'[8]Set Up'!$J$16,(D8-'[8]Set Up'!$J$15)*'[8]Set Up'!$N$16+'[8]Set Up'!$O$15,IF(D8&lt;'[8]Set Up'!$J$17,(D8-'[8]Set Up'!$J$16)*'[8]Set Up'!$N$17+'[8]Set Up'!$O$15+'[8]Set Up'!$O$16,(D8-'[8]Set Up'!$J$17)*'[8]Set Up'!$N$18 + SUM('[8]Set Up'!$O$15:'[8]Set Up'!$O$17)))))</f>
        <v>406.5952354837687</v>
      </c>
      <c r="E13" s="26">
        <f>IF(E8="","",IF(E8&lt;'[8]Set Up'!$J$15,E8*'[8]Set Up'!$N$15,IF(E8&lt;'[8]Set Up'!$J$16,(E8-'[8]Set Up'!$J$15)*'[8]Set Up'!$N$16+'[8]Set Up'!$O$15,IF(E8&lt;'[8]Set Up'!$J$17,(E8-'[8]Set Up'!$J$16)*'[8]Set Up'!$N$17+'[8]Set Up'!$O$15+'[8]Set Up'!$O$16,(E8-'[8]Set Up'!$J$17)*'[8]Set Up'!$N$18 + SUM('[8]Set Up'!$O$15:'[8]Set Up'!$O$17)))))</f>
        <v>403.63880877568766</v>
      </c>
      <c r="F13" s="26">
        <f>IF(F8="","",IF(F8&lt;'[8]Set Up'!$J$15,F8*'[8]Set Up'!$N$15,IF(F8&lt;'[8]Set Up'!$J$16,(F8-'[8]Set Up'!$J$15)*'[8]Set Up'!$N$16+'[8]Set Up'!$O$15,IF(F8&lt;'[8]Set Up'!$J$17,(F8-'[8]Set Up'!$J$16)*'[8]Set Up'!$N$17+'[8]Set Up'!$O$15+'[8]Set Up'!$O$16,(F8-'[8]Set Up'!$J$17)*'[8]Set Up'!$N$18 + SUM('[8]Set Up'!$O$15:'[8]Set Up'!$O$17)))))</f>
        <v>400.66745061958602</v>
      </c>
      <c r="G13" s="26">
        <f>IF(G8="","",IF(G8&lt;'[8]Set Up'!$J$15,G8*'[8]Set Up'!$N$15,IF(G8&lt;'[8]Set Up'!$J$16,(G8-'[8]Set Up'!$J$15)*'[8]Set Up'!$N$16+'[8]Set Up'!$O$15,IF(G8&lt;'[8]Set Up'!$J$17,(G8-'[8]Set Up'!$J$16)*'[8]Set Up'!$N$17+'[8]Set Up'!$O$15+'[8]Set Up'!$O$16,(G8-'[8]Set Up'!$J$17)*'[8]Set Up'!$N$18 + SUM('[8]Set Up'!$O$15:'[8]Set Up'!$O$17)))))</f>
        <v>397.71102391150492</v>
      </c>
      <c r="H13" s="26">
        <f>IF(H8="","",IF(H8&lt;'[8]Set Up'!$J$15,H8*'[8]Set Up'!$N$15,IF(H8&lt;'[8]Set Up'!$J$16,(H8-'[8]Set Up'!$J$15)*'[8]Set Up'!$N$16+'[8]Set Up'!$O$15,IF(H8&lt;'[8]Set Up'!$J$17,(H8-'[8]Set Up'!$J$16)*'[8]Set Up'!$N$17+'[8]Set Up'!$O$15+'[8]Set Up'!$O$16,(H8-'[8]Set Up'!$J$17)*'[8]Set Up'!$N$18 + SUM('[8]Set Up'!$O$15:'[8]Set Up'!$O$17)))))</f>
        <v>394.73966575540328</v>
      </c>
      <c r="I13" s="26">
        <f>IF(I8="","",IF(I8&lt;'[8]Set Up'!$J$15,I8*'[8]Set Up'!$N$15,IF(I8&lt;'[8]Set Up'!$J$16,(I8-'[8]Set Up'!$J$15)*'[8]Set Up'!$N$16+'[8]Set Up'!$O$15,IF(I8&lt;'[8]Set Up'!$J$17,(I8-'[8]Set Up'!$J$16)*'[8]Set Up'!$N$17+'[8]Set Up'!$O$15+'[8]Set Up'!$O$16,(I8-'[8]Set Up'!$J$17)*'[8]Set Up'!$N$18 + SUM('[8]Set Up'!$O$15:'[8]Set Up'!$O$17)))))</f>
        <v>391.76830759930158</v>
      </c>
      <c r="J13" s="26">
        <f>IF(J8="","",IF(J8&lt;'[8]Set Up'!$J$15,J8*'[8]Set Up'!$N$15,IF(J8&lt;'[8]Set Up'!$J$16,(J8-'[8]Set Up'!$J$15)*'[8]Set Up'!$N$16+'[8]Set Up'!$O$15,IF(J8&lt;'[8]Set Up'!$J$17,(J8-'[8]Set Up'!$J$16)*'[8]Set Up'!$N$17+'[8]Set Up'!$O$15+'[8]Set Up'!$O$16,(J8-'[8]Set Up'!$J$17)*'[8]Set Up'!$N$18 + SUM('[8]Set Up'!$O$15:'[8]Set Up'!$O$17)))))</f>
        <v>388.81188089122054</v>
      </c>
      <c r="K13" s="26">
        <f>IF(K8="","",IF(K8&lt;'[8]Set Up'!$J$15,K8*'[8]Set Up'!$N$15,IF(K8&lt;'[8]Set Up'!$J$16,(K8-'[8]Set Up'!$J$15)*'[8]Set Up'!$N$16+'[8]Set Up'!$O$15,IF(K8&lt;'[8]Set Up'!$J$17,(K8-'[8]Set Up'!$J$16)*'[8]Set Up'!$N$17+'[8]Set Up'!$O$15+'[8]Set Up'!$O$16,(K8-'[8]Set Up'!$J$17)*'[8]Set Up'!$N$18 + SUM('[8]Set Up'!$O$15:'[8]Set Up'!$O$17)))))</f>
        <v>385.84052273511884</v>
      </c>
      <c r="L13" s="26">
        <f>IF(L8="","",IF(L8&lt;'[8]Set Up'!$J$15,L8*'[8]Set Up'!$N$15,IF(L8&lt;'[8]Set Up'!$J$16,(L8-'[8]Set Up'!$J$15)*'[8]Set Up'!$N$16+'[8]Set Up'!$O$15,IF(L8&lt;'[8]Set Up'!$J$17,(L8-'[8]Set Up'!$J$16)*'[8]Set Up'!$N$17+'[8]Set Up'!$O$15+'[8]Set Up'!$O$16,(L8-'[8]Set Up'!$J$17)*'[8]Set Up'!$N$18 + SUM('[8]Set Up'!$O$15:'[8]Set Up'!$O$17)))))</f>
        <v>382.8840960270378</v>
      </c>
      <c r="M13" s="26">
        <f>IF(M8="","",IF(M8&lt;'[8]Set Up'!$J$15,M8*'[8]Set Up'!$N$15,IF(M8&lt;'[8]Set Up'!$J$16,(M8-'[8]Set Up'!$J$15)*'[8]Set Up'!$N$16+'[8]Set Up'!$O$15,IF(M8&lt;'[8]Set Up'!$J$17,(M8-'[8]Set Up'!$J$16)*'[8]Set Up'!$N$17+'[8]Set Up'!$O$15+'[8]Set Up'!$O$16,(M8-'[8]Set Up'!$J$17)*'[8]Set Up'!$N$18 + SUM('[8]Set Up'!$O$15:'[8]Set Up'!$O$17)))))</f>
        <v>379.91273787093616</v>
      </c>
      <c r="N13" s="26">
        <f>IF(N8="","",IF(N8&lt;'[8]Set Up'!$J$15,N8*'[8]Set Up'!$N$15,IF(N8&lt;'[8]Set Up'!$J$16,(N8-'[8]Set Up'!$J$15)*'[8]Set Up'!$N$16+'[8]Set Up'!$O$15,IF(N8&lt;'[8]Set Up'!$J$17,(N8-'[8]Set Up'!$J$16)*'[8]Set Up'!$N$17+'[8]Set Up'!$O$15+'[8]Set Up'!$O$16,(N8-'[8]Set Up'!$J$17)*'[8]Set Up'!$N$18 + SUM('[8]Set Up'!$O$15:'[8]Set Up'!$O$17)))))</f>
        <v>376.95631116285506</v>
      </c>
      <c r="O13" s="26">
        <f>IF(O8="","",IF(O8&lt;'[8]Set Up'!$J$15,O8*'[8]Set Up'!$N$15,IF(O8&lt;'[8]Set Up'!$J$16,(O8-'[8]Set Up'!$J$15)*'[8]Set Up'!$N$16+'[8]Set Up'!$O$15,IF(O8&lt;'[8]Set Up'!$J$17,(O8-'[8]Set Up'!$J$16)*'[8]Set Up'!$N$17+'[8]Set Up'!$O$15+'[8]Set Up'!$O$16,(O8-'[8]Set Up'!$J$17)*'[8]Set Up'!$N$18 + SUM('[8]Set Up'!$O$15:'[8]Set Up'!$O$17)))))</f>
        <v>373.98495300675341</v>
      </c>
      <c r="P13" s="26">
        <f>IF(P8="","",IF(P8&lt;'[8]Set Up'!$J$15,P8*'[8]Set Up'!$N$15,IF(P8&lt;'[8]Set Up'!$J$16,(P8-'[8]Set Up'!$J$15)*'[8]Set Up'!$N$16+'[8]Set Up'!$O$15,IF(P8&lt;'[8]Set Up'!$J$17,(P8-'[8]Set Up'!$J$16)*'[8]Set Up'!$N$17+'[8]Set Up'!$O$15+'[8]Set Up'!$O$16,(P8-'[8]Set Up'!$J$17)*'[8]Set Up'!$N$18 + SUM('[8]Set Up'!$O$15:'[8]Set Up'!$O$17)))))</f>
        <v>371.01359485065177</v>
      </c>
      <c r="Q13" s="26">
        <f>IF(Q8="","",IF(Q8&lt;'[8]Set Up'!$J$15,Q8*'[8]Set Up'!$N$15,IF(Q8&lt;'[8]Set Up'!$J$16,(Q8-'[8]Set Up'!$J$15)*'[8]Set Up'!$N$16+'[8]Set Up'!$O$15,IF(Q8&lt;'[8]Set Up'!$J$17,(Q8-'[8]Set Up'!$J$16)*'[8]Set Up'!$N$17+'[8]Set Up'!$O$15+'[8]Set Up'!$O$16,(Q8-'[8]Set Up'!$J$17)*'[8]Set Up'!$N$18 + SUM('[8]Set Up'!$O$15:'[8]Set Up'!$O$17)))))</f>
        <v>368.05716814257073</v>
      </c>
      <c r="R13" s="26">
        <f>IF(R8="","",IF(R8&lt;'[8]Set Up'!$J$15,R8*'[8]Set Up'!$N$15,IF(R8&lt;'[8]Set Up'!$J$16,(R8-'[8]Set Up'!$J$15)*'[8]Set Up'!$N$16+'[8]Set Up'!$O$15,IF(R8&lt;'[8]Set Up'!$J$17,(R8-'[8]Set Up'!$J$16)*'[8]Set Up'!$N$17+'[8]Set Up'!$O$15+'[8]Set Up'!$O$16,(R8-'[8]Set Up'!$J$17)*'[8]Set Up'!$N$18 + SUM('[8]Set Up'!$O$15:'[8]Set Up'!$O$17)))))</f>
        <v>365.08580998646903</v>
      </c>
      <c r="S13" s="26">
        <f>IF(S8="","",IF(S8&lt;'[8]Set Up'!$J$15,S8*'[8]Set Up'!$N$15,IF(S8&lt;'[8]Set Up'!$J$16,(S8-'[8]Set Up'!$J$15)*'[8]Set Up'!$N$16+'[8]Set Up'!$O$15,IF(S8&lt;'[8]Set Up'!$J$17,(S8-'[8]Set Up'!$J$16)*'[8]Set Up'!$N$17+'[8]Set Up'!$O$15+'[8]Set Up'!$O$16,(S8-'[8]Set Up'!$J$17)*'[8]Set Up'!$N$18 + SUM('[8]Set Up'!$O$15:'[8]Set Up'!$O$17)))))</f>
        <v>362.12938327838799</v>
      </c>
      <c r="T13" s="26">
        <f>IF(T8="","",IF(T8&lt;'[8]Set Up'!$J$15,T8*'[8]Set Up'!$N$15,IF(T8&lt;'[8]Set Up'!$J$16,(T8-'[8]Set Up'!$J$15)*'[8]Set Up'!$N$16+'[8]Set Up'!$O$15,IF(T8&lt;'[8]Set Up'!$J$17,(T8-'[8]Set Up'!$J$16)*'[8]Set Up'!$N$17+'[8]Set Up'!$O$15+'[8]Set Up'!$O$16,(T8-'[8]Set Up'!$J$17)*'[8]Set Up'!$N$18 + SUM('[8]Set Up'!$O$15:'[8]Set Up'!$O$17)))))</f>
        <v>359.15802512228629</v>
      </c>
      <c r="U13" s="26">
        <f>IF(U8="","",IF(U8&lt;'[8]Set Up'!$J$15,U8*'[8]Set Up'!$N$15,IF(U8&lt;'[8]Set Up'!$J$16,(U8-'[8]Set Up'!$J$15)*'[8]Set Up'!$N$16+'[8]Set Up'!$O$15,IF(U8&lt;'[8]Set Up'!$J$17,(U8-'[8]Set Up'!$J$16)*'[8]Set Up'!$N$17+'[8]Set Up'!$O$15+'[8]Set Up'!$O$16,(U8-'[8]Set Up'!$J$17)*'[8]Set Up'!$N$18 + SUM('[8]Set Up'!$O$15:'[8]Set Up'!$O$17)))))</f>
        <v>356.20159841420525</v>
      </c>
      <c r="V13" s="26">
        <f>IF(V8="","",IF(V8&lt;'[8]Set Up'!$J$15,V8*'[8]Set Up'!$N$15,IF(V8&lt;'[8]Set Up'!$J$16,(V8-'[8]Set Up'!$J$15)*'[8]Set Up'!$N$16+'[8]Set Up'!$O$15,IF(V8&lt;'[8]Set Up'!$J$17,(V8-'[8]Set Up'!$J$16)*'[8]Set Up'!$N$17+'[8]Set Up'!$O$15+'[8]Set Up'!$O$16,(V8-'[8]Set Up'!$J$17)*'[8]Set Up'!$N$18 + SUM('[8]Set Up'!$O$15:'[8]Set Up'!$O$17)))))</f>
        <v>353.23024025810361</v>
      </c>
      <c r="W13" s="26">
        <f>IF(W8="","",IF(W8&lt;'[8]Set Up'!$J$15,W8*'[8]Set Up'!$N$15,IF(W8&lt;'[8]Set Up'!$J$16,(W8-'[8]Set Up'!$J$15)*'[8]Set Up'!$N$16+'[8]Set Up'!$O$15,IF(W8&lt;'[8]Set Up'!$J$17,(W8-'[8]Set Up'!$J$16)*'[8]Set Up'!$N$17+'[8]Set Up'!$O$15+'[8]Set Up'!$O$16,(W8-'[8]Set Up'!$J$17)*'[8]Set Up'!$N$18 + SUM('[8]Set Up'!$O$15:'[8]Set Up'!$O$17)))))</f>
        <v>350.27381355002251</v>
      </c>
      <c r="X13" s="26">
        <f>IF(X8="","",IF(X8&lt;'[8]Set Up'!$J$15,X8*'[8]Set Up'!$N$15,IF(X8&lt;'[8]Set Up'!$J$16,(X8-'[8]Set Up'!$J$15)*'[8]Set Up'!$N$16+'[8]Set Up'!$O$15,IF(X8&lt;'[8]Set Up'!$J$17,(X8-'[8]Set Up'!$J$16)*'[8]Set Up'!$N$17+'[8]Set Up'!$O$15+'[8]Set Up'!$O$16,(X8-'[8]Set Up'!$J$17)*'[8]Set Up'!$N$18 + SUM('[8]Set Up'!$O$15:'[8]Set Up'!$O$17)))))</f>
        <v>347.30245539392087</v>
      </c>
      <c r="Y13" s="26">
        <f>IF(Y8="","",IF(Y8&lt;'[8]Set Up'!$J$15,Y8*'[8]Set Up'!$N$15,IF(Y8&lt;'[8]Set Up'!$J$16,(Y8-'[8]Set Up'!$J$15)*'[8]Set Up'!$N$16+'[8]Set Up'!$O$15,IF(Y8&lt;'[8]Set Up'!$J$17,(Y8-'[8]Set Up'!$J$16)*'[8]Set Up'!$N$17+'[8]Set Up'!$O$15+'[8]Set Up'!$O$16,(Y8-'[8]Set Up'!$J$17)*'[8]Set Up'!$N$18 + SUM('[8]Set Up'!$O$15:'[8]Set Up'!$O$17)))))</f>
        <v>344.33109723781922</v>
      </c>
      <c r="Z13" s="26">
        <f>IF(Z8="","",IF(Z8&lt;'[8]Set Up'!$J$15,Z8*'[8]Set Up'!$N$15,IF(Z8&lt;'[8]Set Up'!$J$16,(Z8-'[8]Set Up'!$J$15)*'[8]Set Up'!$N$16+'[8]Set Up'!$O$15,IF(Z8&lt;'[8]Set Up'!$J$17,(Z8-'[8]Set Up'!$J$16)*'[8]Set Up'!$N$17+'[8]Set Up'!$O$15+'[8]Set Up'!$O$16,(Z8-'[8]Set Up'!$J$17)*'[8]Set Up'!$N$18 + SUM('[8]Set Up'!$O$15:'[8]Set Up'!$O$17)))))</f>
        <v>341.37467052973813</v>
      </c>
      <c r="AA13" s="26">
        <f>IF(AA8="","",IF(AA8&lt;'[8]Set Up'!$J$15,AA8*'[8]Set Up'!$N$15,IF(AA8&lt;'[8]Set Up'!$J$16,(AA8-'[8]Set Up'!$J$15)*'[8]Set Up'!$N$16+'[8]Set Up'!$O$15,IF(AA8&lt;'[8]Set Up'!$J$17,(AA8-'[8]Set Up'!$J$16)*'[8]Set Up'!$N$17+'[8]Set Up'!$O$15+'[8]Set Up'!$O$16,(AA8-'[8]Set Up'!$J$17)*'[8]Set Up'!$N$18 + SUM('[8]Set Up'!$O$15:'[8]Set Up'!$O$17)))))</f>
        <v>338.40331237363648</v>
      </c>
      <c r="AB13" s="26">
        <f>IF(AB8="","",IF(AB8&lt;'[8]Set Up'!$J$15,AB8*'[8]Set Up'!$N$15,IF(AB8&lt;'[8]Set Up'!$J$16,(AB8-'[8]Set Up'!$J$15)*'[8]Set Up'!$N$16+'[8]Set Up'!$O$15,IF(AB8&lt;'[8]Set Up'!$J$17,(AB8-'[8]Set Up'!$J$16)*'[8]Set Up'!$N$17+'[8]Set Up'!$O$15+'[8]Set Up'!$O$16,(AB8-'[8]Set Up'!$J$17)*'[8]Set Up'!$N$18 + SUM('[8]Set Up'!$O$15:'[8]Set Up'!$O$17)))))</f>
        <v>335.44688566555544</v>
      </c>
      <c r="AC13" s="26">
        <f>IF(AC8="","",IF(AC8&lt;'[8]Set Up'!$J$15,AC8*'[8]Set Up'!$N$15,IF(AC8&lt;'[8]Set Up'!$J$16,(AC8-'[8]Set Up'!$J$15)*'[8]Set Up'!$N$16+'[8]Set Up'!$O$15,IF(AC8&lt;'[8]Set Up'!$J$17,(AC8-'[8]Set Up'!$J$16)*'[8]Set Up'!$N$17+'[8]Set Up'!$O$15+'[8]Set Up'!$O$16,(AC8-'[8]Set Up'!$J$17)*'[8]Set Up'!$N$18 + SUM('[8]Set Up'!$O$15:'[8]Set Up'!$O$17)))))</f>
        <v>332.47552750945374</v>
      </c>
      <c r="AD13" s="26">
        <f>IF(AD8="","",IF(AD8&lt;'[8]Set Up'!$J$15,AD8*'[8]Set Up'!$N$15,IF(AD8&lt;'[8]Set Up'!$J$16,(AD8-'[8]Set Up'!$J$15)*'[8]Set Up'!$N$16+'[8]Set Up'!$O$15,IF(AD8&lt;'[8]Set Up'!$J$17,(AD8-'[8]Set Up'!$J$16)*'[8]Set Up'!$N$17+'[8]Set Up'!$O$15+'[8]Set Up'!$O$16,(AD8-'[8]Set Up'!$J$17)*'[8]Set Up'!$N$18 + SUM('[8]Set Up'!$O$15:'[8]Set Up'!$O$17)))))</f>
        <v>329.5191008013727</v>
      </c>
      <c r="AE13" s="26">
        <f>IF(AE8="","",IF(AE8&lt;'[8]Set Up'!$J$15,AE8*'[8]Set Up'!$N$15,IF(AE8&lt;'[8]Set Up'!$J$16,(AE8-'[8]Set Up'!$J$15)*'[8]Set Up'!$N$16+'[8]Set Up'!$O$15,IF(AE8&lt;'[8]Set Up'!$J$17,(AE8-'[8]Set Up'!$J$16)*'[8]Set Up'!$N$17+'[8]Set Up'!$O$15+'[8]Set Up'!$O$16,(AE8-'[8]Set Up'!$J$17)*'[8]Set Up'!$N$18 + SUM('[8]Set Up'!$O$15:'[8]Set Up'!$O$17)))))</f>
        <v>326.547742645271</v>
      </c>
      <c r="AF13" s="26">
        <f>IF(AF8="","",IF(AF8&lt;'[8]Set Up'!$J$15,AF8*'[8]Set Up'!$N$15,IF(AF8&lt;'[8]Set Up'!$J$16,(AF8-'[8]Set Up'!$J$15)*'[8]Set Up'!$N$16+'[8]Set Up'!$O$15,IF(AF8&lt;'[8]Set Up'!$J$17,(AF8-'[8]Set Up'!$J$16)*'[8]Set Up'!$N$17+'[8]Set Up'!$O$15+'[8]Set Up'!$O$16,(AF8-'[8]Set Up'!$J$17)*'[8]Set Up'!$N$18 + SUM('[8]Set Up'!$O$15:'[8]Set Up'!$O$17)))))</f>
        <v>323.57638448916936</v>
      </c>
      <c r="AG13" s="26">
        <f>IF(AG8="","",IF(AG8&lt;'[8]Set Up'!$J$15,AG8*'[8]Set Up'!$N$15,IF(AG8&lt;'[8]Set Up'!$J$16,(AG8-'[8]Set Up'!$J$15)*'[8]Set Up'!$N$16+'[8]Set Up'!$O$15,IF(AG8&lt;'[8]Set Up'!$J$17,(AG8-'[8]Set Up'!$J$16)*'[8]Set Up'!$N$17+'[8]Set Up'!$O$15+'[8]Set Up'!$O$16,(AG8-'[8]Set Up'!$J$17)*'[8]Set Up'!$N$18 + SUM('[8]Set Up'!$O$15:'[8]Set Up'!$O$17)))))</f>
        <v>320.61995778108832</v>
      </c>
      <c r="AH13" s="26">
        <f>IF(AH8="","",IF(AH8&lt;'[8]Set Up'!$J$15,AH8*'[8]Set Up'!$N$15,IF(AH8&lt;'[8]Set Up'!$J$16,(AH8-'[8]Set Up'!$J$15)*'[8]Set Up'!$N$16+'[8]Set Up'!$O$15,IF(AH8&lt;'[8]Set Up'!$J$17,(AH8-'[8]Set Up'!$J$16)*'[8]Set Up'!$N$17+'[8]Set Up'!$O$15+'[8]Set Up'!$O$16,(AH8-'[8]Set Up'!$J$17)*'[8]Set Up'!$N$18 + SUM('[8]Set Up'!$O$15:'[8]Set Up'!$O$17)))))</f>
        <v>317.64859962498662</v>
      </c>
      <c r="AI13" s="26">
        <f>IF(AI8="","",IF(AI8&lt;'[8]Set Up'!$J$15,AI8*'[8]Set Up'!$N$15,IF(AI8&lt;'[8]Set Up'!$J$16,(AI8-'[8]Set Up'!$J$15)*'[8]Set Up'!$N$16+'[8]Set Up'!$O$15,IF(AI8&lt;'[8]Set Up'!$J$17,(AI8-'[8]Set Up'!$J$16)*'[8]Set Up'!$N$17+'[8]Set Up'!$O$15+'[8]Set Up'!$O$16,(AI8-'[8]Set Up'!$J$17)*'[8]Set Up'!$N$18 + SUM('[8]Set Up'!$O$15:'[8]Set Up'!$O$17)))))</f>
        <v>314.69217291690558</v>
      </c>
      <c r="AJ13" s="26">
        <f>IF(AJ8="","",IF(AJ8&lt;'[8]Set Up'!$J$15,AJ8*'[8]Set Up'!$N$15,IF(AJ8&lt;'[8]Set Up'!$J$16,(AJ8-'[8]Set Up'!$J$15)*'[8]Set Up'!$N$16+'[8]Set Up'!$O$15,IF(AJ8&lt;'[8]Set Up'!$J$17,(AJ8-'[8]Set Up'!$J$16)*'[8]Set Up'!$N$17+'[8]Set Up'!$O$15+'[8]Set Up'!$O$16,(AJ8-'[8]Set Up'!$J$17)*'[8]Set Up'!$N$18 + SUM('[8]Set Up'!$O$15:'[8]Set Up'!$O$17)))))</f>
        <v>311.72081476080393</v>
      </c>
      <c r="AK13" s="26">
        <f>IF(AK8="","",IF(AK8&lt;'[8]Set Up'!$J$15,AK8*'[8]Set Up'!$N$15,IF(AK8&lt;'[8]Set Up'!$J$16,(AK8-'[8]Set Up'!$J$15)*'[8]Set Up'!$N$16+'[8]Set Up'!$O$15,IF(AK8&lt;'[8]Set Up'!$J$17,(AK8-'[8]Set Up'!$J$16)*'[8]Set Up'!$N$17+'[8]Set Up'!$O$15+'[8]Set Up'!$O$16,(AK8-'[8]Set Up'!$J$17)*'[8]Set Up'!$N$18 + SUM('[8]Set Up'!$O$15:'[8]Set Up'!$O$17)))))</f>
        <v>308.76438805272284</v>
      </c>
      <c r="AL13" s="26">
        <f>IF(AL8="","",IF(AL8&lt;'[8]Set Up'!$J$15,AL8*'[8]Set Up'!$N$15,IF(AL8&lt;'[8]Set Up'!$J$16,(AL8-'[8]Set Up'!$J$15)*'[8]Set Up'!$N$16+'[8]Set Up'!$O$15,IF(AL8&lt;'[8]Set Up'!$J$17,(AL8-'[8]Set Up'!$J$16)*'[8]Set Up'!$N$17+'[8]Set Up'!$O$15+'[8]Set Up'!$O$16,(AL8-'[8]Set Up'!$J$17)*'[8]Set Up'!$N$18 + SUM('[8]Set Up'!$O$15:'[8]Set Up'!$O$17)))))</f>
        <v>305.79302989662119</v>
      </c>
      <c r="AM13" s="26">
        <f>IF(AM8="","",IF(AM8&lt;'[8]Set Up'!$J$15,AM8*'[8]Set Up'!$N$15,IF(AM8&lt;'[8]Set Up'!$J$16,(AM8-'[8]Set Up'!$J$15)*'[8]Set Up'!$N$16+'[8]Set Up'!$O$15,IF(AM8&lt;'[8]Set Up'!$J$17,(AM8-'[8]Set Up'!$J$16)*'[8]Set Up'!$N$17+'[8]Set Up'!$O$15+'[8]Set Up'!$O$16,(AM8-'[8]Set Up'!$J$17)*'[8]Set Up'!$N$18 + SUM('[8]Set Up'!$O$15:'[8]Set Up'!$O$17)))))</f>
        <v>302.82167174051949</v>
      </c>
      <c r="AN13" s="26">
        <f>IF(AN8="","",IF(AN8&lt;'[8]Set Up'!$J$15,AN8*'[8]Set Up'!$N$15,IF(AN8&lt;'[8]Set Up'!$J$16,(AN8-'[8]Set Up'!$J$15)*'[8]Set Up'!$N$16+'[8]Set Up'!$O$15,IF(AN8&lt;'[8]Set Up'!$J$17,(AN8-'[8]Set Up'!$J$16)*'[8]Set Up'!$N$17+'[8]Set Up'!$O$15+'[8]Set Up'!$O$16,(AN8-'[8]Set Up'!$J$17)*'[8]Set Up'!$N$18 + SUM('[8]Set Up'!$O$15:'[8]Set Up'!$O$17)))))</f>
        <v>299.86524503243845</v>
      </c>
      <c r="AO13" s="26">
        <f>IF(AO8="","",IF(AO8&lt;'[8]Set Up'!$J$15,AO8*'[8]Set Up'!$N$15,IF(AO8&lt;'[8]Set Up'!$J$16,(AO8-'[8]Set Up'!$J$15)*'[8]Set Up'!$N$16+'[8]Set Up'!$O$15,IF(AO8&lt;'[8]Set Up'!$J$17,(AO8-'[8]Set Up'!$J$16)*'[8]Set Up'!$N$17+'[8]Set Up'!$O$15+'[8]Set Up'!$O$16,(AO8-'[8]Set Up'!$J$17)*'[8]Set Up'!$N$18 + SUM('[8]Set Up'!$O$15:'[8]Set Up'!$O$17)))))</f>
        <v>296.89388687633681</v>
      </c>
      <c r="AP13" s="26">
        <f>IF(AP8="","",IF(AP8&lt;'[8]Set Up'!$J$15,AP8*'[8]Set Up'!$N$15,IF(AP8&lt;'[8]Set Up'!$J$16,(AP8-'[8]Set Up'!$J$15)*'[8]Set Up'!$N$16+'[8]Set Up'!$O$15,IF(AP8&lt;'[8]Set Up'!$J$17,(AP8-'[8]Set Up'!$J$16)*'[8]Set Up'!$N$17+'[8]Set Up'!$O$15+'[8]Set Up'!$O$16,(AP8-'[8]Set Up'!$J$17)*'[8]Set Up'!$N$18 + SUM('[8]Set Up'!$O$15:'[8]Set Up'!$O$17)))))</f>
        <v>293.93746016825571</v>
      </c>
      <c r="AQ13" s="26">
        <f>IF(AQ8="","",IF(AQ8&lt;'[8]Set Up'!$J$15,AQ8*'[8]Set Up'!$N$15,IF(AQ8&lt;'[8]Set Up'!$J$16,(AQ8-'[8]Set Up'!$J$15)*'[8]Set Up'!$N$16+'[8]Set Up'!$O$15,IF(AQ8&lt;'[8]Set Up'!$J$17,(AQ8-'[8]Set Up'!$J$16)*'[8]Set Up'!$N$17+'[8]Set Up'!$O$15+'[8]Set Up'!$O$16,(AQ8-'[8]Set Up'!$J$17)*'[8]Set Up'!$N$18 + SUM('[8]Set Up'!$O$15:'[8]Set Up'!$O$17)))))</f>
        <v>290.96610201215407</v>
      </c>
      <c r="AR13" s="26">
        <f>IF(AR8="","",IF(AR8&lt;'[8]Set Up'!$J$15,AR8*'[8]Set Up'!$N$15,IF(AR8&lt;'[8]Set Up'!$J$16,(AR8-'[8]Set Up'!$J$15)*'[8]Set Up'!$N$16+'[8]Set Up'!$O$15,IF(AR8&lt;'[8]Set Up'!$J$17,(AR8-'[8]Set Up'!$J$16)*'[8]Set Up'!$N$17+'[8]Set Up'!$O$15+'[8]Set Up'!$O$16,(AR8-'[8]Set Up'!$J$17)*'[8]Set Up'!$N$18 + SUM('[8]Set Up'!$O$15:'[8]Set Up'!$O$17)))))</f>
        <v>288.00967530407303</v>
      </c>
      <c r="AS13" s="26">
        <f>IF(AS8="","",IF(AS8&lt;'[8]Set Up'!$J$15,AS8*'[8]Set Up'!$N$15,IF(AS8&lt;'[8]Set Up'!$J$16,(AS8-'[8]Set Up'!$J$15)*'[8]Set Up'!$N$16+'[8]Set Up'!$O$15,IF(AS8&lt;'[8]Set Up'!$J$17,(AS8-'[8]Set Up'!$J$16)*'[8]Set Up'!$N$17+'[8]Set Up'!$O$15+'[8]Set Up'!$O$16,(AS8-'[8]Set Up'!$J$17)*'[8]Set Up'!$N$18 + SUM('[8]Set Up'!$O$15:'[8]Set Up'!$O$17)))))</f>
        <v>285.03831714797133</v>
      </c>
      <c r="AT13" s="26">
        <f>IF(AT8="","",IF(AT8&lt;'[8]Set Up'!$J$15,AT8*'[8]Set Up'!$N$15,IF(AT8&lt;'[8]Set Up'!$J$16,(AT8-'[8]Set Up'!$J$15)*'[8]Set Up'!$N$16+'[8]Set Up'!$O$15,IF(AT8&lt;'[8]Set Up'!$J$17,(AT8-'[8]Set Up'!$J$16)*'[8]Set Up'!$N$17+'[8]Set Up'!$O$15+'[8]Set Up'!$O$16,(AT8-'[8]Set Up'!$J$17)*'[8]Set Up'!$N$18 + SUM('[8]Set Up'!$O$15:'[8]Set Up'!$O$17)))))</f>
        <v>282.08189043989029</v>
      </c>
      <c r="AU13" s="26">
        <f>IF(AU8="","",IF(AU8&lt;'[8]Set Up'!$J$15,AU8*'[8]Set Up'!$N$15,IF(AU8&lt;'[8]Set Up'!$J$16,(AU8-'[8]Set Up'!$J$15)*'[8]Set Up'!$N$16+'[8]Set Up'!$O$15,IF(AU8&lt;'[8]Set Up'!$J$17,(AU8-'[8]Set Up'!$J$16)*'[8]Set Up'!$N$17+'[8]Set Up'!$O$15+'[8]Set Up'!$O$16,(AU8-'[8]Set Up'!$J$17)*'[8]Set Up'!$N$18 + SUM('[8]Set Up'!$O$15:'[8]Set Up'!$O$17)))))</f>
        <v>279.11053228378864</v>
      </c>
      <c r="AV13" s="26">
        <f>IF(AV8="","",IF(AV8&lt;'[8]Set Up'!$J$15,AV8*'[8]Set Up'!$N$15,IF(AV8&lt;'[8]Set Up'!$J$16,(AV8-'[8]Set Up'!$J$15)*'[8]Set Up'!$N$16+'[8]Set Up'!$O$15,IF(AV8&lt;'[8]Set Up'!$J$17,(AV8-'[8]Set Up'!$J$16)*'[8]Set Up'!$N$17+'[8]Set Up'!$O$15+'[8]Set Up'!$O$16,(AV8-'[8]Set Up'!$J$17)*'[8]Set Up'!$N$18 + SUM('[8]Set Up'!$O$15:'[8]Set Up'!$O$17)))))</f>
        <v>276.13917412768694</v>
      </c>
      <c r="AW13" s="26">
        <f>IF(AW8="","",IF(AW8&lt;'[8]Set Up'!$J$15,AW8*'[8]Set Up'!$N$15,IF(AW8&lt;'[8]Set Up'!$J$16,(AW8-'[8]Set Up'!$J$15)*'[8]Set Up'!$N$16+'[8]Set Up'!$O$15,IF(AW8&lt;'[8]Set Up'!$J$17,(AW8-'[8]Set Up'!$J$16)*'[8]Set Up'!$N$17+'[8]Set Up'!$O$15+'[8]Set Up'!$O$16,(AW8-'[8]Set Up'!$J$17)*'[8]Set Up'!$N$18 + SUM('[8]Set Up'!$O$15:'[8]Set Up'!$O$17)))))</f>
        <v>273.1827474196059</v>
      </c>
      <c r="AX13" s="26">
        <f>IF(AX8="","",IF(AX8&lt;'[8]Set Up'!$J$15,AX8*'[8]Set Up'!$N$15,IF(AX8&lt;'[8]Set Up'!$J$16,(AX8-'[8]Set Up'!$J$15)*'[8]Set Up'!$N$16+'[8]Set Up'!$O$15,IF(AX8&lt;'[8]Set Up'!$J$17,(AX8-'[8]Set Up'!$J$16)*'[8]Set Up'!$N$17+'[8]Set Up'!$O$15+'[8]Set Up'!$O$16,(AX8-'[8]Set Up'!$J$17)*'[8]Set Up'!$N$18 + SUM('[8]Set Up'!$O$15:'[8]Set Up'!$O$17)))))</f>
        <v>270.21138926350426</v>
      </c>
      <c r="AY13" s="26">
        <f>IF(AY8="","",IF(AY8&lt;'[8]Set Up'!$J$15,AY8*'[8]Set Up'!$N$15,IF(AY8&lt;'[8]Set Up'!$J$16,(AY8-'[8]Set Up'!$J$15)*'[8]Set Up'!$N$16+'[8]Set Up'!$O$15,IF(AY8&lt;'[8]Set Up'!$J$17,(AY8-'[8]Set Up'!$J$16)*'[8]Set Up'!$N$17+'[8]Set Up'!$O$15+'[8]Set Up'!$O$16,(AY8-'[8]Set Up'!$J$17)*'[8]Set Up'!$N$18 + SUM('[8]Set Up'!$O$15:'[8]Set Up'!$O$17)))))</f>
        <v>267.25496255542316</v>
      </c>
      <c r="AZ13" s="26">
        <f>IF(AZ8="","",IF(AZ8&lt;'[8]Set Up'!$J$15,AZ8*'[8]Set Up'!$N$15,IF(AZ8&lt;'[8]Set Up'!$J$16,(AZ8-'[8]Set Up'!$J$15)*'[8]Set Up'!$N$16+'[8]Set Up'!$O$15,IF(AZ8&lt;'[8]Set Up'!$J$17,(AZ8-'[8]Set Up'!$J$16)*'[8]Set Up'!$N$17+'[8]Set Up'!$O$15+'[8]Set Up'!$O$16,(AZ8-'[8]Set Up'!$J$17)*'[8]Set Up'!$N$18 + SUM('[8]Set Up'!$O$15:'[8]Set Up'!$O$17)))))</f>
        <v>264.28360439932152</v>
      </c>
      <c r="BA13" s="26">
        <f>IF(BA8="","",IF(BA8&lt;'[8]Set Up'!$J$15,BA8*'[8]Set Up'!$N$15,IF(BA8&lt;'[8]Set Up'!$J$16,(BA8-'[8]Set Up'!$J$15)*'[8]Set Up'!$N$16+'[8]Set Up'!$O$15,IF(BA8&lt;'[8]Set Up'!$J$17,(BA8-'[8]Set Up'!$J$16)*'[8]Set Up'!$N$17+'[8]Set Up'!$O$15+'[8]Set Up'!$O$16,(BA8-'[8]Set Up'!$J$17)*'[8]Set Up'!$N$18 + SUM('[8]Set Up'!$O$15:'[8]Set Up'!$O$17)))))</f>
        <v>261.32717769124048</v>
      </c>
      <c r="BB13" s="26">
        <f>IF(BB8="","",IF(BB8&lt;'[8]Set Up'!$J$15,BB8*'[8]Set Up'!$N$15,IF(BB8&lt;'[8]Set Up'!$J$16,(BB8-'[8]Set Up'!$J$15)*'[8]Set Up'!$N$16+'[8]Set Up'!$O$15,IF(BB8&lt;'[8]Set Up'!$J$17,(BB8-'[8]Set Up'!$J$16)*'[8]Set Up'!$N$17+'[8]Set Up'!$O$15+'[8]Set Up'!$O$16,(BB8-'[8]Set Up'!$J$17)*'[8]Set Up'!$N$18 + SUM('[8]Set Up'!$O$15:'[8]Set Up'!$O$17)))))</f>
        <v>258.35581953513878</v>
      </c>
      <c r="BC13" s="26">
        <f>IF(BC8="","",IF(BC8&lt;'[8]Set Up'!$J$15,BC8*'[8]Set Up'!$N$15,IF(BC8&lt;'[8]Set Up'!$J$16,(BC8-'[8]Set Up'!$J$15)*'[8]Set Up'!$N$16+'[8]Set Up'!$O$15,IF(BC8&lt;'[8]Set Up'!$J$17,(BC8-'[8]Set Up'!$J$16)*'[8]Set Up'!$N$17+'[8]Set Up'!$O$15+'[8]Set Up'!$O$16,(BC8-'[8]Set Up'!$J$17)*'[8]Set Up'!$N$18 + SUM('[8]Set Up'!$O$15:'[8]Set Up'!$O$17)))))</f>
        <v>0</v>
      </c>
      <c r="BD13" s="26">
        <f>IF(BD8="","",IF(BD8&lt;'[8]Set Up'!$J$15,BD8*'[8]Set Up'!$N$15,IF(BD8&lt;'[8]Set Up'!$J$16,(BD8-'[8]Set Up'!$J$15)*'[8]Set Up'!$N$16+'[8]Set Up'!$O$15,IF(BD8&lt;'[8]Set Up'!$J$17,(BD8-'[8]Set Up'!$J$16)*'[8]Set Up'!$N$17+'[8]Set Up'!$O$15+'[8]Set Up'!$O$16,(BD8-'[8]Set Up'!$J$17)*'[8]Set Up'!$N$18 + SUM('[8]Set Up'!$O$15:'[8]Set Up'!$O$17)))))</f>
        <v>0</v>
      </c>
      <c r="BE13" s="26">
        <f>IF(BE8="","",IF(BE8&lt;'[8]Set Up'!$J$15,BE8*'[8]Set Up'!$N$15,IF(BE8&lt;'[8]Set Up'!$J$16,(BE8-'[8]Set Up'!$J$15)*'[8]Set Up'!$N$16+'[8]Set Up'!$O$15,IF(BE8&lt;'[8]Set Up'!$J$17,(BE8-'[8]Set Up'!$J$16)*'[8]Set Up'!$N$17+'[8]Set Up'!$O$15+'[8]Set Up'!$O$16,(BE8-'[8]Set Up'!$J$17)*'[8]Set Up'!$N$18 + SUM('[8]Set Up'!$O$15:'[8]Set Up'!$O$17)))))</f>
        <v>0</v>
      </c>
      <c r="BF13" s="26">
        <f>IF(BF8="","",IF(BF8&lt;'[8]Set Up'!$J$15,BF8*'[8]Set Up'!$N$15,IF(BF8&lt;'[8]Set Up'!$J$16,(BF8-'[8]Set Up'!$J$15)*'[8]Set Up'!$N$16+'[8]Set Up'!$O$15,IF(BF8&lt;'[8]Set Up'!$J$17,(BF8-'[8]Set Up'!$J$16)*'[8]Set Up'!$N$17+'[8]Set Up'!$O$15+'[8]Set Up'!$O$16,(BF8-'[8]Set Up'!$J$17)*'[8]Set Up'!$N$18 + SUM('[8]Set Up'!$O$15:'[8]Set Up'!$O$17)))))</f>
        <v>0</v>
      </c>
      <c r="BG13" s="26">
        <f>IF(BG8="","",IF(BG8&lt;'[8]Set Up'!$J$15,BG8*'[8]Set Up'!$N$15,IF(BG8&lt;'[8]Set Up'!$J$16,(BG8-'[8]Set Up'!$J$15)*'[8]Set Up'!$N$16+'[8]Set Up'!$O$15,IF(BG8&lt;'[8]Set Up'!$J$17,(BG8-'[8]Set Up'!$J$16)*'[8]Set Up'!$N$17+'[8]Set Up'!$O$15+'[8]Set Up'!$O$16,(BG8-'[8]Set Up'!$J$17)*'[8]Set Up'!$N$18 + SUM('[8]Set Up'!$O$15:'[8]Set Up'!$O$17)))))</f>
        <v>0</v>
      </c>
      <c r="BH13" s="26">
        <f>IF(BH8="","",IF(BH8&lt;'[8]Set Up'!$J$15,BH8*'[8]Set Up'!$N$15,IF(BH8&lt;'[8]Set Up'!$J$16,(BH8-'[8]Set Up'!$J$15)*'[8]Set Up'!$N$16+'[8]Set Up'!$O$15,IF(BH8&lt;'[8]Set Up'!$J$17,(BH8-'[8]Set Up'!$J$16)*'[8]Set Up'!$N$17+'[8]Set Up'!$O$15+'[8]Set Up'!$O$16,(BH8-'[8]Set Up'!$J$17)*'[8]Set Up'!$N$18 + SUM('[8]Set Up'!$O$15:'[8]Set Up'!$O$17)))))</f>
        <v>0</v>
      </c>
      <c r="BI13" s="26">
        <f>IF(BI8="","",IF(BI8&lt;'[8]Set Up'!$J$15,BI8*'[8]Set Up'!$N$15,IF(BI8&lt;'[8]Set Up'!$J$16,(BI8-'[8]Set Up'!$J$15)*'[8]Set Up'!$N$16+'[8]Set Up'!$O$15,IF(BI8&lt;'[8]Set Up'!$J$17,(BI8-'[8]Set Up'!$J$16)*'[8]Set Up'!$N$17+'[8]Set Up'!$O$15+'[8]Set Up'!$O$16,(BI8-'[8]Set Up'!$J$17)*'[8]Set Up'!$N$18 + SUM('[8]Set Up'!$O$15:'[8]Set Up'!$O$17)))))</f>
        <v>0</v>
      </c>
      <c r="BJ13" s="26">
        <f>IF(BJ8="","",IF(BJ8&lt;'[8]Set Up'!$J$15,BJ8*'[8]Set Up'!$N$15,IF(BJ8&lt;'[8]Set Up'!$J$16,(BJ8-'[8]Set Up'!$J$15)*'[8]Set Up'!$N$16+'[8]Set Up'!$O$15,IF(BJ8&lt;'[8]Set Up'!$J$17,(BJ8-'[8]Set Up'!$J$16)*'[8]Set Up'!$N$17+'[8]Set Up'!$O$15+'[8]Set Up'!$O$16,(BJ8-'[8]Set Up'!$J$17)*'[8]Set Up'!$N$18 + SUM('[8]Set Up'!$O$15:'[8]Set Up'!$O$17)))))</f>
        <v>0</v>
      </c>
      <c r="BK13" s="26">
        <f>IF(BK8="","",IF(BK8&lt;'[8]Set Up'!$J$15,BK8*'[8]Set Up'!$N$15,IF(BK8&lt;'[8]Set Up'!$J$16,(BK8-'[8]Set Up'!$J$15)*'[8]Set Up'!$N$16+'[8]Set Up'!$O$15,IF(BK8&lt;'[8]Set Up'!$J$17,(BK8-'[8]Set Up'!$J$16)*'[8]Set Up'!$N$17+'[8]Set Up'!$O$15+'[8]Set Up'!$O$16,(BK8-'[8]Set Up'!$J$17)*'[8]Set Up'!$N$18 + SUM('[8]Set Up'!$O$15:'[8]Set Up'!$O$17)))))</f>
        <v>0</v>
      </c>
      <c r="BL13" s="26">
        <f>IF(BL8="","",IF(BL8&lt;'[8]Set Up'!$J$15,BL8*'[8]Set Up'!$N$15,IF(BL8&lt;'[8]Set Up'!$J$16,(BL8-'[8]Set Up'!$J$15)*'[8]Set Up'!$N$16+'[8]Set Up'!$O$15,IF(BL8&lt;'[8]Set Up'!$J$17,(BL8-'[8]Set Up'!$J$16)*'[8]Set Up'!$N$17+'[8]Set Up'!$O$15+'[8]Set Up'!$O$16,(BL8-'[8]Set Up'!$J$17)*'[8]Set Up'!$N$18 + SUM('[8]Set Up'!$O$15:'[8]Set Up'!$O$17)))))</f>
        <v>0</v>
      </c>
      <c r="BM13" s="26">
        <f>IF(BM8="","",IF(BM8&lt;'[8]Set Up'!$J$15,BM8*'[8]Set Up'!$N$15,IF(BM8&lt;'[8]Set Up'!$J$16,(BM8-'[8]Set Up'!$J$15)*'[8]Set Up'!$N$16+'[8]Set Up'!$O$15,IF(BM8&lt;'[8]Set Up'!$J$17,(BM8-'[8]Set Up'!$J$16)*'[8]Set Up'!$N$17+'[8]Set Up'!$O$15+'[8]Set Up'!$O$16,(BM8-'[8]Set Up'!$J$17)*'[8]Set Up'!$N$18 + SUM('[8]Set Up'!$O$15:'[8]Set Up'!$O$17)))))</f>
        <v>0</v>
      </c>
      <c r="BN13" s="26">
        <f>IF(BN8="","",IF(BN8&lt;'[8]Set Up'!$J$15,BN8*'[8]Set Up'!$N$15,IF(BN8&lt;'[8]Set Up'!$J$16,(BN8-'[8]Set Up'!$J$15)*'[8]Set Up'!$N$16+'[8]Set Up'!$O$15,IF(BN8&lt;'[8]Set Up'!$J$17,(BN8-'[8]Set Up'!$J$16)*'[8]Set Up'!$N$17+'[8]Set Up'!$O$15+'[8]Set Up'!$O$16,(BN8-'[8]Set Up'!$J$17)*'[8]Set Up'!$N$18 + SUM('[8]Set Up'!$O$15:'[8]Set Up'!$O$17)))))</f>
        <v>0</v>
      </c>
      <c r="BO13" s="26">
        <f>IF(BO8="","",IF(BO8&lt;'[8]Set Up'!$J$15,BO8*'[8]Set Up'!$N$15,IF(BO8&lt;'[8]Set Up'!$J$16,(BO8-'[8]Set Up'!$J$15)*'[8]Set Up'!$N$16+'[8]Set Up'!$O$15,IF(BO8&lt;'[8]Set Up'!$J$17,(BO8-'[8]Set Up'!$J$16)*'[8]Set Up'!$N$17+'[8]Set Up'!$O$15+'[8]Set Up'!$O$16,(BO8-'[8]Set Up'!$J$17)*'[8]Set Up'!$N$18 + SUM('[8]Set Up'!$O$15:'[8]Set Up'!$O$17)))))</f>
        <v>0</v>
      </c>
      <c r="BP13" s="26">
        <f>IF(BP8="","",IF(BP8&lt;'[8]Set Up'!$J$15,BP8*'[8]Set Up'!$N$15,IF(BP8&lt;'[8]Set Up'!$J$16,(BP8-'[8]Set Up'!$J$15)*'[8]Set Up'!$N$16+'[8]Set Up'!$O$15,IF(BP8&lt;'[8]Set Up'!$J$17,(BP8-'[8]Set Up'!$J$16)*'[8]Set Up'!$N$17+'[8]Set Up'!$O$15+'[8]Set Up'!$O$16,(BP8-'[8]Set Up'!$J$17)*'[8]Set Up'!$N$18 + SUM('[8]Set Up'!$O$15:'[8]Set Up'!$O$17)))))</f>
        <v>0</v>
      </c>
      <c r="BQ13" s="26">
        <f>IF(BQ8="","",IF(BQ8&lt;'[8]Set Up'!$J$15,BQ8*'[8]Set Up'!$N$15,IF(BQ8&lt;'[8]Set Up'!$J$16,(BQ8-'[8]Set Up'!$J$15)*'[8]Set Up'!$N$16+'[8]Set Up'!$O$15,IF(BQ8&lt;'[8]Set Up'!$J$17,(BQ8-'[8]Set Up'!$J$16)*'[8]Set Up'!$N$17+'[8]Set Up'!$O$15+'[8]Set Up'!$O$16,(BQ8-'[8]Set Up'!$J$17)*'[8]Set Up'!$N$18 + SUM('[8]Set Up'!$O$15:'[8]Set Up'!$O$17)))))</f>
        <v>0</v>
      </c>
      <c r="BR13" s="26">
        <f>IF(BR8="","",IF(BR8&lt;'[8]Set Up'!$J$15,BR8*'[8]Set Up'!$N$15,IF(BR8&lt;'[8]Set Up'!$J$16,(BR8-'[8]Set Up'!$J$15)*'[8]Set Up'!$N$16+'[8]Set Up'!$O$15,IF(BR8&lt;'[8]Set Up'!$J$17,(BR8-'[8]Set Up'!$J$16)*'[8]Set Up'!$N$17+'[8]Set Up'!$O$15+'[8]Set Up'!$O$16,(BR8-'[8]Set Up'!$J$17)*'[8]Set Up'!$N$18 + SUM('[8]Set Up'!$O$15:'[8]Set Up'!$O$17)))))</f>
        <v>0</v>
      </c>
      <c r="BS13" s="26">
        <f>IF(BS8="","",IF(BS8&lt;'[8]Set Up'!$J$15,BS8*'[8]Set Up'!$N$15,IF(BS8&lt;'[8]Set Up'!$J$16,(BS8-'[8]Set Up'!$J$15)*'[8]Set Up'!$N$16+'[8]Set Up'!$O$15,IF(BS8&lt;'[8]Set Up'!$J$17,(BS8-'[8]Set Up'!$J$16)*'[8]Set Up'!$N$17+'[8]Set Up'!$O$15+'[8]Set Up'!$O$16,(BS8-'[8]Set Up'!$J$17)*'[8]Set Up'!$N$18 + SUM('[8]Set Up'!$O$15:'[8]Set Up'!$O$17)))))</f>
        <v>0</v>
      </c>
      <c r="BT13" s="26">
        <f>IF(BT8="","",IF(BT8&lt;'[8]Set Up'!$J$15,BT8*'[8]Set Up'!$N$15,IF(BT8&lt;'[8]Set Up'!$J$16,(BT8-'[8]Set Up'!$J$15)*'[8]Set Up'!$N$16+'[8]Set Up'!$O$15,IF(BT8&lt;'[8]Set Up'!$J$17,(BT8-'[8]Set Up'!$J$16)*'[8]Set Up'!$N$17+'[8]Set Up'!$O$15+'[8]Set Up'!$O$16,(BT8-'[8]Set Up'!$J$17)*'[8]Set Up'!$N$18 + SUM('[8]Set Up'!$O$15:'[8]Set Up'!$O$17)))))</f>
        <v>0</v>
      </c>
      <c r="BU13" s="26">
        <f>IF(BU8="","",IF(BU8&lt;'[8]Set Up'!$J$15,BU8*'[8]Set Up'!$N$15,IF(BU8&lt;'[8]Set Up'!$J$16,(BU8-'[8]Set Up'!$J$15)*'[8]Set Up'!$N$16+'[8]Set Up'!$O$15,IF(BU8&lt;'[8]Set Up'!$J$17,(BU8-'[8]Set Up'!$J$16)*'[8]Set Up'!$N$17+'[8]Set Up'!$O$15+'[8]Set Up'!$O$16,(BU8-'[8]Set Up'!$J$17)*'[8]Set Up'!$N$18 + SUM('[8]Set Up'!$O$15:'[8]Set Up'!$O$17)))))</f>
        <v>0</v>
      </c>
      <c r="BV13" s="26">
        <f>IF(BV8="","",IF(BV8&lt;'[8]Set Up'!$J$15,BV8*'[8]Set Up'!$N$15,IF(BV8&lt;'[8]Set Up'!$J$16,(BV8-'[8]Set Up'!$J$15)*'[8]Set Up'!$N$16+'[8]Set Up'!$O$15,IF(BV8&lt;'[8]Set Up'!$J$17,(BV8-'[8]Set Up'!$J$16)*'[8]Set Up'!$N$17+'[8]Set Up'!$O$15+'[8]Set Up'!$O$16,(BV8-'[8]Set Up'!$J$17)*'[8]Set Up'!$N$18 + SUM('[8]Set Up'!$O$15:'[8]Set Up'!$O$17)))))</f>
        <v>0</v>
      </c>
      <c r="BW13" s="26">
        <f>IF(BW8="","",IF(BW8&lt;'[8]Set Up'!$J$15,BW8*'[8]Set Up'!$N$15,IF(BW8&lt;'[8]Set Up'!$J$16,(BW8-'[8]Set Up'!$J$15)*'[8]Set Up'!$N$16+'[8]Set Up'!$O$15,IF(BW8&lt;'[8]Set Up'!$J$17,(BW8-'[8]Set Up'!$J$16)*'[8]Set Up'!$N$17+'[8]Set Up'!$O$15+'[8]Set Up'!$O$16,(BW8-'[8]Set Up'!$J$17)*'[8]Set Up'!$N$18 + SUM('[8]Set Up'!$O$15:'[8]Set Up'!$O$17)))))</f>
        <v>0</v>
      </c>
      <c r="BX13" s="26">
        <f>IF(BX8="","",IF(BX8&lt;'[8]Set Up'!$J$15,BX8*'[8]Set Up'!$N$15,IF(BX8&lt;'[8]Set Up'!$J$16,(BX8-'[8]Set Up'!$J$15)*'[8]Set Up'!$N$16+'[8]Set Up'!$O$15,IF(BX8&lt;'[8]Set Up'!$J$17,(BX8-'[8]Set Up'!$J$16)*'[8]Set Up'!$N$17+'[8]Set Up'!$O$15+'[8]Set Up'!$O$16,(BX8-'[8]Set Up'!$J$17)*'[8]Set Up'!$N$18 + SUM('[8]Set Up'!$O$15:'[8]Set Up'!$O$17)))))</f>
        <v>0</v>
      </c>
      <c r="BY13" s="26">
        <f>IF(BY8="","",IF(BY8&lt;'[8]Set Up'!$J$15,BY8*'[8]Set Up'!$N$15,IF(BY8&lt;'[8]Set Up'!$J$16,(BY8-'[8]Set Up'!$J$15)*'[8]Set Up'!$N$16+'[8]Set Up'!$O$15,IF(BY8&lt;'[8]Set Up'!$J$17,(BY8-'[8]Set Up'!$J$16)*'[8]Set Up'!$N$17+'[8]Set Up'!$O$15+'[8]Set Up'!$O$16,(BY8-'[8]Set Up'!$J$17)*'[8]Set Up'!$N$18 + SUM('[8]Set Up'!$O$15:'[8]Set Up'!$O$17)))))</f>
        <v>0</v>
      </c>
      <c r="BZ13" s="8"/>
    </row>
    <row r="14" spans="1:78" x14ac:dyDescent="0.35">
      <c r="A14" s="27" t="s">
        <v>21</v>
      </c>
      <c r="B14" s="195"/>
      <c r="C14" s="28">
        <f>IF(C9="","",IF(C9&lt;'[8]Set Up'!$J$15,C9*'[8]Set Up'!$N$15,IF(C9&lt;'[8]Set Up'!$J$16,(C9-'[8]Set Up'!$J$15)*'[8]Set Up'!$N$16+'[8]Set Up'!$O$15,IF(C9&lt;'[8]Set Up'!$J$17,(C9-'[8]Set Up'!$J$16)*'[8]Set Up'!$N$17+'[8]Set Up'!$O$15+'[8]Set Up'!$O$16,(C9-'[8]Set Up'!$J$17)*'[8]Set Up'!$N$18 + SUM('[8]Set Up'!$O$15:'[8]Set Up'!$O$17)))))</f>
        <v>411.94069387514759</v>
      </c>
      <c r="D14" s="28">
        <f>IF(D9="","",IF(D9&lt;'[8]Set Up'!$J$15,D9*'[8]Set Up'!$N$15,IF(D9&lt;'[8]Set Up'!$J$16,(D9-'[8]Set Up'!$J$15)*'[8]Set Up'!$N$16+'[8]Set Up'!$O$15,IF(D9&lt;'[8]Set Up'!$J$17,(D9-'[8]Set Up'!$J$16)*'[8]Set Up'!$N$17+'[8]Set Up'!$O$15+'[8]Set Up'!$O$16,(D9-'[8]Set Up'!$J$17)*'[8]Set Up'!$N$18 + SUM('[8]Set Up'!$O$15:'[8]Set Up'!$O$17)))))</f>
        <v>408.98426716706655</v>
      </c>
      <c r="E14" s="28">
        <f>IF(E9="","",IF(E9&lt;'[8]Set Up'!$J$15,E9*'[8]Set Up'!$N$15,IF(E9&lt;'[8]Set Up'!$J$16,(E9-'[8]Set Up'!$J$15)*'[8]Set Up'!$N$16+'[8]Set Up'!$O$15,IF(E9&lt;'[8]Set Up'!$J$17,(E9-'[8]Set Up'!$J$16)*'[8]Set Up'!$N$17+'[8]Set Up'!$O$15+'[8]Set Up'!$O$16,(E9-'[8]Set Up'!$J$17)*'[8]Set Up'!$N$18 + SUM('[8]Set Up'!$O$15:'[8]Set Up'!$O$17)))))</f>
        <v>406.0129090109649</v>
      </c>
      <c r="F14" s="28">
        <f>IF(F9="","",IF(F9&lt;'[8]Set Up'!$J$15,F9*'[8]Set Up'!$N$15,IF(F9&lt;'[8]Set Up'!$J$16,(F9-'[8]Set Up'!$J$15)*'[8]Set Up'!$N$16+'[8]Set Up'!$O$15,IF(F9&lt;'[8]Set Up'!$J$17,(F9-'[8]Set Up'!$J$16)*'[8]Set Up'!$N$17+'[8]Set Up'!$O$15+'[8]Set Up'!$O$16,(F9-'[8]Set Up'!$J$17)*'[8]Set Up'!$N$18 + SUM('[8]Set Up'!$O$15:'[8]Set Up'!$O$17)))))</f>
        <v>403.05648230288381</v>
      </c>
      <c r="G14" s="28">
        <f>IF(G9="","",IF(G9&lt;'[8]Set Up'!$J$15,G9*'[8]Set Up'!$N$15,IF(G9&lt;'[8]Set Up'!$J$16,(G9-'[8]Set Up'!$J$15)*'[8]Set Up'!$N$16+'[8]Set Up'!$O$15,IF(G9&lt;'[8]Set Up'!$J$17,(G9-'[8]Set Up'!$J$16)*'[8]Set Up'!$N$17+'[8]Set Up'!$O$15+'[8]Set Up'!$O$16,(G9-'[8]Set Up'!$J$17)*'[8]Set Up'!$N$18 + SUM('[8]Set Up'!$O$15:'[8]Set Up'!$O$17)))))</f>
        <v>400.08512414678216</v>
      </c>
      <c r="H14" s="28">
        <f>IF(H9="","",IF(H9&lt;'[8]Set Up'!$J$15,H9*'[8]Set Up'!$N$15,IF(H9&lt;'[8]Set Up'!$J$16,(H9-'[8]Set Up'!$J$15)*'[8]Set Up'!$N$16+'[8]Set Up'!$O$15,IF(H9&lt;'[8]Set Up'!$J$17,(H9-'[8]Set Up'!$J$16)*'[8]Set Up'!$N$17+'[8]Set Up'!$O$15+'[8]Set Up'!$O$16,(H9-'[8]Set Up'!$J$17)*'[8]Set Up'!$N$18 + SUM('[8]Set Up'!$O$15:'[8]Set Up'!$O$17)))))</f>
        <v>397.12869743870112</v>
      </c>
      <c r="I14" s="28">
        <f>IF(I9="","",IF(I9&lt;'[8]Set Up'!$J$15,I9*'[8]Set Up'!$N$15,IF(I9&lt;'[8]Set Up'!$J$16,(I9-'[8]Set Up'!$J$15)*'[8]Set Up'!$N$16+'[8]Set Up'!$O$15,IF(I9&lt;'[8]Set Up'!$J$17,(I9-'[8]Set Up'!$J$16)*'[8]Set Up'!$N$17+'[8]Set Up'!$O$15+'[8]Set Up'!$O$16,(I9-'[8]Set Up'!$J$17)*'[8]Set Up'!$N$18 + SUM('[8]Set Up'!$O$15:'[8]Set Up'!$O$17)))))</f>
        <v>394.15733928259942</v>
      </c>
      <c r="J14" s="28">
        <f>IF(J9="","",IF(J9&lt;'[8]Set Up'!$J$15,J9*'[8]Set Up'!$N$15,IF(J9&lt;'[8]Set Up'!$J$16,(J9-'[8]Set Up'!$J$15)*'[8]Set Up'!$N$16+'[8]Set Up'!$O$15,IF(J9&lt;'[8]Set Up'!$J$17,(J9-'[8]Set Up'!$J$16)*'[8]Set Up'!$N$17+'[8]Set Up'!$O$15+'[8]Set Up'!$O$16,(J9-'[8]Set Up'!$J$17)*'[8]Set Up'!$N$18 + SUM('[8]Set Up'!$O$15:'[8]Set Up'!$O$17)))))</f>
        <v>391.18598112649772</v>
      </c>
      <c r="K14" s="28">
        <f>IF(K9="","",IF(K9&lt;'[8]Set Up'!$J$15,K9*'[8]Set Up'!$N$15,IF(K9&lt;'[8]Set Up'!$J$16,(K9-'[8]Set Up'!$J$15)*'[8]Set Up'!$N$16+'[8]Set Up'!$O$15,IF(K9&lt;'[8]Set Up'!$J$17,(K9-'[8]Set Up'!$J$16)*'[8]Set Up'!$N$17+'[8]Set Up'!$O$15+'[8]Set Up'!$O$16,(K9-'[8]Set Up'!$J$17)*'[8]Set Up'!$N$18 + SUM('[8]Set Up'!$O$15:'[8]Set Up'!$O$17)))))</f>
        <v>388.22955441841668</v>
      </c>
      <c r="L14" s="28">
        <f>IF(L9="","",IF(L9&lt;'[8]Set Up'!$J$15,L9*'[8]Set Up'!$N$15,IF(L9&lt;'[8]Set Up'!$J$16,(L9-'[8]Set Up'!$J$15)*'[8]Set Up'!$N$16+'[8]Set Up'!$O$15,IF(L9&lt;'[8]Set Up'!$J$17,(L9-'[8]Set Up'!$J$16)*'[8]Set Up'!$N$17+'[8]Set Up'!$O$15+'[8]Set Up'!$O$16,(L9-'[8]Set Up'!$J$17)*'[8]Set Up'!$N$18 + SUM('[8]Set Up'!$O$15:'[8]Set Up'!$O$17)))))</f>
        <v>385.25819626231504</v>
      </c>
      <c r="M14" s="28">
        <f>IF(M9="","",IF(M9&lt;'[8]Set Up'!$J$15,M9*'[8]Set Up'!$N$15,IF(M9&lt;'[8]Set Up'!$J$16,(M9-'[8]Set Up'!$J$15)*'[8]Set Up'!$N$16+'[8]Set Up'!$O$15,IF(M9&lt;'[8]Set Up'!$J$17,(M9-'[8]Set Up'!$J$16)*'[8]Set Up'!$N$17+'[8]Set Up'!$O$15+'[8]Set Up'!$O$16,(M9-'[8]Set Up'!$J$17)*'[8]Set Up'!$N$18 + SUM('[8]Set Up'!$O$15:'[8]Set Up'!$O$17)))))</f>
        <v>382.30176955423394</v>
      </c>
      <c r="N14" s="28">
        <f>IF(N9="","",IF(N9&lt;'[8]Set Up'!$J$15,N9*'[8]Set Up'!$N$15,IF(N9&lt;'[8]Set Up'!$J$16,(N9-'[8]Set Up'!$J$15)*'[8]Set Up'!$N$16+'[8]Set Up'!$O$15,IF(N9&lt;'[8]Set Up'!$J$17,(N9-'[8]Set Up'!$J$16)*'[8]Set Up'!$N$17+'[8]Set Up'!$O$15+'[8]Set Up'!$O$16,(N9-'[8]Set Up'!$J$17)*'[8]Set Up'!$N$18 + SUM('[8]Set Up'!$O$15:'[8]Set Up'!$O$17)))))</f>
        <v>379.3304113981323</v>
      </c>
      <c r="O14" s="28">
        <f>IF(O9="","",IF(O9&lt;'[8]Set Up'!$J$15,O9*'[8]Set Up'!$N$15,IF(O9&lt;'[8]Set Up'!$J$16,(O9-'[8]Set Up'!$J$15)*'[8]Set Up'!$N$16+'[8]Set Up'!$O$15,IF(O9&lt;'[8]Set Up'!$J$17,(O9-'[8]Set Up'!$J$16)*'[8]Set Up'!$N$17+'[8]Set Up'!$O$15+'[8]Set Up'!$O$16,(O9-'[8]Set Up'!$J$17)*'[8]Set Up'!$N$18 + SUM('[8]Set Up'!$O$15:'[8]Set Up'!$O$17)))))</f>
        <v>376.37398469005126</v>
      </c>
      <c r="P14" s="28">
        <f>IF(P9="","",IF(P9&lt;'[8]Set Up'!$J$15,P9*'[8]Set Up'!$N$15,IF(P9&lt;'[8]Set Up'!$J$16,(P9-'[8]Set Up'!$J$15)*'[8]Set Up'!$N$16+'[8]Set Up'!$O$15,IF(P9&lt;'[8]Set Up'!$J$17,(P9-'[8]Set Up'!$J$16)*'[8]Set Up'!$N$17+'[8]Set Up'!$O$15+'[8]Set Up'!$O$16,(P9-'[8]Set Up'!$J$17)*'[8]Set Up'!$N$18 + SUM('[8]Set Up'!$O$15:'[8]Set Up'!$O$17)))))</f>
        <v>373.40262653394961</v>
      </c>
      <c r="Q14" s="28">
        <f>IF(Q9="","",IF(Q9&lt;'[8]Set Up'!$J$15,Q9*'[8]Set Up'!$N$15,IF(Q9&lt;'[8]Set Up'!$J$16,(Q9-'[8]Set Up'!$J$15)*'[8]Set Up'!$N$16+'[8]Set Up'!$O$15,IF(Q9&lt;'[8]Set Up'!$J$17,(Q9-'[8]Set Up'!$J$16)*'[8]Set Up'!$N$17+'[8]Set Up'!$O$15+'[8]Set Up'!$O$16,(Q9-'[8]Set Up'!$J$17)*'[8]Set Up'!$N$18 + SUM('[8]Set Up'!$O$15:'[8]Set Up'!$O$17)))))</f>
        <v>370.43126837784791</v>
      </c>
      <c r="R14" s="28">
        <f>IF(R9="","",IF(R9&lt;'[8]Set Up'!$J$15,R9*'[8]Set Up'!$N$15,IF(R9&lt;'[8]Set Up'!$J$16,(R9-'[8]Set Up'!$J$15)*'[8]Set Up'!$N$16+'[8]Set Up'!$O$15,IF(R9&lt;'[8]Set Up'!$J$17,(R9-'[8]Set Up'!$J$16)*'[8]Set Up'!$N$17+'[8]Set Up'!$O$15+'[8]Set Up'!$O$16,(R9-'[8]Set Up'!$J$17)*'[8]Set Up'!$N$18 + SUM('[8]Set Up'!$O$15:'[8]Set Up'!$O$17)))))</f>
        <v>367.47484166976687</v>
      </c>
      <c r="S14" s="28">
        <f>IF(S9="","",IF(S9&lt;'[8]Set Up'!$J$15,S9*'[8]Set Up'!$N$15,IF(S9&lt;'[8]Set Up'!$J$16,(S9-'[8]Set Up'!$J$15)*'[8]Set Up'!$N$16+'[8]Set Up'!$O$15,IF(S9&lt;'[8]Set Up'!$J$17,(S9-'[8]Set Up'!$J$16)*'[8]Set Up'!$N$17+'[8]Set Up'!$O$15+'[8]Set Up'!$O$16,(S9-'[8]Set Up'!$J$17)*'[8]Set Up'!$N$18 + SUM('[8]Set Up'!$O$15:'[8]Set Up'!$O$17)))))</f>
        <v>364.50348351366517</v>
      </c>
      <c r="T14" s="28">
        <f>IF(T9="","",IF(T9&lt;'[8]Set Up'!$J$15,T9*'[8]Set Up'!$N$15,IF(T9&lt;'[8]Set Up'!$J$16,(T9-'[8]Set Up'!$J$15)*'[8]Set Up'!$N$16+'[8]Set Up'!$O$15,IF(T9&lt;'[8]Set Up'!$J$17,(T9-'[8]Set Up'!$J$16)*'[8]Set Up'!$N$17+'[8]Set Up'!$O$15+'[8]Set Up'!$O$16,(T9-'[8]Set Up'!$J$17)*'[8]Set Up'!$N$18 + SUM('[8]Set Up'!$O$15:'[8]Set Up'!$O$17)))))</f>
        <v>361.54705680558413</v>
      </c>
      <c r="U14" s="28">
        <f>IF(U9="","",IF(U9&lt;'[8]Set Up'!$J$15,U9*'[8]Set Up'!$N$15,IF(U9&lt;'[8]Set Up'!$J$16,(U9-'[8]Set Up'!$J$15)*'[8]Set Up'!$N$16+'[8]Set Up'!$O$15,IF(U9&lt;'[8]Set Up'!$J$17,(U9-'[8]Set Up'!$J$16)*'[8]Set Up'!$N$17+'[8]Set Up'!$O$15+'[8]Set Up'!$O$16,(U9-'[8]Set Up'!$J$17)*'[8]Set Up'!$N$18 + SUM('[8]Set Up'!$O$15:'[8]Set Up'!$O$17)))))</f>
        <v>358.57569864948243</v>
      </c>
      <c r="V14" s="28">
        <f>IF(V9="","",IF(V9&lt;'[8]Set Up'!$J$15,V9*'[8]Set Up'!$N$15,IF(V9&lt;'[8]Set Up'!$J$16,(V9-'[8]Set Up'!$J$15)*'[8]Set Up'!$N$16+'[8]Set Up'!$O$15,IF(V9&lt;'[8]Set Up'!$J$17,(V9-'[8]Set Up'!$J$16)*'[8]Set Up'!$N$17+'[8]Set Up'!$O$15+'[8]Set Up'!$O$16,(V9-'[8]Set Up'!$J$17)*'[8]Set Up'!$N$18 + SUM('[8]Set Up'!$O$15:'[8]Set Up'!$O$17)))))</f>
        <v>355.61927194140139</v>
      </c>
      <c r="W14" s="28">
        <f>IF(W9="","",IF(W9&lt;'[8]Set Up'!$J$15,W9*'[8]Set Up'!$N$15,IF(W9&lt;'[8]Set Up'!$J$16,(W9-'[8]Set Up'!$J$15)*'[8]Set Up'!$N$16+'[8]Set Up'!$O$15,IF(W9&lt;'[8]Set Up'!$J$17,(W9-'[8]Set Up'!$J$16)*'[8]Set Up'!$N$17+'[8]Set Up'!$O$15+'[8]Set Up'!$O$16,(W9-'[8]Set Up'!$J$17)*'[8]Set Up'!$N$18 + SUM('[8]Set Up'!$O$15:'[8]Set Up'!$O$17)))))</f>
        <v>352.64791378529975</v>
      </c>
      <c r="X14" s="28">
        <f>IF(X9="","",IF(X9&lt;'[8]Set Up'!$J$15,X9*'[8]Set Up'!$N$15,IF(X9&lt;'[8]Set Up'!$J$16,(X9-'[8]Set Up'!$J$15)*'[8]Set Up'!$N$16+'[8]Set Up'!$O$15,IF(X9&lt;'[8]Set Up'!$J$17,(X9-'[8]Set Up'!$J$16)*'[8]Set Up'!$N$17+'[8]Set Up'!$O$15+'[8]Set Up'!$O$16,(X9-'[8]Set Up'!$J$17)*'[8]Set Up'!$N$18 + SUM('[8]Set Up'!$O$15:'[8]Set Up'!$O$17)))))</f>
        <v>349.69148707721871</v>
      </c>
      <c r="Y14" s="28">
        <f>IF(Y9="","",IF(Y9&lt;'[8]Set Up'!$J$15,Y9*'[8]Set Up'!$N$15,IF(Y9&lt;'[8]Set Up'!$J$16,(Y9-'[8]Set Up'!$J$15)*'[8]Set Up'!$N$16+'[8]Set Up'!$O$15,IF(Y9&lt;'[8]Set Up'!$J$17,(Y9-'[8]Set Up'!$J$16)*'[8]Set Up'!$N$17+'[8]Set Up'!$O$15+'[8]Set Up'!$O$16,(Y9-'[8]Set Up'!$J$17)*'[8]Set Up'!$N$18 + SUM('[8]Set Up'!$O$15:'[8]Set Up'!$O$17)))))</f>
        <v>346.72012892111701</v>
      </c>
      <c r="Z14" s="28">
        <f>IF(Z9="","",IF(Z9&lt;'[8]Set Up'!$J$15,Z9*'[8]Set Up'!$N$15,IF(Z9&lt;'[8]Set Up'!$J$16,(Z9-'[8]Set Up'!$J$15)*'[8]Set Up'!$N$16+'[8]Set Up'!$O$15,IF(Z9&lt;'[8]Set Up'!$J$17,(Z9-'[8]Set Up'!$J$16)*'[8]Set Up'!$N$17+'[8]Set Up'!$O$15+'[8]Set Up'!$O$16,(Z9-'[8]Set Up'!$J$17)*'[8]Set Up'!$N$18 + SUM('[8]Set Up'!$O$15:'[8]Set Up'!$O$17)))))</f>
        <v>343.74877076501537</v>
      </c>
      <c r="AA14" s="28">
        <f>IF(AA9="","",IF(AA9&lt;'[8]Set Up'!$J$15,AA9*'[8]Set Up'!$N$15,IF(AA9&lt;'[8]Set Up'!$J$16,(AA9-'[8]Set Up'!$J$15)*'[8]Set Up'!$N$16+'[8]Set Up'!$O$15,IF(AA9&lt;'[8]Set Up'!$J$17,(AA9-'[8]Set Up'!$J$16)*'[8]Set Up'!$N$17+'[8]Set Up'!$O$15+'[8]Set Up'!$O$16,(AA9-'[8]Set Up'!$J$17)*'[8]Set Up'!$N$18 + SUM('[8]Set Up'!$O$15:'[8]Set Up'!$O$17)))))</f>
        <v>340.79234405693433</v>
      </c>
      <c r="AB14" s="28">
        <f>IF(AB9="","",IF(AB9&lt;'[8]Set Up'!$J$15,AB9*'[8]Set Up'!$N$15,IF(AB9&lt;'[8]Set Up'!$J$16,(AB9-'[8]Set Up'!$J$15)*'[8]Set Up'!$N$16+'[8]Set Up'!$O$15,IF(AB9&lt;'[8]Set Up'!$J$17,(AB9-'[8]Set Up'!$J$16)*'[8]Set Up'!$N$17+'[8]Set Up'!$O$15+'[8]Set Up'!$O$16,(AB9-'[8]Set Up'!$J$17)*'[8]Set Up'!$N$18 + SUM('[8]Set Up'!$O$15:'[8]Set Up'!$O$17)))))</f>
        <v>337.82098590083262</v>
      </c>
      <c r="AC14" s="28">
        <f>IF(AC9="","",IF(AC9&lt;'[8]Set Up'!$J$15,AC9*'[8]Set Up'!$N$15,IF(AC9&lt;'[8]Set Up'!$J$16,(AC9-'[8]Set Up'!$J$15)*'[8]Set Up'!$N$16+'[8]Set Up'!$O$15,IF(AC9&lt;'[8]Set Up'!$J$17,(AC9-'[8]Set Up'!$J$16)*'[8]Set Up'!$N$17+'[8]Set Up'!$O$15+'[8]Set Up'!$O$16,(AC9-'[8]Set Up'!$J$17)*'[8]Set Up'!$N$18 + SUM('[8]Set Up'!$O$15:'[8]Set Up'!$O$17)))))</f>
        <v>334.86455919275159</v>
      </c>
      <c r="AD14" s="28">
        <f>IF(AD9="","",IF(AD9&lt;'[8]Set Up'!$J$15,AD9*'[8]Set Up'!$N$15,IF(AD9&lt;'[8]Set Up'!$J$16,(AD9-'[8]Set Up'!$J$15)*'[8]Set Up'!$N$16+'[8]Set Up'!$O$15,IF(AD9&lt;'[8]Set Up'!$J$17,(AD9-'[8]Set Up'!$J$16)*'[8]Set Up'!$N$17+'[8]Set Up'!$O$15+'[8]Set Up'!$O$16,(AD9-'[8]Set Up'!$J$17)*'[8]Set Up'!$N$18 + SUM('[8]Set Up'!$O$15:'[8]Set Up'!$O$17)))))</f>
        <v>331.89320103664988</v>
      </c>
      <c r="AE14" s="28">
        <f>IF(AE9="","",IF(AE9&lt;'[8]Set Up'!$J$15,AE9*'[8]Set Up'!$N$15,IF(AE9&lt;'[8]Set Up'!$J$16,(AE9-'[8]Set Up'!$J$15)*'[8]Set Up'!$N$16+'[8]Set Up'!$O$15,IF(AE9&lt;'[8]Set Up'!$J$17,(AE9-'[8]Set Up'!$J$16)*'[8]Set Up'!$N$17+'[8]Set Up'!$O$15+'[8]Set Up'!$O$16,(AE9-'[8]Set Up'!$J$17)*'[8]Set Up'!$N$18 + SUM('[8]Set Up'!$O$15:'[8]Set Up'!$O$17)))))</f>
        <v>328.93677432856884</v>
      </c>
      <c r="AF14" s="28">
        <f>IF(AF9="","",IF(AF9&lt;'[8]Set Up'!$J$15,AF9*'[8]Set Up'!$N$15,IF(AF9&lt;'[8]Set Up'!$J$16,(AF9-'[8]Set Up'!$J$15)*'[8]Set Up'!$N$16+'[8]Set Up'!$O$15,IF(AF9&lt;'[8]Set Up'!$J$17,(AF9-'[8]Set Up'!$J$16)*'[8]Set Up'!$N$17+'[8]Set Up'!$O$15+'[8]Set Up'!$O$16,(AF9-'[8]Set Up'!$J$17)*'[8]Set Up'!$N$18 + SUM('[8]Set Up'!$O$15:'[8]Set Up'!$O$17)))))</f>
        <v>325.9654161724672</v>
      </c>
      <c r="AG14" s="28">
        <f>IF(AG9="","",IF(AG9&lt;'[8]Set Up'!$J$15,AG9*'[8]Set Up'!$N$15,IF(AG9&lt;'[8]Set Up'!$J$16,(AG9-'[8]Set Up'!$J$15)*'[8]Set Up'!$N$16+'[8]Set Up'!$O$15,IF(AG9&lt;'[8]Set Up'!$J$17,(AG9-'[8]Set Up'!$J$16)*'[8]Set Up'!$N$17+'[8]Set Up'!$O$15+'[8]Set Up'!$O$16,(AG9-'[8]Set Up'!$J$17)*'[8]Set Up'!$N$18 + SUM('[8]Set Up'!$O$15:'[8]Set Up'!$O$17)))))</f>
        <v>322.9940580163655</v>
      </c>
      <c r="AH14" s="28">
        <f>IF(AH9="","",IF(AH9&lt;'[8]Set Up'!$J$15,AH9*'[8]Set Up'!$N$15,IF(AH9&lt;'[8]Set Up'!$J$16,(AH9-'[8]Set Up'!$J$15)*'[8]Set Up'!$N$16+'[8]Set Up'!$O$15,IF(AH9&lt;'[8]Set Up'!$J$17,(AH9-'[8]Set Up'!$J$16)*'[8]Set Up'!$N$17+'[8]Set Up'!$O$15+'[8]Set Up'!$O$16,(AH9-'[8]Set Up'!$J$17)*'[8]Set Up'!$N$18 + SUM('[8]Set Up'!$O$15:'[8]Set Up'!$O$17)))))</f>
        <v>320.03763130828446</v>
      </c>
      <c r="AI14" s="28">
        <f>IF(AI9="","",IF(AI9&lt;'[8]Set Up'!$J$15,AI9*'[8]Set Up'!$N$15,IF(AI9&lt;'[8]Set Up'!$J$16,(AI9-'[8]Set Up'!$J$15)*'[8]Set Up'!$N$16+'[8]Set Up'!$O$15,IF(AI9&lt;'[8]Set Up'!$J$17,(AI9-'[8]Set Up'!$J$16)*'[8]Set Up'!$N$17+'[8]Set Up'!$O$15+'[8]Set Up'!$O$16,(AI9-'[8]Set Up'!$J$17)*'[8]Set Up'!$N$18 + SUM('[8]Set Up'!$O$15:'[8]Set Up'!$O$17)))))</f>
        <v>317.06627315218282</v>
      </c>
      <c r="AJ14" s="28">
        <f>IF(AJ9="","",IF(AJ9&lt;'[8]Set Up'!$J$15,AJ9*'[8]Set Up'!$N$15,IF(AJ9&lt;'[8]Set Up'!$J$16,(AJ9-'[8]Set Up'!$J$15)*'[8]Set Up'!$N$16+'[8]Set Up'!$O$15,IF(AJ9&lt;'[8]Set Up'!$J$17,(AJ9-'[8]Set Up'!$J$16)*'[8]Set Up'!$N$17+'[8]Set Up'!$O$15+'[8]Set Up'!$O$16,(AJ9-'[8]Set Up'!$J$17)*'[8]Set Up'!$N$18 + SUM('[8]Set Up'!$O$15:'[8]Set Up'!$O$17)))))</f>
        <v>314.10984644410172</v>
      </c>
      <c r="AK14" s="28">
        <f>IF(AK9="","",IF(AK9&lt;'[8]Set Up'!$J$15,AK9*'[8]Set Up'!$N$15,IF(AK9&lt;'[8]Set Up'!$J$16,(AK9-'[8]Set Up'!$J$15)*'[8]Set Up'!$N$16+'[8]Set Up'!$O$15,IF(AK9&lt;'[8]Set Up'!$J$17,(AK9-'[8]Set Up'!$J$16)*'[8]Set Up'!$N$17+'[8]Set Up'!$O$15+'[8]Set Up'!$O$16,(AK9-'[8]Set Up'!$J$17)*'[8]Set Up'!$N$18 + SUM('[8]Set Up'!$O$15:'[8]Set Up'!$O$17)))))</f>
        <v>311.13848828800008</v>
      </c>
      <c r="AL14" s="28">
        <f>IF(AL9="","",IF(AL9&lt;'[8]Set Up'!$J$15,AL9*'[8]Set Up'!$N$15,IF(AL9&lt;'[8]Set Up'!$J$16,(AL9-'[8]Set Up'!$J$15)*'[8]Set Up'!$N$16+'[8]Set Up'!$O$15,IF(AL9&lt;'[8]Set Up'!$J$17,(AL9-'[8]Set Up'!$J$16)*'[8]Set Up'!$N$17+'[8]Set Up'!$O$15+'[8]Set Up'!$O$16,(AL9-'[8]Set Up'!$J$17)*'[8]Set Up'!$N$18 + SUM('[8]Set Up'!$O$15:'[8]Set Up'!$O$17)))))</f>
        <v>308.18206157991904</v>
      </c>
      <c r="AM14" s="28">
        <f>IF(AM9="","",IF(AM9&lt;'[8]Set Up'!$J$15,AM9*'[8]Set Up'!$N$15,IF(AM9&lt;'[8]Set Up'!$J$16,(AM9-'[8]Set Up'!$J$15)*'[8]Set Up'!$N$16+'[8]Set Up'!$O$15,IF(AM9&lt;'[8]Set Up'!$J$17,(AM9-'[8]Set Up'!$J$16)*'[8]Set Up'!$N$17+'[8]Set Up'!$O$15+'[8]Set Up'!$O$16,(AM9-'[8]Set Up'!$J$17)*'[8]Set Up'!$N$18 + SUM('[8]Set Up'!$O$15:'[8]Set Up'!$O$17)))))</f>
        <v>305.21070342381734</v>
      </c>
      <c r="AN14" s="28">
        <f>IF(AN9="","",IF(AN9&lt;'[8]Set Up'!$J$15,AN9*'[8]Set Up'!$N$15,IF(AN9&lt;'[8]Set Up'!$J$16,(AN9-'[8]Set Up'!$J$15)*'[8]Set Up'!$N$16+'[8]Set Up'!$O$15,IF(AN9&lt;'[8]Set Up'!$J$17,(AN9-'[8]Set Up'!$J$16)*'[8]Set Up'!$N$17+'[8]Set Up'!$O$15+'[8]Set Up'!$O$16,(AN9-'[8]Set Up'!$J$17)*'[8]Set Up'!$N$18 + SUM('[8]Set Up'!$O$15:'[8]Set Up'!$O$17)))))</f>
        <v>302.23934526771569</v>
      </c>
      <c r="AO14" s="28">
        <f>IF(AO9="","",IF(AO9&lt;'[8]Set Up'!$J$15,AO9*'[8]Set Up'!$N$15,IF(AO9&lt;'[8]Set Up'!$J$16,(AO9-'[8]Set Up'!$J$15)*'[8]Set Up'!$N$16+'[8]Set Up'!$O$15,IF(AO9&lt;'[8]Set Up'!$J$17,(AO9-'[8]Set Up'!$J$16)*'[8]Set Up'!$N$17+'[8]Set Up'!$O$15+'[8]Set Up'!$O$16,(AO9-'[8]Set Up'!$J$17)*'[8]Set Up'!$N$18 + SUM('[8]Set Up'!$O$15:'[8]Set Up'!$O$17)))))</f>
        <v>299.2829185596346</v>
      </c>
      <c r="AP14" s="28">
        <f>IF(AP9="","",IF(AP9&lt;'[8]Set Up'!$J$15,AP9*'[8]Set Up'!$N$15,IF(AP9&lt;'[8]Set Up'!$J$16,(AP9-'[8]Set Up'!$J$15)*'[8]Set Up'!$N$16+'[8]Set Up'!$O$15,IF(AP9&lt;'[8]Set Up'!$J$17,(AP9-'[8]Set Up'!$J$16)*'[8]Set Up'!$N$17+'[8]Set Up'!$O$15+'[8]Set Up'!$O$16,(AP9-'[8]Set Up'!$J$17)*'[8]Set Up'!$N$18 + SUM('[8]Set Up'!$O$15:'[8]Set Up'!$O$17)))))</f>
        <v>296.31156040353295</v>
      </c>
      <c r="AQ14" s="28">
        <f>IF(AQ9="","",IF(AQ9&lt;'[8]Set Up'!$J$15,AQ9*'[8]Set Up'!$N$15,IF(AQ9&lt;'[8]Set Up'!$J$16,(AQ9-'[8]Set Up'!$J$15)*'[8]Set Up'!$N$16+'[8]Set Up'!$O$15,IF(AQ9&lt;'[8]Set Up'!$J$17,(AQ9-'[8]Set Up'!$J$16)*'[8]Set Up'!$N$17+'[8]Set Up'!$O$15+'[8]Set Up'!$O$16,(AQ9-'[8]Set Up'!$J$17)*'[8]Set Up'!$N$18 + SUM('[8]Set Up'!$O$15:'[8]Set Up'!$O$17)))))</f>
        <v>293.35513369545191</v>
      </c>
      <c r="AR14" s="28">
        <f>IF(AR9="","",IF(AR9&lt;'[8]Set Up'!$J$15,AR9*'[8]Set Up'!$N$15,IF(AR9&lt;'[8]Set Up'!$J$16,(AR9-'[8]Set Up'!$J$15)*'[8]Set Up'!$N$16+'[8]Set Up'!$O$15,IF(AR9&lt;'[8]Set Up'!$J$17,(AR9-'[8]Set Up'!$J$16)*'[8]Set Up'!$N$17+'[8]Set Up'!$O$15+'[8]Set Up'!$O$16,(AR9-'[8]Set Up'!$J$17)*'[8]Set Up'!$N$18 + SUM('[8]Set Up'!$O$15:'[8]Set Up'!$O$17)))))</f>
        <v>290.38377553935021</v>
      </c>
      <c r="AS14" s="28">
        <f>IF(AS9="","",IF(AS9&lt;'[8]Set Up'!$J$15,AS9*'[8]Set Up'!$N$15,IF(AS9&lt;'[8]Set Up'!$J$16,(AS9-'[8]Set Up'!$J$15)*'[8]Set Up'!$N$16+'[8]Set Up'!$O$15,IF(AS9&lt;'[8]Set Up'!$J$17,(AS9-'[8]Set Up'!$J$16)*'[8]Set Up'!$N$17+'[8]Set Up'!$O$15+'[8]Set Up'!$O$16,(AS9-'[8]Set Up'!$J$17)*'[8]Set Up'!$N$18 + SUM('[8]Set Up'!$O$15:'[8]Set Up'!$O$17)))))</f>
        <v>287.42734883126917</v>
      </c>
      <c r="AT14" s="28">
        <f>IF(AT9="","",IF(AT9&lt;'[8]Set Up'!$J$15,AT9*'[8]Set Up'!$N$15,IF(AT9&lt;'[8]Set Up'!$J$16,(AT9-'[8]Set Up'!$J$15)*'[8]Set Up'!$N$16+'[8]Set Up'!$O$15,IF(AT9&lt;'[8]Set Up'!$J$17,(AT9-'[8]Set Up'!$J$16)*'[8]Set Up'!$N$17+'[8]Set Up'!$O$15+'[8]Set Up'!$O$16,(AT9-'[8]Set Up'!$J$17)*'[8]Set Up'!$N$18 + SUM('[8]Set Up'!$O$15:'[8]Set Up'!$O$17)))))</f>
        <v>284.45599067516753</v>
      </c>
      <c r="AU14" s="28">
        <f>IF(AU9="","",IF(AU9&lt;'[8]Set Up'!$J$15,AU9*'[8]Set Up'!$N$15,IF(AU9&lt;'[8]Set Up'!$J$16,(AU9-'[8]Set Up'!$J$15)*'[8]Set Up'!$N$16+'[8]Set Up'!$O$15,IF(AU9&lt;'[8]Set Up'!$J$17,(AU9-'[8]Set Up'!$J$16)*'[8]Set Up'!$N$17+'[8]Set Up'!$O$15+'[8]Set Up'!$O$16,(AU9-'[8]Set Up'!$J$17)*'[8]Set Up'!$N$18 + SUM('[8]Set Up'!$O$15:'[8]Set Up'!$O$17)))))</f>
        <v>281.49956396708643</v>
      </c>
      <c r="AV14" s="28">
        <f>IF(AV9="","",IF(AV9&lt;'[8]Set Up'!$J$15,AV9*'[8]Set Up'!$N$15,IF(AV9&lt;'[8]Set Up'!$J$16,(AV9-'[8]Set Up'!$J$15)*'[8]Set Up'!$N$16+'[8]Set Up'!$O$15,IF(AV9&lt;'[8]Set Up'!$J$17,(AV9-'[8]Set Up'!$J$16)*'[8]Set Up'!$N$17+'[8]Set Up'!$O$15+'[8]Set Up'!$O$16,(AV9-'[8]Set Up'!$J$17)*'[8]Set Up'!$N$18 + SUM('[8]Set Up'!$O$15:'[8]Set Up'!$O$17)))))</f>
        <v>278.52820581098479</v>
      </c>
      <c r="AW14" s="28">
        <f>IF(AW9="","",IF(AW9&lt;'[8]Set Up'!$J$15,AW9*'[8]Set Up'!$N$15,IF(AW9&lt;'[8]Set Up'!$J$16,(AW9-'[8]Set Up'!$J$15)*'[8]Set Up'!$N$16+'[8]Set Up'!$O$15,IF(AW9&lt;'[8]Set Up'!$J$17,(AW9-'[8]Set Up'!$J$16)*'[8]Set Up'!$N$17+'[8]Set Up'!$O$15+'[8]Set Up'!$O$16,(AW9-'[8]Set Up'!$J$17)*'[8]Set Up'!$N$18 + SUM('[8]Set Up'!$O$15:'[8]Set Up'!$O$17)))))</f>
        <v>275.55684765488309</v>
      </c>
      <c r="AX14" s="28">
        <f>IF(AX9="","",IF(AX9&lt;'[8]Set Up'!$J$15,AX9*'[8]Set Up'!$N$15,IF(AX9&lt;'[8]Set Up'!$J$16,(AX9-'[8]Set Up'!$J$15)*'[8]Set Up'!$N$16+'[8]Set Up'!$O$15,IF(AX9&lt;'[8]Set Up'!$J$17,(AX9-'[8]Set Up'!$J$16)*'[8]Set Up'!$N$17+'[8]Set Up'!$O$15+'[8]Set Up'!$O$16,(AX9-'[8]Set Up'!$J$17)*'[8]Set Up'!$N$18 + SUM('[8]Set Up'!$O$15:'[8]Set Up'!$O$17)))))</f>
        <v>272.60042094680205</v>
      </c>
      <c r="AY14" s="28">
        <f>IF(AY9="","",IF(AY9&lt;'[8]Set Up'!$J$15,AY9*'[8]Set Up'!$N$15,IF(AY9&lt;'[8]Set Up'!$J$16,(AY9-'[8]Set Up'!$J$15)*'[8]Set Up'!$N$16+'[8]Set Up'!$O$15,IF(AY9&lt;'[8]Set Up'!$J$17,(AY9-'[8]Set Up'!$J$16)*'[8]Set Up'!$N$17+'[8]Set Up'!$O$15+'[8]Set Up'!$O$16,(AY9-'[8]Set Up'!$J$17)*'[8]Set Up'!$N$18 + SUM('[8]Set Up'!$O$15:'[8]Set Up'!$O$17)))))</f>
        <v>269.6290627907004</v>
      </c>
      <c r="AZ14" s="28">
        <f>IF(AZ9="","",IF(AZ9&lt;'[8]Set Up'!$J$15,AZ9*'[8]Set Up'!$N$15,IF(AZ9&lt;'[8]Set Up'!$J$16,(AZ9-'[8]Set Up'!$J$15)*'[8]Set Up'!$N$16+'[8]Set Up'!$O$15,IF(AZ9&lt;'[8]Set Up'!$J$17,(AZ9-'[8]Set Up'!$J$16)*'[8]Set Up'!$N$17+'[8]Set Up'!$O$15+'[8]Set Up'!$O$16,(AZ9-'[8]Set Up'!$J$17)*'[8]Set Up'!$N$18 + SUM('[8]Set Up'!$O$15:'[8]Set Up'!$O$17)))))</f>
        <v>266.67263608261931</v>
      </c>
      <c r="BA14" s="28">
        <f>IF(BA9="","",IF(BA9&lt;'[8]Set Up'!$J$15,BA9*'[8]Set Up'!$N$15,IF(BA9&lt;'[8]Set Up'!$J$16,(BA9-'[8]Set Up'!$J$15)*'[8]Set Up'!$N$16+'[8]Set Up'!$O$15,IF(BA9&lt;'[8]Set Up'!$J$17,(BA9-'[8]Set Up'!$J$16)*'[8]Set Up'!$N$17+'[8]Set Up'!$O$15+'[8]Set Up'!$O$16,(BA9-'[8]Set Up'!$J$17)*'[8]Set Up'!$N$18 + SUM('[8]Set Up'!$O$15:'[8]Set Up'!$O$17)))))</f>
        <v>263.70127792651766</v>
      </c>
      <c r="BB14" s="28">
        <f>IF(BB9="","",IF(BB9&lt;'[8]Set Up'!$J$15,BB9*'[8]Set Up'!$N$15,IF(BB9&lt;'[8]Set Up'!$J$16,(BB9-'[8]Set Up'!$J$15)*'[8]Set Up'!$N$16+'[8]Set Up'!$O$15,IF(BB9&lt;'[8]Set Up'!$J$17,(BB9-'[8]Set Up'!$J$16)*'[8]Set Up'!$N$17+'[8]Set Up'!$O$15+'[8]Set Up'!$O$16,(BB9-'[8]Set Up'!$J$17)*'[8]Set Up'!$N$18 + SUM('[8]Set Up'!$O$15:'[8]Set Up'!$O$17)))))</f>
        <v>260.74485121843662</v>
      </c>
      <c r="BC14" s="28">
        <f>IF(BC9="","",IF(BC9&lt;'[8]Set Up'!$J$15,BC9*'[8]Set Up'!$N$15,IF(BC9&lt;'[8]Set Up'!$J$16,(BC9-'[8]Set Up'!$J$15)*'[8]Set Up'!$N$16+'[8]Set Up'!$O$15,IF(BC9&lt;'[8]Set Up'!$J$17,(BC9-'[8]Set Up'!$J$16)*'[8]Set Up'!$N$17+'[8]Set Up'!$O$15+'[8]Set Up'!$O$16,(BC9-'[8]Set Up'!$J$17)*'[8]Set Up'!$N$18 + SUM('[8]Set Up'!$O$15:'[8]Set Up'!$O$17)))))</f>
        <v>0</v>
      </c>
      <c r="BD14" s="28">
        <f>IF(BD9="","",IF(BD9&lt;'[8]Set Up'!$J$15,BD9*'[8]Set Up'!$N$15,IF(BD9&lt;'[8]Set Up'!$J$16,(BD9-'[8]Set Up'!$J$15)*'[8]Set Up'!$N$16+'[8]Set Up'!$O$15,IF(BD9&lt;'[8]Set Up'!$J$17,(BD9-'[8]Set Up'!$J$16)*'[8]Set Up'!$N$17+'[8]Set Up'!$O$15+'[8]Set Up'!$O$16,(BD9-'[8]Set Up'!$J$17)*'[8]Set Up'!$N$18 + SUM('[8]Set Up'!$O$15:'[8]Set Up'!$O$17)))))</f>
        <v>0</v>
      </c>
      <c r="BE14" s="28">
        <f>IF(BE9="","",IF(BE9&lt;'[8]Set Up'!$J$15,BE9*'[8]Set Up'!$N$15,IF(BE9&lt;'[8]Set Up'!$J$16,(BE9-'[8]Set Up'!$J$15)*'[8]Set Up'!$N$16+'[8]Set Up'!$O$15,IF(BE9&lt;'[8]Set Up'!$J$17,(BE9-'[8]Set Up'!$J$16)*'[8]Set Up'!$N$17+'[8]Set Up'!$O$15+'[8]Set Up'!$O$16,(BE9-'[8]Set Up'!$J$17)*'[8]Set Up'!$N$18 + SUM('[8]Set Up'!$O$15:'[8]Set Up'!$O$17)))))</f>
        <v>0</v>
      </c>
      <c r="BF14" s="28">
        <f>IF(BF9="","",IF(BF9&lt;'[8]Set Up'!$J$15,BF9*'[8]Set Up'!$N$15,IF(BF9&lt;'[8]Set Up'!$J$16,(BF9-'[8]Set Up'!$J$15)*'[8]Set Up'!$N$16+'[8]Set Up'!$O$15,IF(BF9&lt;'[8]Set Up'!$J$17,(BF9-'[8]Set Up'!$J$16)*'[8]Set Up'!$N$17+'[8]Set Up'!$O$15+'[8]Set Up'!$O$16,(BF9-'[8]Set Up'!$J$17)*'[8]Set Up'!$N$18 + SUM('[8]Set Up'!$O$15:'[8]Set Up'!$O$17)))))</f>
        <v>0</v>
      </c>
      <c r="BG14" s="28">
        <f>IF(BG9="","",IF(BG9&lt;'[8]Set Up'!$J$15,BG9*'[8]Set Up'!$N$15,IF(BG9&lt;'[8]Set Up'!$J$16,(BG9-'[8]Set Up'!$J$15)*'[8]Set Up'!$N$16+'[8]Set Up'!$O$15,IF(BG9&lt;'[8]Set Up'!$J$17,(BG9-'[8]Set Up'!$J$16)*'[8]Set Up'!$N$17+'[8]Set Up'!$O$15+'[8]Set Up'!$O$16,(BG9-'[8]Set Up'!$J$17)*'[8]Set Up'!$N$18 + SUM('[8]Set Up'!$O$15:'[8]Set Up'!$O$17)))))</f>
        <v>0</v>
      </c>
      <c r="BH14" s="28">
        <f>IF(BH9="","",IF(BH9&lt;'[8]Set Up'!$J$15,BH9*'[8]Set Up'!$N$15,IF(BH9&lt;'[8]Set Up'!$J$16,(BH9-'[8]Set Up'!$J$15)*'[8]Set Up'!$N$16+'[8]Set Up'!$O$15,IF(BH9&lt;'[8]Set Up'!$J$17,(BH9-'[8]Set Up'!$J$16)*'[8]Set Up'!$N$17+'[8]Set Up'!$O$15+'[8]Set Up'!$O$16,(BH9-'[8]Set Up'!$J$17)*'[8]Set Up'!$N$18 + SUM('[8]Set Up'!$O$15:'[8]Set Up'!$O$17)))))</f>
        <v>0</v>
      </c>
      <c r="BI14" s="28">
        <f>IF(BI9="","",IF(BI9&lt;'[8]Set Up'!$J$15,BI9*'[8]Set Up'!$N$15,IF(BI9&lt;'[8]Set Up'!$J$16,(BI9-'[8]Set Up'!$J$15)*'[8]Set Up'!$N$16+'[8]Set Up'!$O$15,IF(BI9&lt;'[8]Set Up'!$J$17,(BI9-'[8]Set Up'!$J$16)*'[8]Set Up'!$N$17+'[8]Set Up'!$O$15+'[8]Set Up'!$O$16,(BI9-'[8]Set Up'!$J$17)*'[8]Set Up'!$N$18 + SUM('[8]Set Up'!$O$15:'[8]Set Up'!$O$17)))))</f>
        <v>0</v>
      </c>
      <c r="BJ14" s="28">
        <f>IF(BJ9="","",IF(BJ9&lt;'[8]Set Up'!$J$15,BJ9*'[8]Set Up'!$N$15,IF(BJ9&lt;'[8]Set Up'!$J$16,(BJ9-'[8]Set Up'!$J$15)*'[8]Set Up'!$N$16+'[8]Set Up'!$O$15,IF(BJ9&lt;'[8]Set Up'!$J$17,(BJ9-'[8]Set Up'!$J$16)*'[8]Set Up'!$N$17+'[8]Set Up'!$O$15+'[8]Set Up'!$O$16,(BJ9-'[8]Set Up'!$J$17)*'[8]Set Up'!$N$18 + SUM('[8]Set Up'!$O$15:'[8]Set Up'!$O$17)))))</f>
        <v>0</v>
      </c>
      <c r="BK14" s="28">
        <f>IF(BK9="","",IF(BK9&lt;'[8]Set Up'!$J$15,BK9*'[8]Set Up'!$N$15,IF(BK9&lt;'[8]Set Up'!$J$16,(BK9-'[8]Set Up'!$J$15)*'[8]Set Up'!$N$16+'[8]Set Up'!$O$15,IF(BK9&lt;'[8]Set Up'!$J$17,(BK9-'[8]Set Up'!$J$16)*'[8]Set Up'!$N$17+'[8]Set Up'!$O$15+'[8]Set Up'!$O$16,(BK9-'[8]Set Up'!$J$17)*'[8]Set Up'!$N$18 + SUM('[8]Set Up'!$O$15:'[8]Set Up'!$O$17)))))</f>
        <v>0</v>
      </c>
      <c r="BL14" s="28">
        <f>IF(BL9="","",IF(BL9&lt;'[8]Set Up'!$J$15,BL9*'[8]Set Up'!$N$15,IF(BL9&lt;'[8]Set Up'!$J$16,(BL9-'[8]Set Up'!$J$15)*'[8]Set Up'!$N$16+'[8]Set Up'!$O$15,IF(BL9&lt;'[8]Set Up'!$J$17,(BL9-'[8]Set Up'!$J$16)*'[8]Set Up'!$N$17+'[8]Set Up'!$O$15+'[8]Set Up'!$O$16,(BL9-'[8]Set Up'!$J$17)*'[8]Set Up'!$N$18 + SUM('[8]Set Up'!$O$15:'[8]Set Up'!$O$17)))))</f>
        <v>0</v>
      </c>
      <c r="BM14" s="28">
        <f>IF(BM9="","",IF(BM9&lt;'[8]Set Up'!$J$15,BM9*'[8]Set Up'!$N$15,IF(BM9&lt;'[8]Set Up'!$J$16,(BM9-'[8]Set Up'!$J$15)*'[8]Set Up'!$N$16+'[8]Set Up'!$O$15,IF(BM9&lt;'[8]Set Up'!$J$17,(BM9-'[8]Set Up'!$J$16)*'[8]Set Up'!$N$17+'[8]Set Up'!$O$15+'[8]Set Up'!$O$16,(BM9-'[8]Set Up'!$J$17)*'[8]Set Up'!$N$18 + SUM('[8]Set Up'!$O$15:'[8]Set Up'!$O$17)))))</f>
        <v>0</v>
      </c>
      <c r="BN14" s="28">
        <f>IF(BN9="","",IF(BN9&lt;'[8]Set Up'!$J$15,BN9*'[8]Set Up'!$N$15,IF(BN9&lt;'[8]Set Up'!$J$16,(BN9-'[8]Set Up'!$J$15)*'[8]Set Up'!$N$16+'[8]Set Up'!$O$15,IF(BN9&lt;'[8]Set Up'!$J$17,(BN9-'[8]Set Up'!$J$16)*'[8]Set Up'!$N$17+'[8]Set Up'!$O$15+'[8]Set Up'!$O$16,(BN9-'[8]Set Up'!$J$17)*'[8]Set Up'!$N$18 + SUM('[8]Set Up'!$O$15:'[8]Set Up'!$O$17)))))</f>
        <v>0</v>
      </c>
      <c r="BO14" s="28">
        <f>IF(BO9="","",IF(BO9&lt;'[8]Set Up'!$J$15,BO9*'[8]Set Up'!$N$15,IF(BO9&lt;'[8]Set Up'!$J$16,(BO9-'[8]Set Up'!$J$15)*'[8]Set Up'!$N$16+'[8]Set Up'!$O$15,IF(BO9&lt;'[8]Set Up'!$J$17,(BO9-'[8]Set Up'!$J$16)*'[8]Set Up'!$N$17+'[8]Set Up'!$O$15+'[8]Set Up'!$O$16,(BO9-'[8]Set Up'!$J$17)*'[8]Set Up'!$N$18 + SUM('[8]Set Up'!$O$15:'[8]Set Up'!$O$17)))))</f>
        <v>0</v>
      </c>
      <c r="BP14" s="28">
        <f>IF(BP9="","",IF(BP9&lt;'[8]Set Up'!$J$15,BP9*'[8]Set Up'!$N$15,IF(BP9&lt;'[8]Set Up'!$J$16,(BP9-'[8]Set Up'!$J$15)*'[8]Set Up'!$N$16+'[8]Set Up'!$O$15,IF(BP9&lt;'[8]Set Up'!$J$17,(BP9-'[8]Set Up'!$J$16)*'[8]Set Up'!$N$17+'[8]Set Up'!$O$15+'[8]Set Up'!$O$16,(BP9-'[8]Set Up'!$J$17)*'[8]Set Up'!$N$18 + SUM('[8]Set Up'!$O$15:'[8]Set Up'!$O$17)))))</f>
        <v>0</v>
      </c>
      <c r="BQ14" s="28">
        <f>IF(BQ9="","",IF(BQ9&lt;'[8]Set Up'!$J$15,BQ9*'[8]Set Up'!$N$15,IF(BQ9&lt;'[8]Set Up'!$J$16,(BQ9-'[8]Set Up'!$J$15)*'[8]Set Up'!$N$16+'[8]Set Up'!$O$15,IF(BQ9&lt;'[8]Set Up'!$J$17,(BQ9-'[8]Set Up'!$J$16)*'[8]Set Up'!$N$17+'[8]Set Up'!$O$15+'[8]Set Up'!$O$16,(BQ9-'[8]Set Up'!$J$17)*'[8]Set Up'!$N$18 + SUM('[8]Set Up'!$O$15:'[8]Set Up'!$O$17)))))</f>
        <v>0</v>
      </c>
      <c r="BR14" s="28">
        <f>IF(BR9="","",IF(BR9&lt;'[8]Set Up'!$J$15,BR9*'[8]Set Up'!$N$15,IF(BR9&lt;'[8]Set Up'!$J$16,(BR9-'[8]Set Up'!$J$15)*'[8]Set Up'!$N$16+'[8]Set Up'!$O$15,IF(BR9&lt;'[8]Set Up'!$J$17,(BR9-'[8]Set Up'!$J$16)*'[8]Set Up'!$N$17+'[8]Set Up'!$O$15+'[8]Set Up'!$O$16,(BR9-'[8]Set Up'!$J$17)*'[8]Set Up'!$N$18 + SUM('[8]Set Up'!$O$15:'[8]Set Up'!$O$17)))))</f>
        <v>0</v>
      </c>
      <c r="BS14" s="28">
        <f>IF(BS9="","",IF(BS9&lt;'[8]Set Up'!$J$15,BS9*'[8]Set Up'!$N$15,IF(BS9&lt;'[8]Set Up'!$J$16,(BS9-'[8]Set Up'!$J$15)*'[8]Set Up'!$N$16+'[8]Set Up'!$O$15,IF(BS9&lt;'[8]Set Up'!$J$17,(BS9-'[8]Set Up'!$J$16)*'[8]Set Up'!$N$17+'[8]Set Up'!$O$15+'[8]Set Up'!$O$16,(BS9-'[8]Set Up'!$J$17)*'[8]Set Up'!$N$18 + SUM('[8]Set Up'!$O$15:'[8]Set Up'!$O$17)))))</f>
        <v>0</v>
      </c>
      <c r="BT14" s="28">
        <f>IF(BT9="","",IF(BT9&lt;'[8]Set Up'!$J$15,BT9*'[8]Set Up'!$N$15,IF(BT9&lt;'[8]Set Up'!$J$16,(BT9-'[8]Set Up'!$J$15)*'[8]Set Up'!$N$16+'[8]Set Up'!$O$15,IF(BT9&lt;'[8]Set Up'!$J$17,(BT9-'[8]Set Up'!$J$16)*'[8]Set Up'!$N$17+'[8]Set Up'!$O$15+'[8]Set Up'!$O$16,(BT9-'[8]Set Up'!$J$17)*'[8]Set Up'!$N$18 + SUM('[8]Set Up'!$O$15:'[8]Set Up'!$O$17)))))</f>
        <v>0</v>
      </c>
      <c r="BU14" s="28">
        <f>IF(BU9="","",IF(BU9&lt;'[8]Set Up'!$J$15,BU9*'[8]Set Up'!$N$15,IF(BU9&lt;'[8]Set Up'!$J$16,(BU9-'[8]Set Up'!$J$15)*'[8]Set Up'!$N$16+'[8]Set Up'!$O$15,IF(BU9&lt;'[8]Set Up'!$J$17,(BU9-'[8]Set Up'!$J$16)*'[8]Set Up'!$N$17+'[8]Set Up'!$O$15+'[8]Set Up'!$O$16,(BU9-'[8]Set Up'!$J$17)*'[8]Set Up'!$N$18 + SUM('[8]Set Up'!$O$15:'[8]Set Up'!$O$17)))))</f>
        <v>0</v>
      </c>
      <c r="BV14" s="28">
        <f>IF(BV9="","",IF(BV9&lt;'[8]Set Up'!$J$15,BV9*'[8]Set Up'!$N$15,IF(BV9&lt;'[8]Set Up'!$J$16,(BV9-'[8]Set Up'!$J$15)*'[8]Set Up'!$N$16+'[8]Set Up'!$O$15,IF(BV9&lt;'[8]Set Up'!$J$17,(BV9-'[8]Set Up'!$J$16)*'[8]Set Up'!$N$17+'[8]Set Up'!$O$15+'[8]Set Up'!$O$16,(BV9-'[8]Set Up'!$J$17)*'[8]Set Up'!$N$18 + SUM('[8]Set Up'!$O$15:'[8]Set Up'!$O$17)))))</f>
        <v>0</v>
      </c>
      <c r="BW14" s="28">
        <f>IF(BW9="","",IF(BW9&lt;'[8]Set Up'!$J$15,BW9*'[8]Set Up'!$N$15,IF(BW9&lt;'[8]Set Up'!$J$16,(BW9-'[8]Set Up'!$J$15)*'[8]Set Up'!$N$16+'[8]Set Up'!$O$15,IF(BW9&lt;'[8]Set Up'!$J$17,(BW9-'[8]Set Up'!$J$16)*'[8]Set Up'!$N$17+'[8]Set Up'!$O$15+'[8]Set Up'!$O$16,(BW9-'[8]Set Up'!$J$17)*'[8]Set Up'!$N$18 + SUM('[8]Set Up'!$O$15:'[8]Set Up'!$O$17)))))</f>
        <v>0</v>
      </c>
      <c r="BX14" s="28">
        <f>IF(BX9="","",IF(BX9&lt;'[8]Set Up'!$J$15,BX9*'[8]Set Up'!$N$15,IF(BX9&lt;'[8]Set Up'!$J$16,(BX9-'[8]Set Up'!$J$15)*'[8]Set Up'!$N$16+'[8]Set Up'!$O$15,IF(BX9&lt;'[8]Set Up'!$J$17,(BX9-'[8]Set Up'!$J$16)*'[8]Set Up'!$N$17+'[8]Set Up'!$O$15+'[8]Set Up'!$O$16,(BX9-'[8]Set Up'!$J$17)*'[8]Set Up'!$N$18 + SUM('[8]Set Up'!$O$15:'[8]Set Up'!$O$17)))))</f>
        <v>0</v>
      </c>
      <c r="BY14" s="28">
        <f>IF(BY9="","",IF(BY9&lt;'[8]Set Up'!$J$15,BY9*'[8]Set Up'!$N$15,IF(BY9&lt;'[8]Set Up'!$J$16,(BY9-'[8]Set Up'!$J$15)*'[8]Set Up'!$N$16+'[8]Set Up'!$O$15,IF(BY9&lt;'[8]Set Up'!$J$17,(BY9-'[8]Set Up'!$J$16)*'[8]Set Up'!$N$17+'[8]Set Up'!$O$15+'[8]Set Up'!$O$16,(BY9-'[8]Set Up'!$J$17)*'[8]Set Up'!$N$18 + SUM('[8]Set Up'!$O$15:'[8]Set Up'!$O$17)))))</f>
        <v>0</v>
      </c>
      <c r="BZ14" s="8"/>
    </row>
    <row r="15" spans="1:78" ht="15" thickBot="1" x14ac:dyDescent="0.4">
      <c r="A15" s="29" t="s">
        <v>22</v>
      </c>
      <c r="B15" s="197"/>
      <c r="C15" s="30">
        <f>IF(C11="","",IF(C11&lt;'[8]Set Up'!$J$15,C11*'[8]Set Up'!$N$15,IF(C11&lt;'[8]Set Up'!$J$16,(C11-'[8]Set Up'!$J$15)*'[8]Set Up'!$N$16+'[8]Set Up'!$O$15,IF(C11&lt;'[8]Set Up'!$J$17,(C11-'[8]Set Up'!$J$16)*'[8]Set Up'!$N$17+'[8]Set Up'!$O$15+'[8]Set Up'!$O$16,(C11-'[8]Set Up'!$J$17)*'[8]Set Up'!$N$18 + SUM('[8]Set Up'!$O$15:'[8]Set Up'!$O$17)))))</f>
        <v>412.22439138753919</v>
      </c>
      <c r="D15" s="30">
        <f>IF(D11="","",IF(D11&lt;'[8]Set Up'!$J$15,D11*'[8]Set Up'!$N$15,IF(D11&lt;'[8]Set Up'!$J$16,(D11-'[8]Set Up'!$J$15)*'[8]Set Up'!$N$16+'[8]Set Up'!$O$15,IF(D11&lt;'[8]Set Up'!$J$17,(D11-'[8]Set Up'!$J$16)*'[8]Set Up'!$N$17+'[8]Set Up'!$O$15+'[8]Set Up'!$O$16,(D11-'[8]Set Up'!$J$17)*'[8]Set Up'!$N$18 + SUM('[8]Set Up'!$O$15:'[8]Set Up'!$O$17)))))</f>
        <v>409.26796467945815</v>
      </c>
      <c r="E15" s="30">
        <f>IF(E11="","",IF(E11&lt;'[8]Set Up'!$J$15,E11*'[8]Set Up'!$N$15,IF(E11&lt;'[8]Set Up'!$J$16,(E11-'[8]Set Up'!$J$15)*'[8]Set Up'!$N$16+'[8]Set Up'!$O$15,IF(E11&lt;'[8]Set Up'!$J$17,(E11-'[8]Set Up'!$J$16)*'[8]Set Up'!$N$17+'[8]Set Up'!$O$15+'[8]Set Up'!$O$16,(E11-'[8]Set Up'!$J$17)*'[8]Set Up'!$N$18 + SUM('[8]Set Up'!$O$15:'[8]Set Up'!$O$17)))))</f>
        <v>406.29660652335644</v>
      </c>
      <c r="F15" s="30">
        <f>IF(F11="","",IF(F11&lt;'[8]Set Up'!$J$15,F11*'[8]Set Up'!$N$15,IF(F11&lt;'[8]Set Up'!$J$16,(F11-'[8]Set Up'!$J$15)*'[8]Set Up'!$N$16+'[8]Set Up'!$O$15,IF(F11&lt;'[8]Set Up'!$J$17,(F11-'[8]Set Up'!$J$16)*'[8]Set Up'!$N$17+'[8]Set Up'!$O$15+'[8]Set Up'!$O$16,(F11-'[8]Set Up'!$J$17)*'[8]Set Up'!$N$18 + SUM('[8]Set Up'!$O$15:'[8]Set Up'!$O$17)))))</f>
        <v>403.34017981527541</v>
      </c>
      <c r="G15" s="30">
        <f>IF(G11="","",IF(G11&lt;'[8]Set Up'!$J$15,G11*'[8]Set Up'!$N$15,IF(G11&lt;'[8]Set Up'!$J$16,(G11-'[8]Set Up'!$J$15)*'[8]Set Up'!$N$16+'[8]Set Up'!$O$15,IF(G11&lt;'[8]Set Up'!$J$17,(G11-'[8]Set Up'!$J$16)*'[8]Set Up'!$N$17+'[8]Set Up'!$O$15+'[8]Set Up'!$O$16,(G11-'[8]Set Up'!$J$17)*'[8]Set Up'!$N$18 + SUM('[8]Set Up'!$O$15:'[8]Set Up'!$O$17)))))</f>
        <v>400.36882165917376</v>
      </c>
      <c r="H15" s="30">
        <f>IF(H11="","",IF(H11&lt;'[8]Set Up'!$J$15,H11*'[8]Set Up'!$N$15,IF(H11&lt;'[8]Set Up'!$J$16,(H11-'[8]Set Up'!$J$15)*'[8]Set Up'!$N$16+'[8]Set Up'!$O$15,IF(H11&lt;'[8]Set Up'!$J$17,(H11-'[8]Set Up'!$J$16)*'[8]Set Up'!$N$17+'[8]Set Up'!$O$15+'[8]Set Up'!$O$16,(H11-'[8]Set Up'!$J$17)*'[8]Set Up'!$N$18 + SUM('[8]Set Up'!$O$15:'[8]Set Up'!$O$17)))))</f>
        <v>397.41239495109266</v>
      </c>
      <c r="I15" s="30">
        <f>IF(I11="","",IF(I11&lt;'[8]Set Up'!$J$15,I11*'[8]Set Up'!$N$15,IF(I11&lt;'[8]Set Up'!$J$16,(I11-'[8]Set Up'!$J$15)*'[8]Set Up'!$N$16+'[8]Set Up'!$O$15,IF(I11&lt;'[8]Set Up'!$J$17,(I11-'[8]Set Up'!$J$16)*'[8]Set Up'!$N$17+'[8]Set Up'!$O$15+'[8]Set Up'!$O$16,(I11-'[8]Set Up'!$J$17)*'[8]Set Up'!$N$18 + SUM('[8]Set Up'!$O$15:'[8]Set Up'!$O$17)))))</f>
        <v>394.44103679499108</v>
      </c>
      <c r="J15" s="30">
        <f>IF(J11="","",IF(J11&lt;'[8]Set Up'!$J$15,J11*'[8]Set Up'!$N$15,IF(J11&lt;'[8]Set Up'!$J$16,(J11-'[8]Set Up'!$J$15)*'[8]Set Up'!$N$16+'[8]Set Up'!$O$15,IF(J11&lt;'[8]Set Up'!$J$17,(J11-'[8]Set Up'!$J$16)*'[8]Set Up'!$N$17+'[8]Set Up'!$O$15+'[8]Set Up'!$O$16,(J11-'[8]Set Up'!$J$17)*'[8]Set Up'!$N$18 + SUM('[8]Set Up'!$O$15:'[8]Set Up'!$O$17)))))</f>
        <v>391.46967863888938</v>
      </c>
      <c r="K15" s="30">
        <f>IF(K11="","",IF(K11&lt;'[8]Set Up'!$J$15,K11*'[8]Set Up'!$N$15,IF(K11&lt;'[8]Set Up'!$J$16,(K11-'[8]Set Up'!$J$15)*'[8]Set Up'!$N$16+'[8]Set Up'!$O$15,IF(K11&lt;'[8]Set Up'!$J$17,(K11-'[8]Set Up'!$J$16)*'[8]Set Up'!$N$17+'[8]Set Up'!$O$15+'[8]Set Up'!$O$16,(K11-'[8]Set Up'!$J$17)*'[8]Set Up'!$N$18 + SUM('[8]Set Up'!$O$15:'[8]Set Up'!$O$17)))))</f>
        <v>388.51325193080834</v>
      </c>
      <c r="L15" s="30">
        <f>IF(L11="","",IF(L11&lt;'[8]Set Up'!$J$15,L11*'[8]Set Up'!$N$15,IF(L11&lt;'[8]Set Up'!$J$16,(L11-'[8]Set Up'!$J$15)*'[8]Set Up'!$N$16+'[8]Set Up'!$O$15,IF(L11&lt;'[8]Set Up'!$J$17,(L11-'[8]Set Up'!$J$16)*'[8]Set Up'!$N$17+'[8]Set Up'!$O$15+'[8]Set Up'!$O$16,(L11-'[8]Set Up'!$J$17)*'[8]Set Up'!$N$18 + SUM('[8]Set Up'!$O$15:'[8]Set Up'!$O$17)))))</f>
        <v>385.54189377470664</v>
      </c>
      <c r="M15" s="30">
        <f>IF(M11="","",IF(M11&lt;'[8]Set Up'!$J$15,M11*'[8]Set Up'!$N$15,IF(M11&lt;'[8]Set Up'!$J$16,(M11-'[8]Set Up'!$J$15)*'[8]Set Up'!$N$16+'[8]Set Up'!$O$15,IF(M11&lt;'[8]Set Up'!$J$17,(M11-'[8]Set Up'!$J$16)*'[8]Set Up'!$N$17+'[8]Set Up'!$O$15+'[8]Set Up'!$O$16,(M11-'[8]Set Up'!$J$17)*'[8]Set Up'!$N$18 + SUM('[8]Set Up'!$O$15:'[8]Set Up'!$O$17)))))</f>
        <v>382.5854670666256</v>
      </c>
      <c r="N15" s="30">
        <f>IF(N11="","",IF(N11&lt;'[8]Set Up'!$J$15,N11*'[8]Set Up'!$N$15,IF(N11&lt;'[8]Set Up'!$J$16,(N11-'[8]Set Up'!$J$15)*'[8]Set Up'!$N$16+'[8]Set Up'!$O$15,IF(N11&lt;'[8]Set Up'!$J$17,(N11-'[8]Set Up'!$J$16)*'[8]Set Up'!$N$17+'[8]Set Up'!$O$15+'[8]Set Up'!$O$16,(N11-'[8]Set Up'!$J$17)*'[8]Set Up'!$N$18 + SUM('[8]Set Up'!$O$15:'[8]Set Up'!$O$17)))))</f>
        <v>379.6141089105239</v>
      </c>
      <c r="O15" s="30">
        <f>IF(O11="","",IF(O11&lt;'[8]Set Up'!$J$15,O11*'[8]Set Up'!$N$15,IF(O11&lt;'[8]Set Up'!$J$16,(O11-'[8]Set Up'!$J$15)*'[8]Set Up'!$N$16+'[8]Set Up'!$O$15,IF(O11&lt;'[8]Set Up'!$J$17,(O11-'[8]Set Up'!$J$16)*'[8]Set Up'!$N$17+'[8]Set Up'!$O$15+'[8]Set Up'!$O$16,(O11-'[8]Set Up'!$J$17)*'[8]Set Up'!$N$18 + SUM('[8]Set Up'!$O$15:'[8]Set Up'!$O$17)))))</f>
        <v>376.65768220244286</v>
      </c>
      <c r="P15" s="30">
        <f>IF(P11="","",IF(P11&lt;'[8]Set Up'!$J$15,P11*'[8]Set Up'!$N$15,IF(P11&lt;'[8]Set Up'!$J$16,(P11-'[8]Set Up'!$J$15)*'[8]Set Up'!$N$16+'[8]Set Up'!$O$15,IF(P11&lt;'[8]Set Up'!$J$17,(P11-'[8]Set Up'!$J$16)*'[8]Set Up'!$N$17+'[8]Set Up'!$O$15+'[8]Set Up'!$O$16,(P11-'[8]Set Up'!$J$17)*'[8]Set Up'!$N$18 + SUM('[8]Set Up'!$O$15:'[8]Set Up'!$O$17)))))</f>
        <v>373.68632404634121</v>
      </c>
      <c r="Q15" s="30">
        <f>IF(Q11="","",IF(Q11&lt;'[8]Set Up'!$J$15,Q11*'[8]Set Up'!$N$15,IF(Q11&lt;'[8]Set Up'!$J$16,(Q11-'[8]Set Up'!$J$15)*'[8]Set Up'!$N$16+'[8]Set Up'!$O$15,IF(Q11&lt;'[8]Set Up'!$J$17,(Q11-'[8]Set Up'!$J$16)*'[8]Set Up'!$N$17+'[8]Set Up'!$O$15+'[8]Set Up'!$O$16,(Q11-'[8]Set Up'!$J$17)*'[8]Set Up'!$N$18 + SUM('[8]Set Up'!$O$15:'[8]Set Up'!$O$17)))))</f>
        <v>370.71496589023951</v>
      </c>
      <c r="R15" s="30">
        <f>IF(R11="","",IF(R11&lt;'[8]Set Up'!$J$15,R11*'[8]Set Up'!$N$15,IF(R11&lt;'[8]Set Up'!$J$16,(R11-'[8]Set Up'!$J$15)*'[8]Set Up'!$N$16+'[8]Set Up'!$O$15,IF(R11&lt;'[8]Set Up'!$J$17,(R11-'[8]Set Up'!$J$16)*'[8]Set Up'!$N$17+'[8]Set Up'!$O$15+'[8]Set Up'!$O$16,(R11-'[8]Set Up'!$J$17)*'[8]Set Up'!$N$18 + SUM('[8]Set Up'!$O$15:'[8]Set Up'!$O$17)))))</f>
        <v>367.75853918215847</v>
      </c>
      <c r="S15" s="30">
        <f>IF(S11="","",IF(S11&lt;'[8]Set Up'!$J$15,S11*'[8]Set Up'!$N$15,IF(S11&lt;'[8]Set Up'!$J$16,(S11-'[8]Set Up'!$J$15)*'[8]Set Up'!$N$16+'[8]Set Up'!$O$15,IF(S11&lt;'[8]Set Up'!$J$17,(S11-'[8]Set Up'!$J$16)*'[8]Set Up'!$N$17+'[8]Set Up'!$O$15+'[8]Set Up'!$O$16,(S11-'[8]Set Up'!$J$17)*'[8]Set Up'!$N$18 + SUM('[8]Set Up'!$O$15:'[8]Set Up'!$O$17)))))</f>
        <v>364.78718102605683</v>
      </c>
      <c r="T15" s="30">
        <f>IF(T11="","",IF(T11&lt;'[8]Set Up'!$J$15,T11*'[8]Set Up'!$N$15,IF(T11&lt;'[8]Set Up'!$J$16,(T11-'[8]Set Up'!$J$15)*'[8]Set Up'!$N$16+'[8]Set Up'!$O$15,IF(T11&lt;'[8]Set Up'!$J$17,(T11-'[8]Set Up'!$J$16)*'[8]Set Up'!$N$17+'[8]Set Up'!$O$15+'[8]Set Up'!$O$16,(T11-'[8]Set Up'!$J$17)*'[8]Set Up'!$N$18 + SUM('[8]Set Up'!$O$15:'[8]Set Up'!$O$17)))))</f>
        <v>361.83075431797573</v>
      </c>
      <c r="U15" s="30">
        <f>IF(U11="","",IF(U11&lt;'[8]Set Up'!$J$15,U11*'[8]Set Up'!$N$15,IF(U11&lt;'[8]Set Up'!$J$16,(U11-'[8]Set Up'!$J$15)*'[8]Set Up'!$N$16+'[8]Set Up'!$O$15,IF(U11&lt;'[8]Set Up'!$J$17,(U11-'[8]Set Up'!$J$16)*'[8]Set Up'!$N$17+'[8]Set Up'!$O$15+'[8]Set Up'!$O$16,(U11-'[8]Set Up'!$J$17)*'[8]Set Up'!$N$18 + SUM('[8]Set Up'!$O$15:'[8]Set Up'!$O$17)))))</f>
        <v>358.85939616187409</v>
      </c>
      <c r="V15" s="30">
        <f>IF(V11="","",IF(V11&lt;'[8]Set Up'!$J$15,V11*'[8]Set Up'!$N$15,IF(V11&lt;'[8]Set Up'!$J$16,(V11-'[8]Set Up'!$J$15)*'[8]Set Up'!$N$16+'[8]Set Up'!$O$15,IF(V11&lt;'[8]Set Up'!$J$17,(V11-'[8]Set Up'!$J$16)*'[8]Set Up'!$N$17+'[8]Set Up'!$O$15+'[8]Set Up'!$O$16,(V11-'[8]Set Up'!$J$17)*'[8]Set Up'!$N$18 + SUM('[8]Set Up'!$O$15:'[8]Set Up'!$O$17)))))</f>
        <v>355.90296945379305</v>
      </c>
      <c r="W15" s="30">
        <f>IF(W11="","",IF(W11&lt;'[8]Set Up'!$J$15,W11*'[8]Set Up'!$N$15,IF(W11&lt;'[8]Set Up'!$J$16,(W11-'[8]Set Up'!$J$15)*'[8]Set Up'!$N$16+'[8]Set Up'!$O$15,IF(W11&lt;'[8]Set Up'!$J$17,(W11-'[8]Set Up'!$J$16)*'[8]Set Up'!$N$17+'[8]Set Up'!$O$15+'[8]Set Up'!$O$16,(W11-'[8]Set Up'!$J$17)*'[8]Set Up'!$N$18 + SUM('[8]Set Up'!$O$15:'[8]Set Up'!$O$17)))))</f>
        <v>352.93161129769135</v>
      </c>
      <c r="X15" s="30">
        <f>IF(X11="","",IF(X11&lt;'[8]Set Up'!$J$15,X11*'[8]Set Up'!$N$15,IF(X11&lt;'[8]Set Up'!$J$16,(X11-'[8]Set Up'!$J$15)*'[8]Set Up'!$N$16+'[8]Set Up'!$O$15,IF(X11&lt;'[8]Set Up'!$J$17,(X11-'[8]Set Up'!$J$16)*'[8]Set Up'!$N$17+'[8]Set Up'!$O$15+'[8]Set Up'!$O$16,(X11-'[8]Set Up'!$J$17)*'[8]Set Up'!$N$18 + SUM('[8]Set Up'!$O$15:'[8]Set Up'!$O$17)))))</f>
        <v>349.97518458961031</v>
      </c>
      <c r="Y15" s="30">
        <f>IF(Y11="","",IF(Y11&lt;'[8]Set Up'!$J$15,Y11*'[8]Set Up'!$N$15,IF(Y11&lt;'[8]Set Up'!$J$16,(Y11-'[8]Set Up'!$J$15)*'[8]Set Up'!$N$16+'[8]Set Up'!$O$15,IF(Y11&lt;'[8]Set Up'!$J$17,(Y11-'[8]Set Up'!$J$16)*'[8]Set Up'!$N$17+'[8]Set Up'!$O$15+'[8]Set Up'!$O$16,(Y11-'[8]Set Up'!$J$17)*'[8]Set Up'!$N$18 + SUM('[8]Set Up'!$O$15:'[8]Set Up'!$O$17)))))</f>
        <v>347.00382643350861</v>
      </c>
      <c r="Z15" s="30">
        <f>IF(Z11="","",IF(Z11&lt;'[8]Set Up'!$J$15,Z11*'[8]Set Up'!$N$15,IF(Z11&lt;'[8]Set Up'!$J$16,(Z11-'[8]Set Up'!$J$15)*'[8]Set Up'!$N$16+'[8]Set Up'!$O$15,IF(Z11&lt;'[8]Set Up'!$J$17,(Z11-'[8]Set Up'!$J$16)*'[8]Set Up'!$N$17+'[8]Set Up'!$O$15+'[8]Set Up'!$O$16,(Z11-'[8]Set Up'!$J$17)*'[8]Set Up'!$N$18 + SUM('[8]Set Up'!$O$15:'[8]Set Up'!$O$17)))))</f>
        <v>344.03246827740696</v>
      </c>
      <c r="AA15" s="30">
        <f>IF(AA11="","",IF(AA11&lt;'[8]Set Up'!$J$15,AA11*'[8]Set Up'!$N$15,IF(AA11&lt;'[8]Set Up'!$J$16,(AA11-'[8]Set Up'!$J$15)*'[8]Set Up'!$N$16+'[8]Set Up'!$O$15,IF(AA11&lt;'[8]Set Up'!$J$17,(AA11-'[8]Set Up'!$J$16)*'[8]Set Up'!$N$17+'[8]Set Up'!$O$15+'[8]Set Up'!$O$16,(AA11-'[8]Set Up'!$J$17)*'[8]Set Up'!$N$18 + SUM('[8]Set Up'!$O$15:'[8]Set Up'!$O$17)))))</f>
        <v>341.07604156932592</v>
      </c>
      <c r="AB15" s="30">
        <f>IF(AB11="","",IF(AB11&lt;'[8]Set Up'!$J$15,AB11*'[8]Set Up'!$N$15,IF(AB11&lt;'[8]Set Up'!$J$16,(AB11-'[8]Set Up'!$J$15)*'[8]Set Up'!$N$16+'[8]Set Up'!$O$15,IF(AB11&lt;'[8]Set Up'!$J$17,(AB11-'[8]Set Up'!$J$16)*'[8]Set Up'!$N$17+'[8]Set Up'!$O$15+'[8]Set Up'!$O$16,(AB11-'[8]Set Up'!$J$17)*'[8]Set Up'!$N$18 + SUM('[8]Set Up'!$O$15:'[8]Set Up'!$O$17)))))</f>
        <v>338.10468341322428</v>
      </c>
      <c r="AC15" s="30">
        <f>IF(AC11="","",IF(AC11&lt;'[8]Set Up'!$J$15,AC11*'[8]Set Up'!$N$15,IF(AC11&lt;'[8]Set Up'!$J$16,(AC11-'[8]Set Up'!$J$15)*'[8]Set Up'!$N$16+'[8]Set Up'!$O$15,IF(AC11&lt;'[8]Set Up'!$J$17,(AC11-'[8]Set Up'!$J$16)*'[8]Set Up'!$N$17+'[8]Set Up'!$O$15+'[8]Set Up'!$O$16,(AC11-'[8]Set Up'!$J$17)*'[8]Set Up'!$N$18 + SUM('[8]Set Up'!$O$15:'[8]Set Up'!$O$17)))))</f>
        <v>335.14825670514318</v>
      </c>
      <c r="AD15" s="30">
        <f>IF(AD11="","",IF(AD11&lt;'[8]Set Up'!$J$15,AD11*'[8]Set Up'!$N$15,IF(AD11&lt;'[8]Set Up'!$J$16,(AD11-'[8]Set Up'!$J$15)*'[8]Set Up'!$N$16+'[8]Set Up'!$O$15,IF(AD11&lt;'[8]Set Up'!$J$17,(AD11-'[8]Set Up'!$J$16)*'[8]Set Up'!$N$17+'[8]Set Up'!$O$15+'[8]Set Up'!$O$16,(AD11-'[8]Set Up'!$J$17)*'[8]Set Up'!$N$18 + SUM('[8]Set Up'!$O$15:'[8]Set Up'!$O$17)))))</f>
        <v>332.17689854904154</v>
      </c>
      <c r="AE15" s="30">
        <f>IF(AE11="","",IF(AE11&lt;'[8]Set Up'!$J$15,AE11*'[8]Set Up'!$N$15,IF(AE11&lt;'[8]Set Up'!$J$16,(AE11-'[8]Set Up'!$J$15)*'[8]Set Up'!$N$16+'[8]Set Up'!$O$15,IF(AE11&lt;'[8]Set Up'!$J$17,(AE11-'[8]Set Up'!$J$16)*'[8]Set Up'!$N$17+'[8]Set Up'!$O$15+'[8]Set Up'!$O$16,(AE11-'[8]Set Up'!$J$17)*'[8]Set Up'!$N$18 + SUM('[8]Set Up'!$O$15:'[8]Set Up'!$O$17)))))</f>
        <v>329.2204718409605</v>
      </c>
      <c r="AF15" s="30">
        <f>IF(AF11="","",IF(AF11&lt;'[8]Set Up'!$J$15,AF11*'[8]Set Up'!$N$15,IF(AF11&lt;'[8]Set Up'!$J$16,(AF11-'[8]Set Up'!$J$15)*'[8]Set Up'!$N$16+'[8]Set Up'!$O$15,IF(AF11&lt;'[8]Set Up'!$J$17,(AF11-'[8]Set Up'!$J$16)*'[8]Set Up'!$N$17+'[8]Set Up'!$O$15+'[8]Set Up'!$O$16,(AF11-'[8]Set Up'!$J$17)*'[8]Set Up'!$N$18 + SUM('[8]Set Up'!$O$15:'[8]Set Up'!$O$17)))))</f>
        <v>326.2491136848588</v>
      </c>
      <c r="AG15" s="30">
        <f>IF(AG11="","",IF(AG11&lt;'[8]Set Up'!$J$15,AG11*'[8]Set Up'!$N$15,IF(AG11&lt;'[8]Set Up'!$J$16,(AG11-'[8]Set Up'!$J$15)*'[8]Set Up'!$N$16+'[8]Set Up'!$O$15,IF(AG11&lt;'[8]Set Up'!$J$17,(AG11-'[8]Set Up'!$J$16)*'[8]Set Up'!$N$17+'[8]Set Up'!$O$15+'[8]Set Up'!$O$16,(AG11-'[8]Set Up'!$J$17)*'[8]Set Up'!$N$18 + SUM('[8]Set Up'!$O$15:'[8]Set Up'!$O$17)))))</f>
        <v>323.2777555287571</v>
      </c>
      <c r="AH15" s="30">
        <f>IF(AH11="","",IF(AH11&lt;'[8]Set Up'!$J$15,AH11*'[8]Set Up'!$N$15,IF(AH11&lt;'[8]Set Up'!$J$16,(AH11-'[8]Set Up'!$J$15)*'[8]Set Up'!$N$16+'[8]Set Up'!$O$15,IF(AH11&lt;'[8]Set Up'!$J$17,(AH11-'[8]Set Up'!$J$16)*'[8]Set Up'!$N$17+'[8]Set Up'!$O$15+'[8]Set Up'!$O$16,(AH11-'[8]Set Up'!$J$17)*'[8]Set Up'!$N$18 + SUM('[8]Set Up'!$O$15:'[8]Set Up'!$O$17)))))</f>
        <v>320.32132882067606</v>
      </c>
      <c r="AI15" s="30">
        <f>IF(AI11="","",IF(AI11&lt;'[8]Set Up'!$J$15,AI11*'[8]Set Up'!$N$15,IF(AI11&lt;'[8]Set Up'!$J$16,(AI11-'[8]Set Up'!$J$15)*'[8]Set Up'!$N$16+'[8]Set Up'!$O$15,IF(AI11&lt;'[8]Set Up'!$J$17,(AI11-'[8]Set Up'!$J$16)*'[8]Set Up'!$N$17+'[8]Set Up'!$O$15+'[8]Set Up'!$O$16,(AI11-'[8]Set Up'!$J$17)*'[8]Set Up'!$N$18 + SUM('[8]Set Up'!$O$15:'[8]Set Up'!$O$17)))))</f>
        <v>317.34997066457441</v>
      </c>
      <c r="AJ15" s="30">
        <f>IF(AJ11="","",IF(AJ11&lt;'[8]Set Up'!$J$15,AJ11*'[8]Set Up'!$N$15,IF(AJ11&lt;'[8]Set Up'!$J$16,(AJ11-'[8]Set Up'!$J$15)*'[8]Set Up'!$N$16+'[8]Set Up'!$O$15,IF(AJ11&lt;'[8]Set Up'!$J$17,(AJ11-'[8]Set Up'!$J$16)*'[8]Set Up'!$N$17+'[8]Set Up'!$O$15+'[8]Set Up'!$O$16,(AJ11-'[8]Set Up'!$J$17)*'[8]Set Up'!$N$18 + SUM('[8]Set Up'!$O$15:'[8]Set Up'!$O$17)))))</f>
        <v>314.39354395649332</v>
      </c>
      <c r="AK15" s="30">
        <f>IF(AK11="","",IF(AK11&lt;'[8]Set Up'!$J$15,AK11*'[8]Set Up'!$N$15,IF(AK11&lt;'[8]Set Up'!$J$16,(AK11-'[8]Set Up'!$J$15)*'[8]Set Up'!$N$16+'[8]Set Up'!$O$15,IF(AK11&lt;'[8]Set Up'!$J$17,(AK11-'[8]Set Up'!$J$16)*'[8]Set Up'!$N$17+'[8]Set Up'!$O$15+'[8]Set Up'!$O$16,(AK11-'[8]Set Up'!$J$17)*'[8]Set Up'!$N$18 + SUM('[8]Set Up'!$O$15:'[8]Set Up'!$O$17)))))</f>
        <v>311.42218580039167</v>
      </c>
      <c r="AL15" s="30">
        <f>IF(AL11="","",IF(AL11&lt;'[8]Set Up'!$J$15,AL11*'[8]Set Up'!$N$15,IF(AL11&lt;'[8]Set Up'!$J$16,(AL11-'[8]Set Up'!$J$15)*'[8]Set Up'!$N$16+'[8]Set Up'!$O$15,IF(AL11&lt;'[8]Set Up'!$J$17,(AL11-'[8]Set Up'!$J$16)*'[8]Set Up'!$N$17+'[8]Set Up'!$O$15+'[8]Set Up'!$O$16,(AL11-'[8]Set Up'!$J$17)*'[8]Set Up'!$N$18 + SUM('[8]Set Up'!$O$15:'[8]Set Up'!$O$17)))))</f>
        <v>308.46575909231063</v>
      </c>
      <c r="AM15" s="30">
        <f>IF(AM11="","",IF(AM11&lt;'[8]Set Up'!$J$15,AM11*'[8]Set Up'!$N$15,IF(AM11&lt;'[8]Set Up'!$J$16,(AM11-'[8]Set Up'!$J$15)*'[8]Set Up'!$N$16+'[8]Set Up'!$O$15,IF(AM11&lt;'[8]Set Up'!$J$17,(AM11-'[8]Set Up'!$J$16)*'[8]Set Up'!$N$17+'[8]Set Up'!$O$15+'[8]Set Up'!$O$16,(AM11-'[8]Set Up'!$J$17)*'[8]Set Up'!$N$18 + SUM('[8]Set Up'!$O$15:'[8]Set Up'!$O$17)))))</f>
        <v>305.49440093620899</v>
      </c>
      <c r="AN15" s="30">
        <f>IF(AN11="","",IF(AN11&lt;'[8]Set Up'!$J$15,AN11*'[8]Set Up'!$N$15,IF(AN11&lt;'[8]Set Up'!$J$16,(AN11-'[8]Set Up'!$J$15)*'[8]Set Up'!$N$16+'[8]Set Up'!$O$15,IF(AN11&lt;'[8]Set Up'!$J$17,(AN11-'[8]Set Up'!$J$16)*'[8]Set Up'!$N$17+'[8]Set Up'!$O$15+'[8]Set Up'!$O$16,(AN11-'[8]Set Up'!$J$17)*'[8]Set Up'!$N$18 + SUM('[8]Set Up'!$O$15:'[8]Set Up'!$O$17)))))</f>
        <v>302.52304278010729</v>
      </c>
      <c r="AO15" s="30">
        <f>IF(AO11="","",IF(AO11&lt;'[8]Set Up'!$J$15,AO11*'[8]Set Up'!$N$15,IF(AO11&lt;'[8]Set Up'!$J$16,(AO11-'[8]Set Up'!$J$15)*'[8]Set Up'!$N$16+'[8]Set Up'!$O$15,IF(AO11&lt;'[8]Set Up'!$J$17,(AO11-'[8]Set Up'!$J$16)*'[8]Set Up'!$N$17+'[8]Set Up'!$O$15+'[8]Set Up'!$O$16,(AO11-'[8]Set Up'!$J$17)*'[8]Set Up'!$N$18 + SUM('[8]Set Up'!$O$15:'[8]Set Up'!$O$17)))))</f>
        <v>299.56661607202625</v>
      </c>
      <c r="AP15" s="30">
        <f>IF(AP11="","",IF(AP11&lt;'[8]Set Up'!$J$15,AP11*'[8]Set Up'!$N$15,IF(AP11&lt;'[8]Set Up'!$J$16,(AP11-'[8]Set Up'!$J$15)*'[8]Set Up'!$N$16+'[8]Set Up'!$O$15,IF(AP11&lt;'[8]Set Up'!$J$17,(AP11-'[8]Set Up'!$J$16)*'[8]Set Up'!$N$17+'[8]Set Up'!$O$15+'[8]Set Up'!$O$16,(AP11-'[8]Set Up'!$J$17)*'[8]Set Up'!$N$18 + SUM('[8]Set Up'!$O$15:'[8]Set Up'!$O$17)))))</f>
        <v>296.59525791592455</v>
      </c>
      <c r="AQ15" s="30">
        <f>IF(AQ11="","",IF(AQ11&lt;'[8]Set Up'!$J$15,AQ11*'[8]Set Up'!$N$15,IF(AQ11&lt;'[8]Set Up'!$J$16,(AQ11-'[8]Set Up'!$J$15)*'[8]Set Up'!$N$16+'[8]Set Up'!$O$15,IF(AQ11&lt;'[8]Set Up'!$J$17,(AQ11-'[8]Set Up'!$J$16)*'[8]Set Up'!$N$17+'[8]Set Up'!$O$15+'[8]Set Up'!$O$16,(AQ11-'[8]Set Up'!$J$17)*'[8]Set Up'!$N$18 + SUM('[8]Set Up'!$O$15:'[8]Set Up'!$O$17)))))</f>
        <v>293.63883120784351</v>
      </c>
      <c r="AR15" s="30">
        <f>IF(AR11="","",IF(AR11&lt;'[8]Set Up'!$J$15,AR11*'[8]Set Up'!$N$15,IF(AR11&lt;'[8]Set Up'!$J$16,(AR11-'[8]Set Up'!$J$15)*'[8]Set Up'!$N$16+'[8]Set Up'!$O$15,IF(AR11&lt;'[8]Set Up'!$J$17,(AR11-'[8]Set Up'!$J$16)*'[8]Set Up'!$N$17+'[8]Set Up'!$O$15+'[8]Set Up'!$O$16,(AR11-'[8]Set Up'!$J$17)*'[8]Set Up'!$N$18 + SUM('[8]Set Up'!$O$15:'[8]Set Up'!$O$17)))))</f>
        <v>290.66747305174187</v>
      </c>
      <c r="AS15" s="30">
        <f>IF(AS11="","",IF(AS11&lt;'[8]Set Up'!$J$15,AS11*'[8]Set Up'!$N$15,IF(AS11&lt;'[8]Set Up'!$J$16,(AS11-'[8]Set Up'!$J$15)*'[8]Set Up'!$N$16+'[8]Set Up'!$O$15,IF(AS11&lt;'[8]Set Up'!$J$17,(AS11-'[8]Set Up'!$J$16)*'[8]Set Up'!$N$17+'[8]Set Up'!$O$15+'[8]Set Up'!$O$16,(AS11-'[8]Set Up'!$J$17)*'[8]Set Up'!$N$18 + SUM('[8]Set Up'!$O$15:'[8]Set Up'!$O$17)))))</f>
        <v>287.71104634366077</v>
      </c>
      <c r="AT15" s="30">
        <f>IF(AT11="","",IF(AT11&lt;'[8]Set Up'!$J$15,AT11*'[8]Set Up'!$N$15,IF(AT11&lt;'[8]Set Up'!$J$16,(AT11-'[8]Set Up'!$J$15)*'[8]Set Up'!$N$16+'[8]Set Up'!$O$15,IF(AT11&lt;'[8]Set Up'!$J$17,(AT11-'[8]Set Up'!$J$16)*'[8]Set Up'!$N$17+'[8]Set Up'!$O$15+'[8]Set Up'!$O$16,(AT11-'[8]Set Up'!$J$17)*'[8]Set Up'!$N$18 + SUM('[8]Set Up'!$O$15:'[8]Set Up'!$O$17)))))</f>
        <v>284.73968818755912</v>
      </c>
      <c r="AU15" s="30">
        <f>IF(AU11="","",IF(AU11&lt;'[8]Set Up'!$J$15,AU11*'[8]Set Up'!$N$15,IF(AU11&lt;'[8]Set Up'!$J$16,(AU11-'[8]Set Up'!$J$15)*'[8]Set Up'!$N$16+'[8]Set Up'!$O$15,IF(AU11&lt;'[8]Set Up'!$J$17,(AU11-'[8]Set Up'!$J$16)*'[8]Set Up'!$N$17+'[8]Set Up'!$O$15+'[8]Set Up'!$O$16,(AU11-'[8]Set Up'!$J$17)*'[8]Set Up'!$N$18 + SUM('[8]Set Up'!$O$15:'[8]Set Up'!$O$17)))))</f>
        <v>281.78326147947809</v>
      </c>
      <c r="AV15" s="30">
        <f>IF(AV11="","",IF(AV11&lt;'[8]Set Up'!$J$15,AV11*'[8]Set Up'!$N$15,IF(AV11&lt;'[8]Set Up'!$J$16,(AV11-'[8]Set Up'!$J$15)*'[8]Set Up'!$N$16+'[8]Set Up'!$O$15,IF(AV11&lt;'[8]Set Up'!$J$17,(AV11-'[8]Set Up'!$J$16)*'[8]Set Up'!$N$17+'[8]Set Up'!$O$15+'[8]Set Up'!$O$16,(AV11-'[8]Set Up'!$J$17)*'[8]Set Up'!$N$18 + SUM('[8]Set Up'!$O$15:'[8]Set Up'!$O$17)))))</f>
        <v>278.81190332337638</v>
      </c>
      <c r="AW15" s="30">
        <f>IF(AW11="","",IF(AW11&lt;'[8]Set Up'!$J$15,AW11*'[8]Set Up'!$N$15,IF(AW11&lt;'[8]Set Up'!$J$16,(AW11-'[8]Set Up'!$J$15)*'[8]Set Up'!$N$16+'[8]Set Up'!$O$15,IF(AW11&lt;'[8]Set Up'!$J$17,(AW11-'[8]Set Up'!$J$16)*'[8]Set Up'!$N$17+'[8]Set Up'!$O$15+'[8]Set Up'!$O$16,(AW11-'[8]Set Up'!$J$17)*'[8]Set Up'!$N$18 + SUM('[8]Set Up'!$O$15:'[8]Set Up'!$O$17)))))</f>
        <v>275.84054516727474</v>
      </c>
      <c r="AX15" s="30">
        <f>IF(AX11="","",IF(AX11&lt;'[8]Set Up'!$J$15,AX11*'[8]Set Up'!$N$15,IF(AX11&lt;'[8]Set Up'!$J$16,(AX11-'[8]Set Up'!$J$15)*'[8]Set Up'!$N$16+'[8]Set Up'!$O$15,IF(AX11&lt;'[8]Set Up'!$J$17,(AX11-'[8]Set Up'!$J$16)*'[8]Set Up'!$N$17+'[8]Set Up'!$O$15+'[8]Set Up'!$O$16,(AX11-'[8]Set Up'!$J$17)*'[8]Set Up'!$N$18 + SUM('[8]Set Up'!$O$15:'[8]Set Up'!$O$17)))))</f>
        <v>272.8841184591937</v>
      </c>
      <c r="AY15" s="30">
        <f>IF(AY11="","",IF(AY11&lt;'[8]Set Up'!$J$15,AY11*'[8]Set Up'!$N$15,IF(AY11&lt;'[8]Set Up'!$J$16,(AY11-'[8]Set Up'!$J$15)*'[8]Set Up'!$N$16+'[8]Set Up'!$O$15,IF(AY11&lt;'[8]Set Up'!$J$17,(AY11-'[8]Set Up'!$J$16)*'[8]Set Up'!$N$17+'[8]Set Up'!$O$15+'[8]Set Up'!$O$16,(AY11-'[8]Set Up'!$J$17)*'[8]Set Up'!$N$18 + SUM('[8]Set Up'!$O$15:'[8]Set Up'!$O$17)))))</f>
        <v>269.912760303092</v>
      </c>
      <c r="AZ15" s="30">
        <f>IF(AZ11="","",IF(AZ11&lt;'[8]Set Up'!$J$15,AZ11*'[8]Set Up'!$N$15,IF(AZ11&lt;'[8]Set Up'!$J$16,(AZ11-'[8]Set Up'!$J$15)*'[8]Set Up'!$N$16+'[8]Set Up'!$O$15,IF(AZ11&lt;'[8]Set Up'!$J$17,(AZ11-'[8]Set Up'!$J$16)*'[8]Set Up'!$N$17+'[8]Set Up'!$O$15+'[8]Set Up'!$O$16,(AZ11-'[8]Set Up'!$J$17)*'[8]Set Up'!$N$18 + SUM('[8]Set Up'!$O$15:'[8]Set Up'!$O$17)))))</f>
        <v>266.95633359501096</v>
      </c>
      <c r="BA15" s="30">
        <f>IF(BA11="","",IF(BA11&lt;'[8]Set Up'!$J$15,BA11*'[8]Set Up'!$N$15,IF(BA11&lt;'[8]Set Up'!$J$16,(BA11-'[8]Set Up'!$J$15)*'[8]Set Up'!$N$16+'[8]Set Up'!$O$15,IF(BA11&lt;'[8]Set Up'!$J$17,(BA11-'[8]Set Up'!$J$16)*'[8]Set Up'!$N$17+'[8]Set Up'!$O$15+'[8]Set Up'!$O$16,(BA11-'[8]Set Up'!$J$17)*'[8]Set Up'!$N$18 + SUM('[8]Set Up'!$O$15:'[8]Set Up'!$O$17)))))</f>
        <v>263.98497543890926</v>
      </c>
      <c r="BB15" s="30">
        <f>IF(BB11="","",IF(BB11&lt;'[8]Set Up'!$J$15,BB11*'[8]Set Up'!$N$15,IF(BB11&lt;'[8]Set Up'!$J$16,(BB11-'[8]Set Up'!$J$15)*'[8]Set Up'!$N$16+'[8]Set Up'!$O$15,IF(BB11&lt;'[8]Set Up'!$J$17,(BB11-'[8]Set Up'!$J$16)*'[8]Set Up'!$N$17+'[8]Set Up'!$O$15+'[8]Set Up'!$O$16,(BB11-'[8]Set Up'!$J$17)*'[8]Set Up'!$N$18 + SUM('[8]Set Up'!$O$15:'[8]Set Up'!$O$17)))))</f>
        <v>261.02854873082822</v>
      </c>
      <c r="BC15" s="30">
        <f>IF(BC11="","",IF(BC11&lt;'[8]Set Up'!$J$15,BC11*'[8]Set Up'!$N$15,IF(BC11&lt;'[8]Set Up'!$J$16,(BC11-'[8]Set Up'!$J$15)*'[8]Set Up'!$N$16+'[8]Set Up'!$O$15,IF(BC11&lt;'[8]Set Up'!$J$17,(BC11-'[8]Set Up'!$J$16)*'[8]Set Up'!$N$17+'[8]Set Up'!$O$15+'[8]Set Up'!$O$16,(BC11-'[8]Set Up'!$J$17)*'[8]Set Up'!$N$18 + SUM('[8]Set Up'!$O$15:'[8]Set Up'!$O$17)))))</f>
        <v>0</v>
      </c>
      <c r="BD15" s="30">
        <f>IF(BD11="","",IF(BD11&lt;'[8]Set Up'!$J$15,BD11*'[8]Set Up'!$N$15,IF(BD11&lt;'[8]Set Up'!$J$16,(BD11-'[8]Set Up'!$J$15)*'[8]Set Up'!$N$16+'[8]Set Up'!$O$15,IF(BD11&lt;'[8]Set Up'!$J$17,(BD11-'[8]Set Up'!$J$16)*'[8]Set Up'!$N$17+'[8]Set Up'!$O$15+'[8]Set Up'!$O$16,(BD11-'[8]Set Up'!$J$17)*'[8]Set Up'!$N$18 + SUM('[8]Set Up'!$O$15:'[8]Set Up'!$O$17)))))</f>
        <v>0</v>
      </c>
      <c r="BE15" s="30">
        <f>IF(BE11="","",IF(BE11&lt;'[8]Set Up'!$J$15,BE11*'[8]Set Up'!$N$15,IF(BE11&lt;'[8]Set Up'!$J$16,(BE11-'[8]Set Up'!$J$15)*'[8]Set Up'!$N$16+'[8]Set Up'!$O$15,IF(BE11&lt;'[8]Set Up'!$J$17,(BE11-'[8]Set Up'!$J$16)*'[8]Set Up'!$N$17+'[8]Set Up'!$O$15+'[8]Set Up'!$O$16,(BE11-'[8]Set Up'!$J$17)*'[8]Set Up'!$N$18 + SUM('[8]Set Up'!$O$15:'[8]Set Up'!$O$17)))))</f>
        <v>0</v>
      </c>
      <c r="BF15" s="30">
        <f>IF(BF11="","",IF(BF11&lt;'[8]Set Up'!$J$15,BF11*'[8]Set Up'!$N$15,IF(BF11&lt;'[8]Set Up'!$J$16,(BF11-'[8]Set Up'!$J$15)*'[8]Set Up'!$N$16+'[8]Set Up'!$O$15,IF(BF11&lt;'[8]Set Up'!$J$17,(BF11-'[8]Set Up'!$J$16)*'[8]Set Up'!$N$17+'[8]Set Up'!$O$15+'[8]Set Up'!$O$16,(BF11-'[8]Set Up'!$J$17)*'[8]Set Up'!$N$18 + SUM('[8]Set Up'!$O$15:'[8]Set Up'!$O$17)))))</f>
        <v>0</v>
      </c>
      <c r="BG15" s="30">
        <f>IF(BG11="","",IF(BG11&lt;'[8]Set Up'!$J$15,BG11*'[8]Set Up'!$N$15,IF(BG11&lt;'[8]Set Up'!$J$16,(BG11-'[8]Set Up'!$J$15)*'[8]Set Up'!$N$16+'[8]Set Up'!$O$15,IF(BG11&lt;'[8]Set Up'!$J$17,(BG11-'[8]Set Up'!$J$16)*'[8]Set Up'!$N$17+'[8]Set Up'!$O$15+'[8]Set Up'!$O$16,(BG11-'[8]Set Up'!$J$17)*'[8]Set Up'!$N$18 + SUM('[8]Set Up'!$O$15:'[8]Set Up'!$O$17)))))</f>
        <v>0</v>
      </c>
      <c r="BH15" s="30">
        <f>IF(BH11="","",IF(BH11&lt;'[8]Set Up'!$J$15,BH11*'[8]Set Up'!$N$15,IF(BH11&lt;'[8]Set Up'!$J$16,(BH11-'[8]Set Up'!$J$15)*'[8]Set Up'!$N$16+'[8]Set Up'!$O$15,IF(BH11&lt;'[8]Set Up'!$J$17,(BH11-'[8]Set Up'!$J$16)*'[8]Set Up'!$N$17+'[8]Set Up'!$O$15+'[8]Set Up'!$O$16,(BH11-'[8]Set Up'!$J$17)*'[8]Set Up'!$N$18 + SUM('[8]Set Up'!$O$15:'[8]Set Up'!$O$17)))))</f>
        <v>0</v>
      </c>
      <c r="BI15" s="30">
        <f>IF(BI11="","",IF(BI11&lt;'[8]Set Up'!$J$15,BI11*'[8]Set Up'!$N$15,IF(BI11&lt;'[8]Set Up'!$J$16,(BI11-'[8]Set Up'!$J$15)*'[8]Set Up'!$N$16+'[8]Set Up'!$O$15,IF(BI11&lt;'[8]Set Up'!$J$17,(BI11-'[8]Set Up'!$J$16)*'[8]Set Up'!$N$17+'[8]Set Up'!$O$15+'[8]Set Up'!$O$16,(BI11-'[8]Set Up'!$J$17)*'[8]Set Up'!$N$18 + SUM('[8]Set Up'!$O$15:'[8]Set Up'!$O$17)))))</f>
        <v>0</v>
      </c>
      <c r="BJ15" s="30">
        <f>IF(BJ11="","",IF(BJ11&lt;'[8]Set Up'!$J$15,BJ11*'[8]Set Up'!$N$15,IF(BJ11&lt;'[8]Set Up'!$J$16,(BJ11-'[8]Set Up'!$J$15)*'[8]Set Up'!$N$16+'[8]Set Up'!$O$15,IF(BJ11&lt;'[8]Set Up'!$J$17,(BJ11-'[8]Set Up'!$J$16)*'[8]Set Up'!$N$17+'[8]Set Up'!$O$15+'[8]Set Up'!$O$16,(BJ11-'[8]Set Up'!$J$17)*'[8]Set Up'!$N$18 + SUM('[8]Set Up'!$O$15:'[8]Set Up'!$O$17)))))</f>
        <v>0</v>
      </c>
      <c r="BK15" s="30">
        <f>IF(BK11="","",IF(BK11&lt;'[8]Set Up'!$J$15,BK11*'[8]Set Up'!$N$15,IF(BK11&lt;'[8]Set Up'!$J$16,(BK11-'[8]Set Up'!$J$15)*'[8]Set Up'!$N$16+'[8]Set Up'!$O$15,IF(BK11&lt;'[8]Set Up'!$J$17,(BK11-'[8]Set Up'!$J$16)*'[8]Set Up'!$N$17+'[8]Set Up'!$O$15+'[8]Set Up'!$O$16,(BK11-'[8]Set Up'!$J$17)*'[8]Set Up'!$N$18 + SUM('[8]Set Up'!$O$15:'[8]Set Up'!$O$17)))))</f>
        <v>0</v>
      </c>
      <c r="BL15" s="30">
        <f>IF(BL11="","",IF(BL11&lt;'[8]Set Up'!$J$15,BL11*'[8]Set Up'!$N$15,IF(BL11&lt;'[8]Set Up'!$J$16,(BL11-'[8]Set Up'!$J$15)*'[8]Set Up'!$N$16+'[8]Set Up'!$O$15,IF(BL11&lt;'[8]Set Up'!$J$17,(BL11-'[8]Set Up'!$J$16)*'[8]Set Up'!$N$17+'[8]Set Up'!$O$15+'[8]Set Up'!$O$16,(BL11-'[8]Set Up'!$J$17)*'[8]Set Up'!$N$18 + SUM('[8]Set Up'!$O$15:'[8]Set Up'!$O$17)))))</f>
        <v>0</v>
      </c>
      <c r="BM15" s="30">
        <f>IF(BM11="","",IF(BM11&lt;'[8]Set Up'!$J$15,BM11*'[8]Set Up'!$N$15,IF(BM11&lt;'[8]Set Up'!$J$16,(BM11-'[8]Set Up'!$J$15)*'[8]Set Up'!$N$16+'[8]Set Up'!$O$15,IF(BM11&lt;'[8]Set Up'!$J$17,(BM11-'[8]Set Up'!$J$16)*'[8]Set Up'!$N$17+'[8]Set Up'!$O$15+'[8]Set Up'!$O$16,(BM11-'[8]Set Up'!$J$17)*'[8]Set Up'!$N$18 + SUM('[8]Set Up'!$O$15:'[8]Set Up'!$O$17)))))</f>
        <v>0</v>
      </c>
      <c r="BN15" s="30">
        <f>IF(BN11="","",IF(BN11&lt;'[8]Set Up'!$J$15,BN11*'[8]Set Up'!$N$15,IF(BN11&lt;'[8]Set Up'!$J$16,(BN11-'[8]Set Up'!$J$15)*'[8]Set Up'!$N$16+'[8]Set Up'!$O$15,IF(BN11&lt;'[8]Set Up'!$J$17,(BN11-'[8]Set Up'!$J$16)*'[8]Set Up'!$N$17+'[8]Set Up'!$O$15+'[8]Set Up'!$O$16,(BN11-'[8]Set Up'!$J$17)*'[8]Set Up'!$N$18 + SUM('[8]Set Up'!$O$15:'[8]Set Up'!$O$17)))))</f>
        <v>0</v>
      </c>
      <c r="BO15" s="30">
        <f>IF(BO11="","",IF(BO11&lt;'[8]Set Up'!$J$15,BO11*'[8]Set Up'!$N$15,IF(BO11&lt;'[8]Set Up'!$J$16,(BO11-'[8]Set Up'!$J$15)*'[8]Set Up'!$N$16+'[8]Set Up'!$O$15,IF(BO11&lt;'[8]Set Up'!$J$17,(BO11-'[8]Set Up'!$J$16)*'[8]Set Up'!$N$17+'[8]Set Up'!$O$15+'[8]Set Up'!$O$16,(BO11-'[8]Set Up'!$J$17)*'[8]Set Up'!$N$18 + SUM('[8]Set Up'!$O$15:'[8]Set Up'!$O$17)))))</f>
        <v>0</v>
      </c>
      <c r="BP15" s="30">
        <f>IF(BP11="","",IF(BP11&lt;'[8]Set Up'!$J$15,BP11*'[8]Set Up'!$N$15,IF(BP11&lt;'[8]Set Up'!$J$16,(BP11-'[8]Set Up'!$J$15)*'[8]Set Up'!$N$16+'[8]Set Up'!$O$15,IF(BP11&lt;'[8]Set Up'!$J$17,(BP11-'[8]Set Up'!$J$16)*'[8]Set Up'!$N$17+'[8]Set Up'!$O$15+'[8]Set Up'!$O$16,(BP11-'[8]Set Up'!$J$17)*'[8]Set Up'!$N$18 + SUM('[8]Set Up'!$O$15:'[8]Set Up'!$O$17)))))</f>
        <v>0</v>
      </c>
      <c r="BQ15" s="30">
        <f>IF(BQ11="","",IF(BQ11&lt;'[8]Set Up'!$J$15,BQ11*'[8]Set Up'!$N$15,IF(BQ11&lt;'[8]Set Up'!$J$16,(BQ11-'[8]Set Up'!$J$15)*'[8]Set Up'!$N$16+'[8]Set Up'!$O$15,IF(BQ11&lt;'[8]Set Up'!$J$17,(BQ11-'[8]Set Up'!$J$16)*'[8]Set Up'!$N$17+'[8]Set Up'!$O$15+'[8]Set Up'!$O$16,(BQ11-'[8]Set Up'!$J$17)*'[8]Set Up'!$N$18 + SUM('[8]Set Up'!$O$15:'[8]Set Up'!$O$17)))))</f>
        <v>0</v>
      </c>
      <c r="BR15" s="30">
        <f>IF(BR11="","",IF(BR11&lt;'[8]Set Up'!$J$15,BR11*'[8]Set Up'!$N$15,IF(BR11&lt;'[8]Set Up'!$J$16,(BR11-'[8]Set Up'!$J$15)*'[8]Set Up'!$N$16+'[8]Set Up'!$O$15,IF(BR11&lt;'[8]Set Up'!$J$17,(BR11-'[8]Set Up'!$J$16)*'[8]Set Up'!$N$17+'[8]Set Up'!$O$15+'[8]Set Up'!$O$16,(BR11-'[8]Set Up'!$J$17)*'[8]Set Up'!$N$18 + SUM('[8]Set Up'!$O$15:'[8]Set Up'!$O$17)))))</f>
        <v>0</v>
      </c>
      <c r="BS15" s="30">
        <f>IF(BS11="","",IF(BS11&lt;'[8]Set Up'!$J$15,BS11*'[8]Set Up'!$N$15,IF(BS11&lt;'[8]Set Up'!$J$16,(BS11-'[8]Set Up'!$J$15)*'[8]Set Up'!$N$16+'[8]Set Up'!$O$15,IF(BS11&lt;'[8]Set Up'!$J$17,(BS11-'[8]Set Up'!$J$16)*'[8]Set Up'!$N$17+'[8]Set Up'!$O$15+'[8]Set Up'!$O$16,(BS11-'[8]Set Up'!$J$17)*'[8]Set Up'!$N$18 + SUM('[8]Set Up'!$O$15:'[8]Set Up'!$O$17)))))</f>
        <v>0</v>
      </c>
      <c r="BT15" s="30">
        <f>IF(BT11="","",IF(BT11&lt;'[8]Set Up'!$J$15,BT11*'[8]Set Up'!$N$15,IF(BT11&lt;'[8]Set Up'!$J$16,(BT11-'[8]Set Up'!$J$15)*'[8]Set Up'!$N$16+'[8]Set Up'!$O$15,IF(BT11&lt;'[8]Set Up'!$J$17,(BT11-'[8]Set Up'!$J$16)*'[8]Set Up'!$N$17+'[8]Set Up'!$O$15+'[8]Set Up'!$O$16,(BT11-'[8]Set Up'!$J$17)*'[8]Set Up'!$N$18 + SUM('[8]Set Up'!$O$15:'[8]Set Up'!$O$17)))))</f>
        <v>0</v>
      </c>
      <c r="BU15" s="30">
        <f>IF(BU11="","",IF(BU11&lt;'[8]Set Up'!$J$15,BU11*'[8]Set Up'!$N$15,IF(BU11&lt;'[8]Set Up'!$J$16,(BU11-'[8]Set Up'!$J$15)*'[8]Set Up'!$N$16+'[8]Set Up'!$O$15,IF(BU11&lt;'[8]Set Up'!$J$17,(BU11-'[8]Set Up'!$J$16)*'[8]Set Up'!$N$17+'[8]Set Up'!$O$15+'[8]Set Up'!$O$16,(BU11-'[8]Set Up'!$J$17)*'[8]Set Up'!$N$18 + SUM('[8]Set Up'!$O$15:'[8]Set Up'!$O$17)))))</f>
        <v>0</v>
      </c>
      <c r="BV15" s="30">
        <f>IF(BV11="","",IF(BV11&lt;'[8]Set Up'!$J$15,BV11*'[8]Set Up'!$N$15,IF(BV11&lt;'[8]Set Up'!$J$16,(BV11-'[8]Set Up'!$J$15)*'[8]Set Up'!$N$16+'[8]Set Up'!$O$15,IF(BV11&lt;'[8]Set Up'!$J$17,(BV11-'[8]Set Up'!$J$16)*'[8]Set Up'!$N$17+'[8]Set Up'!$O$15+'[8]Set Up'!$O$16,(BV11-'[8]Set Up'!$J$17)*'[8]Set Up'!$N$18 + SUM('[8]Set Up'!$O$15:'[8]Set Up'!$O$17)))))</f>
        <v>0</v>
      </c>
      <c r="BW15" s="30">
        <f>IF(BW11="","",IF(BW11&lt;'[8]Set Up'!$J$15,BW11*'[8]Set Up'!$N$15,IF(BW11&lt;'[8]Set Up'!$J$16,(BW11-'[8]Set Up'!$J$15)*'[8]Set Up'!$N$16+'[8]Set Up'!$O$15,IF(BW11&lt;'[8]Set Up'!$J$17,(BW11-'[8]Set Up'!$J$16)*'[8]Set Up'!$N$17+'[8]Set Up'!$O$15+'[8]Set Up'!$O$16,(BW11-'[8]Set Up'!$J$17)*'[8]Set Up'!$N$18 + SUM('[8]Set Up'!$O$15:'[8]Set Up'!$O$17)))))</f>
        <v>0</v>
      </c>
      <c r="BX15" s="30">
        <f>IF(BX11="","",IF(BX11&lt;'[8]Set Up'!$J$15,BX11*'[8]Set Up'!$N$15,IF(BX11&lt;'[8]Set Up'!$J$16,(BX11-'[8]Set Up'!$J$15)*'[8]Set Up'!$N$16+'[8]Set Up'!$O$15,IF(BX11&lt;'[8]Set Up'!$J$17,(BX11-'[8]Set Up'!$J$16)*'[8]Set Up'!$N$17+'[8]Set Up'!$O$15+'[8]Set Up'!$O$16,(BX11-'[8]Set Up'!$J$17)*'[8]Set Up'!$N$18 + SUM('[8]Set Up'!$O$15:'[8]Set Up'!$O$17)))))</f>
        <v>0</v>
      </c>
      <c r="BY15" s="30">
        <f>IF(BY11="","",IF(BY11&lt;'[8]Set Up'!$J$15,BY11*'[8]Set Up'!$N$15,IF(BY11&lt;'[8]Set Up'!$J$16,(BY11-'[8]Set Up'!$J$15)*'[8]Set Up'!$N$16+'[8]Set Up'!$O$15,IF(BY11&lt;'[8]Set Up'!$J$17,(BY11-'[8]Set Up'!$J$16)*'[8]Set Up'!$N$17+'[8]Set Up'!$O$15+'[8]Set Up'!$O$16,(BY11-'[8]Set Up'!$J$17)*'[8]Set Up'!$N$18 + SUM('[8]Set Up'!$O$15:'[8]Set Up'!$O$17)))))</f>
        <v>0</v>
      </c>
      <c r="BZ15" s="8"/>
    </row>
    <row r="16" spans="1:78" ht="15" thickBot="1" x14ac:dyDescent="0.4">
      <c r="A16" s="31"/>
      <c r="B16" s="32"/>
      <c r="C16" s="183" t="s">
        <v>23</v>
      </c>
      <c r="D16" s="184"/>
      <c r="E16" s="184"/>
      <c r="F16" s="184"/>
      <c r="G16" s="184"/>
      <c r="H16" s="184"/>
      <c r="I16" s="185"/>
      <c r="J16" s="32"/>
      <c r="K16" s="32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8"/>
    </row>
    <row r="17" spans="1:78" x14ac:dyDescent="0.35">
      <c r="A17" s="34" t="s">
        <v>24</v>
      </c>
      <c r="B17" s="35" t="s">
        <v>11</v>
      </c>
      <c r="C17" s="36">
        <v>43244</v>
      </c>
      <c r="D17" s="36">
        <v>43245</v>
      </c>
      <c r="E17" s="36">
        <v>43245</v>
      </c>
      <c r="F17" s="36">
        <v>43245</v>
      </c>
      <c r="G17" s="36">
        <v>43246</v>
      </c>
      <c r="H17" s="36">
        <v>43246</v>
      </c>
      <c r="I17" s="36">
        <v>43246</v>
      </c>
      <c r="J17" s="36">
        <v>43247</v>
      </c>
      <c r="K17" s="36">
        <v>43247</v>
      </c>
      <c r="L17" s="36">
        <v>43247</v>
      </c>
      <c r="M17" s="36">
        <v>43248</v>
      </c>
      <c r="N17" s="36">
        <v>43248</v>
      </c>
      <c r="O17" s="36">
        <v>43248</v>
      </c>
      <c r="P17" s="36">
        <v>43249</v>
      </c>
      <c r="Q17" s="36">
        <v>43249</v>
      </c>
      <c r="R17" s="36">
        <v>43249</v>
      </c>
      <c r="S17" s="36">
        <v>43249</v>
      </c>
      <c r="T17" s="36">
        <v>43250</v>
      </c>
      <c r="U17" s="36">
        <v>43250</v>
      </c>
      <c r="V17" s="36">
        <v>43250</v>
      </c>
      <c r="W17" s="36">
        <v>43250</v>
      </c>
      <c r="X17" s="36">
        <v>43251</v>
      </c>
      <c r="Y17" s="36">
        <v>43251</v>
      </c>
      <c r="Z17" s="36">
        <v>43252</v>
      </c>
      <c r="AA17" s="36">
        <v>43252</v>
      </c>
      <c r="AB17" s="36">
        <v>43252</v>
      </c>
      <c r="AC17" s="36">
        <v>43252</v>
      </c>
      <c r="AD17" s="36">
        <v>43253</v>
      </c>
      <c r="AE17" s="36">
        <v>43253</v>
      </c>
      <c r="AF17" s="36">
        <v>43253</v>
      </c>
      <c r="AG17" s="36">
        <v>43253</v>
      </c>
      <c r="AH17" s="36">
        <v>43254</v>
      </c>
      <c r="AI17" s="36">
        <v>43254</v>
      </c>
      <c r="AJ17" s="36">
        <v>43254</v>
      </c>
      <c r="AK17" s="36">
        <v>43255</v>
      </c>
      <c r="AL17" s="36">
        <v>43255</v>
      </c>
      <c r="AM17" s="36">
        <v>43255</v>
      </c>
      <c r="AN17" s="36">
        <v>43255</v>
      </c>
      <c r="AO17" s="36">
        <v>43256</v>
      </c>
      <c r="AP17" s="36">
        <v>43256</v>
      </c>
      <c r="AQ17" s="36">
        <v>43256</v>
      </c>
      <c r="AR17" s="36">
        <v>43256</v>
      </c>
      <c r="AS17" s="36">
        <v>43257</v>
      </c>
      <c r="AT17" s="36">
        <v>43257</v>
      </c>
      <c r="AU17" s="36">
        <v>43257</v>
      </c>
      <c r="AV17" s="36">
        <v>43258</v>
      </c>
      <c r="AW17" s="36">
        <v>43258</v>
      </c>
      <c r="AX17" s="36">
        <v>43258</v>
      </c>
      <c r="AY17" s="36">
        <v>43258</v>
      </c>
      <c r="AZ17" s="36">
        <v>43259</v>
      </c>
      <c r="BA17" s="36">
        <v>43259</v>
      </c>
      <c r="BB17" s="36">
        <v>43259</v>
      </c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7"/>
    </row>
    <row r="18" spans="1:78" x14ac:dyDescent="0.35">
      <c r="A18" s="38" t="s">
        <v>25</v>
      </c>
      <c r="B18" s="39">
        <f>IF(C18="","",AVERAGE(C18:BY18))</f>
        <v>5266.7307692307695</v>
      </c>
      <c r="C18" s="40">
        <v>4970</v>
      </c>
      <c r="D18" s="40">
        <v>5020</v>
      </c>
      <c r="E18" s="41">
        <v>5000</v>
      </c>
      <c r="F18" s="41">
        <v>5410</v>
      </c>
      <c r="G18" s="41">
        <v>4980</v>
      </c>
      <c r="H18" s="41">
        <v>5240</v>
      </c>
      <c r="I18" s="41">
        <v>5280</v>
      </c>
      <c r="J18" s="41">
        <v>5270</v>
      </c>
      <c r="K18" s="41">
        <v>5310</v>
      </c>
      <c r="L18" s="41">
        <v>5400</v>
      </c>
      <c r="M18" s="41">
        <v>5320</v>
      </c>
      <c r="N18" s="41">
        <v>5310</v>
      </c>
      <c r="O18" s="41">
        <v>5400</v>
      </c>
      <c r="P18" s="41">
        <v>5360</v>
      </c>
      <c r="Q18" s="41">
        <v>5330</v>
      </c>
      <c r="R18" s="41">
        <v>5370</v>
      </c>
      <c r="S18" s="41">
        <v>5440</v>
      </c>
      <c r="T18" s="41">
        <v>5380</v>
      </c>
      <c r="U18" s="41">
        <v>5290</v>
      </c>
      <c r="V18" s="41">
        <v>5410</v>
      </c>
      <c r="W18" s="41">
        <v>5350</v>
      </c>
      <c r="X18" s="41">
        <v>5420</v>
      </c>
      <c r="Y18" s="41">
        <v>5430</v>
      </c>
      <c r="Z18" s="41">
        <v>5170</v>
      </c>
      <c r="AA18" s="41">
        <v>5290</v>
      </c>
      <c r="AB18" s="41">
        <v>5120</v>
      </c>
      <c r="AC18" s="41">
        <v>5330</v>
      </c>
      <c r="AD18" s="41">
        <v>5300</v>
      </c>
      <c r="AE18" s="41">
        <v>5320</v>
      </c>
      <c r="AF18" s="41">
        <v>5250</v>
      </c>
      <c r="AG18" s="41">
        <v>5260</v>
      </c>
      <c r="AH18" s="41">
        <v>5250</v>
      </c>
      <c r="AI18" s="41">
        <v>5260</v>
      </c>
      <c r="AJ18" s="41">
        <v>5090</v>
      </c>
      <c r="AK18" s="41">
        <v>5200</v>
      </c>
      <c r="AL18" s="41">
        <v>5220</v>
      </c>
      <c r="AM18" s="41">
        <v>5280</v>
      </c>
      <c r="AN18" s="41">
        <v>5260</v>
      </c>
      <c r="AO18" s="41">
        <v>5300</v>
      </c>
      <c r="AP18" s="41">
        <v>5220</v>
      </c>
      <c r="AQ18" s="41">
        <v>5250</v>
      </c>
      <c r="AR18" s="41">
        <v>5300</v>
      </c>
      <c r="AS18" s="41">
        <v>5170</v>
      </c>
      <c r="AT18" s="41">
        <v>5200</v>
      </c>
      <c r="AU18" s="41">
        <v>5310</v>
      </c>
      <c r="AV18" s="41">
        <v>5210</v>
      </c>
      <c r="AW18" s="41">
        <v>5130</v>
      </c>
      <c r="AX18" s="41">
        <v>5190</v>
      </c>
      <c r="AY18" s="41">
        <v>5180</v>
      </c>
      <c r="AZ18" s="41">
        <v>5130</v>
      </c>
      <c r="BA18" s="41">
        <v>5730</v>
      </c>
      <c r="BB18" s="41">
        <v>5260</v>
      </c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2"/>
    </row>
    <row r="19" spans="1:78" ht="15" thickBot="1" x14ac:dyDescent="0.4">
      <c r="A19" s="43" t="s">
        <v>26</v>
      </c>
      <c r="B19" s="44">
        <f>IF(C19="","",AVERAGE(C19:BY19))</f>
        <v>8430</v>
      </c>
      <c r="C19" s="45">
        <v>9990</v>
      </c>
      <c r="D19" s="46">
        <v>7690</v>
      </c>
      <c r="E19" s="46">
        <v>6260</v>
      </c>
      <c r="F19" s="46">
        <v>5800</v>
      </c>
      <c r="G19" s="46">
        <v>8550</v>
      </c>
      <c r="H19" s="46">
        <v>9370</v>
      </c>
      <c r="I19" s="46">
        <v>10280</v>
      </c>
      <c r="J19" s="46">
        <v>9630</v>
      </c>
      <c r="K19" s="46">
        <v>9880</v>
      </c>
      <c r="L19" s="46">
        <v>9240</v>
      </c>
      <c r="M19" s="46">
        <v>8330</v>
      </c>
      <c r="N19" s="46">
        <v>8640</v>
      </c>
      <c r="O19" s="46">
        <v>7990</v>
      </c>
      <c r="P19" s="46">
        <v>8020</v>
      </c>
      <c r="Q19" s="46">
        <v>8900</v>
      </c>
      <c r="R19" s="46">
        <v>11060</v>
      </c>
      <c r="S19" s="46">
        <v>9980</v>
      </c>
      <c r="T19" s="46">
        <v>10360</v>
      </c>
      <c r="U19" s="46">
        <v>8280</v>
      </c>
      <c r="V19" s="46">
        <v>8690</v>
      </c>
      <c r="W19" s="46">
        <v>8640</v>
      </c>
      <c r="X19" s="46">
        <v>8640</v>
      </c>
      <c r="Y19" s="46">
        <v>8930</v>
      </c>
      <c r="Z19" s="46">
        <v>9090</v>
      </c>
      <c r="AA19" s="46">
        <v>7900</v>
      </c>
      <c r="AB19" s="46">
        <v>8270</v>
      </c>
      <c r="AC19" s="46">
        <v>8500</v>
      </c>
      <c r="AD19" s="46">
        <v>8190</v>
      </c>
      <c r="AE19" s="46">
        <v>8450</v>
      </c>
      <c r="AF19" s="46">
        <v>8730</v>
      </c>
      <c r="AG19" s="46">
        <v>8530</v>
      </c>
      <c r="AH19" s="46">
        <v>8320</v>
      </c>
      <c r="AI19" s="46">
        <v>8410</v>
      </c>
      <c r="AJ19" s="46">
        <v>8520</v>
      </c>
      <c r="AK19" s="46">
        <v>7580</v>
      </c>
      <c r="AL19" s="46">
        <v>8440</v>
      </c>
      <c r="AM19" s="46">
        <v>8650</v>
      </c>
      <c r="AN19" s="46">
        <v>8480</v>
      </c>
      <c r="AO19" s="46">
        <v>8090</v>
      </c>
      <c r="AP19" s="46">
        <v>8160</v>
      </c>
      <c r="AQ19" s="46">
        <v>8110</v>
      </c>
      <c r="AR19" s="46">
        <v>8020</v>
      </c>
      <c r="AS19" s="46">
        <v>7800</v>
      </c>
      <c r="AT19" s="46">
        <v>8260</v>
      </c>
      <c r="AU19" s="46">
        <v>7900</v>
      </c>
      <c r="AV19" s="46">
        <v>7410</v>
      </c>
      <c r="AW19" s="46">
        <v>7380</v>
      </c>
      <c r="AX19" s="46">
        <v>7740</v>
      </c>
      <c r="AY19" s="46">
        <v>7190</v>
      </c>
      <c r="AZ19" s="46">
        <v>7520</v>
      </c>
      <c r="BA19" s="46">
        <v>7790</v>
      </c>
      <c r="BB19" s="46">
        <v>7780</v>
      </c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7"/>
    </row>
    <row r="20" spans="1:78" x14ac:dyDescent="0.35">
      <c r="A20" s="48" t="s">
        <v>27</v>
      </c>
      <c r="B20" s="49"/>
      <c r="C20" s="50">
        <v>0.86736111111111114</v>
      </c>
      <c r="D20" s="51">
        <v>0.20833333333333334</v>
      </c>
      <c r="E20" s="51">
        <v>0.52708333333333335</v>
      </c>
      <c r="F20" s="51">
        <v>0.91041666666666676</v>
      </c>
      <c r="G20" s="51">
        <v>0.27083333333333331</v>
      </c>
      <c r="H20" s="51">
        <v>0.54375000000000007</v>
      </c>
      <c r="I20" s="51">
        <v>0.86249999999999993</v>
      </c>
      <c r="J20" s="51">
        <v>0.19166666666666665</v>
      </c>
      <c r="K20" s="51">
        <v>0.55277777777777781</v>
      </c>
      <c r="L20" s="51">
        <v>0.875</v>
      </c>
      <c r="M20" s="51">
        <v>0.1451388888888889</v>
      </c>
      <c r="N20" s="51">
        <v>0.39513888888888887</v>
      </c>
      <c r="O20" s="51">
        <v>0.72361111111111109</v>
      </c>
      <c r="P20" s="51">
        <v>1.8749999999999999E-2</v>
      </c>
      <c r="Q20" s="51">
        <v>0.27986111111111112</v>
      </c>
      <c r="R20" s="51">
        <v>0.54583333333333328</v>
      </c>
      <c r="S20" s="51">
        <v>0.79513888888888884</v>
      </c>
      <c r="T20" s="51">
        <v>0.16111111111111112</v>
      </c>
      <c r="U20" s="51">
        <v>0.47986111111111113</v>
      </c>
      <c r="V20" s="51">
        <v>0.7270833333333333</v>
      </c>
      <c r="W20" s="51">
        <v>0.97152777777777777</v>
      </c>
      <c r="X20" s="51">
        <v>0.22777777777777777</v>
      </c>
      <c r="Y20" s="51">
        <v>0.46875</v>
      </c>
      <c r="Z20" s="51">
        <v>1.3888888888888889E-3</v>
      </c>
      <c r="AA20" s="51">
        <v>0.26250000000000001</v>
      </c>
      <c r="AB20" s="51">
        <v>0.50763888888888886</v>
      </c>
      <c r="AC20" s="51">
        <v>0.75138888888888899</v>
      </c>
      <c r="AD20" s="51">
        <v>6.9444444444444441E-3</v>
      </c>
      <c r="AE20" s="51">
        <v>0.27291666666666664</v>
      </c>
      <c r="AF20" s="51">
        <v>0.65</v>
      </c>
      <c r="AG20" s="51">
        <v>0.89722222222222225</v>
      </c>
      <c r="AH20" s="51">
        <v>0.15694444444444444</v>
      </c>
      <c r="AI20" s="51">
        <v>0.44791666666666669</v>
      </c>
      <c r="AJ20" s="51">
        <v>0.75</v>
      </c>
      <c r="AK20" s="51">
        <v>3.9583333333333331E-2</v>
      </c>
      <c r="AL20" s="51">
        <v>0.35416666666666669</v>
      </c>
      <c r="AM20" s="51">
        <v>0.61111111111111105</v>
      </c>
      <c r="AN20" s="51">
        <v>0.93888888888888899</v>
      </c>
      <c r="AO20" s="51">
        <v>0.18055555555555555</v>
      </c>
      <c r="AP20" s="51">
        <v>0.4458333333333333</v>
      </c>
      <c r="AQ20" s="51">
        <v>0.70833333333333337</v>
      </c>
      <c r="AR20" s="51">
        <v>0.94513888888888886</v>
      </c>
      <c r="AS20" s="51">
        <v>0.24583333333333335</v>
      </c>
      <c r="AT20" s="51">
        <v>0.53888888888888886</v>
      </c>
      <c r="AU20" s="51">
        <v>0.77361111111111114</v>
      </c>
      <c r="AV20" s="51">
        <v>1.9444444444444445E-2</v>
      </c>
      <c r="AW20" s="51">
        <v>0.30624999999999997</v>
      </c>
      <c r="AX20" s="51">
        <v>0.59166666666666667</v>
      </c>
      <c r="AY20" s="51">
        <v>0.84652777777777777</v>
      </c>
      <c r="AZ20" s="51">
        <v>0.12222222222222223</v>
      </c>
      <c r="BA20" s="51">
        <v>0.32847222222222222</v>
      </c>
      <c r="BB20" s="51">
        <v>0.57430555555555551</v>
      </c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52"/>
    </row>
    <row r="21" spans="1:78" x14ac:dyDescent="0.35">
      <c r="A21" s="53" t="s">
        <v>28</v>
      </c>
      <c r="B21" s="54"/>
      <c r="C21" s="55">
        <v>5.5555555555555558E-3</v>
      </c>
      <c r="D21" s="54">
        <v>0.33749999999999997</v>
      </c>
      <c r="E21" s="54">
        <v>0.65486111111111112</v>
      </c>
      <c r="F21" s="54">
        <v>9.5138888888888884E-2</v>
      </c>
      <c r="G21" s="54">
        <v>0.40069444444444446</v>
      </c>
      <c r="H21" s="54">
        <v>0.68472222222222223</v>
      </c>
      <c r="I21" s="54">
        <v>4.7222222222222221E-2</v>
      </c>
      <c r="J21" s="54">
        <v>0.3972222222222222</v>
      </c>
      <c r="K21" s="54">
        <v>0.72569444444444453</v>
      </c>
      <c r="L21" s="54">
        <v>1.1111111111111112E-2</v>
      </c>
      <c r="M21" s="54">
        <v>0.27569444444444446</v>
      </c>
      <c r="N21" s="54">
        <v>0.52638888888888891</v>
      </c>
      <c r="O21" s="54">
        <v>0.85416666666666663</v>
      </c>
      <c r="P21" s="54">
        <v>0.14583333333333334</v>
      </c>
      <c r="Q21" s="54">
        <v>0.4145833333333333</v>
      </c>
      <c r="R21" s="54">
        <v>0.68263888888888891</v>
      </c>
      <c r="S21" s="54">
        <v>2.4999999999999998E-2</v>
      </c>
      <c r="T21" s="54">
        <v>0.2902777777777778</v>
      </c>
      <c r="U21" s="54">
        <v>0.60972222222222217</v>
      </c>
      <c r="V21" s="54">
        <v>0.86388888888888893</v>
      </c>
      <c r="W21" s="54">
        <v>9.8611111111111108E-2</v>
      </c>
      <c r="X21" s="54">
        <v>0.35555555555555557</v>
      </c>
      <c r="Y21" s="54">
        <v>0.62708333333333333</v>
      </c>
      <c r="Z21" s="54">
        <v>0.1277777777777778</v>
      </c>
      <c r="AA21" s="54">
        <v>0.38750000000000001</v>
      </c>
      <c r="AB21" s="54">
        <v>0.6381944444444444</v>
      </c>
      <c r="AC21" s="54">
        <v>0.88611111111111107</v>
      </c>
      <c r="AD21" s="54">
        <v>0.1361111111111111</v>
      </c>
      <c r="AE21" s="54">
        <v>0.3972222222222222</v>
      </c>
      <c r="AF21" s="54">
        <v>0.77708333333333324</v>
      </c>
      <c r="AG21" s="54">
        <v>2.4999999999999998E-2</v>
      </c>
      <c r="AH21" s="54">
        <v>0.3347222222222222</v>
      </c>
      <c r="AI21" s="54">
        <v>0.57361111111111118</v>
      </c>
      <c r="AJ21" s="54">
        <v>0.87708333333333333</v>
      </c>
      <c r="AK21" s="54">
        <v>0.20833333333333334</v>
      </c>
      <c r="AL21" s="54">
        <v>0.48125000000000001</v>
      </c>
      <c r="AM21" s="54">
        <v>0.76250000000000007</v>
      </c>
      <c r="AN21" s="54">
        <v>6.3888888888888884E-2</v>
      </c>
      <c r="AO21" s="54">
        <v>0.30555555555555552</v>
      </c>
      <c r="AP21" s="54">
        <v>0.57013888888888886</v>
      </c>
      <c r="AQ21" s="54">
        <v>0.83958333333333324</v>
      </c>
      <c r="AR21" s="54">
        <v>8.4722222222222213E-2</v>
      </c>
      <c r="AS21" s="54">
        <v>0.40277777777777773</v>
      </c>
      <c r="AT21" s="54">
        <v>0.66736111111111107</v>
      </c>
      <c r="AU21" s="54">
        <v>0.91041666666666676</v>
      </c>
      <c r="AV21" s="54">
        <v>0.14305555555555557</v>
      </c>
      <c r="AW21" s="54">
        <v>0.42986111111111108</v>
      </c>
      <c r="AX21" s="54">
        <v>0.72083333333333333</v>
      </c>
      <c r="AY21" s="54">
        <v>9.0277777777777787E-3</v>
      </c>
      <c r="AZ21" s="54">
        <v>0.24444444444444446</v>
      </c>
      <c r="BA21" s="54">
        <v>0.45416666666666666</v>
      </c>
      <c r="BB21" s="54">
        <v>0.70000000000000007</v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2"/>
    </row>
    <row r="22" spans="1:78" ht="15" thickBot="1" x14ac:dyDescent="0.4">
      <c r="A22" s="56" t="s">
        <v>29</v>
      </c>
      <c r="B22" s="57">
        <f t="shared" ref="B22:B31" si="0">IF(C22="","",AVERAGE(C22:BY22))</f>
        <v>0.13966346153846151</v>
      </c>
      <c r="C22" s="58">
        <v>0.1381944444444444</v>
      </c>
      <c r="D22" s="59">
        <v>0.12916666666666662</v>
      </c>
      <c r="E22" s="59">
        <v>0.12777777777777777</v>
      </c>
      <c r="F22" s="59">
        <v>0.18472222222222212</v>
      </c>
      <c r="G22" s="59">
        <v>0.12986111111111115</v>
      </c>
      <c r="H22" s="59">
        <v>0.14097222222222217</v>
      </c>
      <c r="I22" s="59">
        <v>0.18472222222222223</v>
      </c>
      <c r="J22" s="59">
        <v>0.20555555555555555</v>
      </c>
      <c r="K22" s="59">
        <v>0.17291666666666672</v>
      </c>
      <c r="L22" s="59">
        <v>0.13611111111111107</v>
      </c>
      <c r="M22" s="59">
        <v>0.13055555555555556</v>
      </c>
      <c r="N22" s="59">
        <v>0.13125000000000003</v>
      </c>
      <c r="O22" s="59">
        <v>0.13055555555555554</v>
      </c>
      <c r="P22" s="59">
        <v>0.12708333333333335</v>
      </c>
      <c r="Q22" s="59">
        <v>0.13472222222222219</v>
      </c>
      <c r="R22" s="59">
        <v>0.13680555555555562</v>
      </c>
      <c r="S22" s="59">
        <v>0.22986111111111118</v>
      </c>
      <c r="T22" s="59">
        <v>0.12916666666666668</v>
      </c>
      <c r="U22" s="59">
        <v>0.12986111111111104</v>
      </c>
      <c r="V22" s="59">
        <v>0.13680555555555562</v>
      </c>
      <c r="W22" s="59">
        <v>0.12708333333333333</v>
      </c>
      <c r="X22" s="59">
        <v>0.1277777777777778</v>
      </c>
      <c r="Y22" s="59">
        <v>0.15833333333333333</v>
      </c>
      <c r="Z22" s="59">
        <v>0.12638888888888891</v>
      </c>
      <c r="AA22" s="59">
        <v>0.125</v>
      </c>
      <c r="AB22" s="59">
        <v>0.13055555555555554</v>
      </c>
      <c r="AC22" s="59">
        <v>0.13472222222222208</v>
      </c>
      <c r="AD22" s="59">
        <v>0.12916666666666665</v>
      </c>
      <c r="AE22" s="59">
        <v>0.12430555555555556</v>
      </c>
      <c r="AF22" s="59">
        <v>0.12708333333333321</v>
      </c>
      <c r="AG22" s="59">
        <v>0.12777777777777777</v>
      </c>
      <c r="AH22" s="59">
        <v>0.17777777777777776</v>
      </c>
      <c r="AI22" s="59">
        <v>0.1256944444444445</v>
      </c>
      <c r="AJ22" s="59">
        <v>0.12708333333333333</v>
      </c>
      <c r="AK22" s="59">
        <v>0.16875000000000001</v>
      </c>
      <c r="AL22" s="59">
        <v>0.12708333333333333</v>
      </c>
      <c r="AM22" s="59">
        <v>0.15138888888888902</v>
      </c>
      <c r="AN22" s="59">
        <v>0.12499999999999989</v>
      </c>
      <c r="AO22" s="59">
        <v>0.12499999999999997</v>
      </c>
      <c r="AP22" s="59">
        <v>0.12430555555555556</v>
      </c>
      <c r="AQ22" s="59">
        <v>0.13124999999999987</v>
      </c>
      <c r="AR22" s="59">
        <v>0.13958333333333339</v>
      </c>
      <c r="AS22" s="59">
        <v>0.15694444444444439</v>
      </c>
      <c r="AT22" s="59">
        <v>0.12847222222222221</v>
      </c>
      <c r="AU22" s="59">
        <v>0.13680555555555562</v>
      </c>
      <c r="AV22" s="59">
        <v>0.12361111111111113</v>
      </c>
      <c r="AW22" s="59">
        <v>0.12361111111111112</v>
      </c>
      <c r="AX22" s="59">
        <v>0.12916666666666665</v>
      </c>
      <c r="AY22" s="59">
        <v>0.16249999999999998</v>
      </c>
      <c r="AZ22" s="59">
        <v>0.12222222222222223</v>
      </c>
      <c r="BA22" s="59">
        <v>0.12569444444444444</v>
      </c>
      <c r="BB22" s="59">
        <v>0.12569444444444455</v>
      </c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2"/>
    </row>
    <row r="23" spans="1:78" x14ac:dyDescent="0.35">
      <c r="A23" s="60" t="s">
        <v>30</v>
      </c>
      <c r="B23" s="61">
        <f t="shared" si="0"/>
        <v>68.254791666666662</v>
      </c>
      <c r="C23" s="62">
        <v>69</v>
      </c>
      <c r="D23" s="63">
        <v>70.5</v>
      </c>
      <c r="E23" s="63">
        <v>69.7</v>
      </c>
      <c r="F23" s="63">
        <v>70</v>
      </c>
      <c r="G23" s="63">
        <v>69.7</v>
      </c>
      <c r="H23" s="63">
        <v>62.8</v>
      </c>
      <c r="I23" s="63">
        <v>64.8</v>
      </c>
      <c r="J23" s="63">
        <v>58.4</v>
      </c>
      <c r="K23" s="63">
        <v>64.5</v>
      </c>
      <c r="L23" s="63">
        <v>65.900000000000006</v>
      </c>
      <c r="M23" s="63">
        <v>69.8</v>
      </c>
      <c r="N23" s="63">
        <v>68.8</v>
      </c>
      <c r="O23" s="63">
        <v>69</v>
      </c>
      <c r="P23" s="63">
        <v>69.599999999999994</v>
      </c>
      <c r="Q23" s="63">
        <v>70.3</v>
      </c>
      <c r="R23" s="63">
        <v>68.599999999999994</v>
      </c>
      <c r="S23" s="63">
        <v>67.599999999999994</v>
      </c>
      <c r="T23" s="63">
        <v>69.8</v>
      </c>
      <c r="U23" s="63">
        <v>68.7</v>
      </c>
      <c r="V23" s="63">
        <v>65</v>
      </c>
      <c r="W23" s="63">
        <v>69.7</v>
      </c>
      <c r="X23" s="63">
        <v>69.400000000000006</v>
      </c>
      <c r="Y23" s="63">
        <v>68.3</v>
      </c>
      <c r="Z23" s="63">
        <v>69.8</v>
      </c>
      <c r="AA23" s="63">
        <v>70.599999999999994</v>
      </c>
      <c r="AB23" s="63">
        <v>67.462499999999991</v>
      </c>
      <c r="AC23" s="63">
        <v>65.599999999999994</v>
      </c>
      <c r="AD23" s="63">
        <v>70.3</v>
      </c>
      <c r="AE23" s="63">
        <v>70.599999999999994</v>
      </c>
      <c r="AF23" s="63">
        <v>69.599999999999994</v>
      </c>
      <c r="AG23" s="63">
        <v>69.2</v>
      </c>
      <c r="AH23" s="63">
        <v>66.69</v>
      </c>
      <c r="AI23" s="63">
        <v>69.8</v>
      </c>
      <c r="AJ23" s="63">
        <v>69.7</v>
      </c>
      <c r="AK23" s="63">
        <v>69.566666666666663</v>
      </c>
      <c r="AL23" s="63">
        <v>68.3</v>
      </c>
      <c r="AM23" s="63">
        <v>66.099999999999994</v>
      </c>
      <c r="AN23" s="63">
        <v>69.3</v>
      </c>
      <c r="AO23" s="63">
        <v>69.7</v>
      </c>
      <c r="AP23" s="63">
        <v>69.61</v>
      </c>
      <c r="AQ23" s="63">
        <v>65</v>
      </c>
      <c r="AR23" s="63">
        <v>68</v>
      </c>
      <c r="AS23" s="63">
        <v>69.400000000000006</v>
      </c>
      <c r="AT23" s="63">
        <v>67.2</v>
      </c>
      <c r="AU23" s="63">
        <v>64.2</v>
      </c>
      <c r="AV23" s="63">
        <v>70</v>
      </c>
      <c r="AW23" s="63">
        <v>69.98</v>
      </c>
      <c r="AX23" s="63">
        <v>66.3</v>
      </c>
      <c r="AY23" s="63">
        <v>70</v>
      </c>
      <c r="AZ23" s="63">
        <v>69.540000000000006</v>
      </c>
      <c r="BA23" s="63">
        <v>69.5</v>
      </c>
      <c r="BB23" s="63">
        <v>68.3</v>
      </c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4"/>
    </row>
    <row r="24" spans="1:78" x14ac:dyDescent="0.35">
      <c r="A24" s="65" t="s">
        <v>31</v>
      </c>
      <c r="B24" s="66">
        <f t="shared" si="0"/>
        <v>11023.733173076924</v>
      </c>
      <c r="C24" s="67">
        <v>11467</v>
      </c>
      <c r="D24" s="68">
        <v>10775</v>
      </c>
      <c r="E24" s="68">
        <v>10226</v>
      </c>
      <c r="F24" s="68">
        <v>10144</v>
      </c>
      <c r="G24" s="68">
        <v>11279</v>
      </c>
      <c r="H24" s="68">
        <v>10875</v>
      </c>
      <c r="I24" s="68">
        <v>11465</v>
      </c>
      <c r="J24" s="68">
        <v>11855</v>
      </c>
      <c r="K24" s="68">
        <v>11147</v>
      </c>
      <c r="L24" s="68">
        <v>11833</v>
      </c>
      <c r="M24" s="68">
        <v>11316</v>
      </c>
      <c r="N24" s="68">
        <v>11768</v>
      </c>
      <c r="O24" s="68">
        <v>11672</v>
      </c>
      <c r="P24" s="68">
        <v>11766</v>
      </c>
      <c r="Q24" s="68">
        <v>11168</v>
      </c>
      <c r="R24" s="68">
        <v>11439</v>
      </c>
      <c r="S24" s="68">
        <v>11692</v>
      </c>
      <c r="T24" s="68">
        <v>11468</v>
      </c>
      <c r="U24" s="68">
        <v>10952</v>
      </c>
      <c r="V24" s="68">
        <v>11075</v>
      </c>
      <c r="W24" s="68">
        <v>11479</v>
      </c>
      <c r="X24" s="68">
        <v>11442</v>
      </c>
      <c r="Y24" s="68">
        <v>11360</v>
      </c>
      <c r="Z24" s="68">
        <v>11477</v>
      </c>
      <c r="AA24" s="68">
        <v>11310</v>
      </c>
      <c r="AB24" s="68">
        <v>10856.125</v>
      </c>
      <c r="AC24" s="68">
        <v>11140</v>
      </c>
      <c r="AD24" s="68">
        <v>11306</v>
      </c>
      <c r="AE24" s="68">
        <v>11418</v>
      </c>
      <c r="AF24" s="68">
        <v>11749</v>
      </c>
      <c r="AG24" s="68">
        <v>11580</v>
      </c>
      <c r="AH24" s="68">
        <v>11057.5</v>
      </c>
      <c r="AI24" s="68">
        <v>11252</v>
      </c>
      <c r="AJ24" s="68">
        <v>11225</v>
      </c>
      <c r="AK24" s="68">
        <v>10527.5</v>
      </c>
      <c r="AL24" s="68">
        <v>10303</v>
      </c>
      <c r="AM24" s="68">
        <v>10364</v>
      </c>
      <c r="AN24" s="68">
        <v>10907</v>
      </c>
      <c r="AO24" s="68">
        <v>11026</v>
      </c>
      <c r="AP24" s="68">
        <v>10595</v>
      </c>
      <c r="AQ24" s="68">
        <v>10268</v>
      </c>
      <c r="AR24" s="68">
        <v>10940</v>
      </c>
      <c r="AS24" s="68">
        <v>10236</v>
      </c>
      <c r="AT24" s="68">
        <v>10406</v>
      </c>
      <c r="AU24" s="68">
        <v>10386</v>
      </c>
      <c r="AV24" s="68">
        <v>10534</v>
      </c>
      <c r="AW24" s="68">
        <v>10375</v>
      </c>
      <c r="AX24" s="68">
        <v>10600</v>
      </c>
      <c r="AY24" s="68">
        <v>10595</v>
      </c>
      <c r="AZ24" s="68">
        <v>10364</v>
      </c>
      <c r="BA24" s="68">
        <v>10316</v>
      </c>
      <c r="BB24" s="68">
        <v>10458</v>
      </c>
      <c r="BC24" s="68"/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8"/>
      <c r="BY24" s="68"/>
      <c r="BZ24" s="69"/>
    </row>
    <row r="25" spans="1:78" x14ac:dyDescent="0.35">
      <c r="A25" s="70" t="s">
        <v>32</v>
      </c>
      <c r="B25" s="71">
        <f t="shared" si="0"/>
        <v>70.175576923076932</v>
      </c>
      <c r="C25" s="72">
        <v>70.900000000000006</v>
      </c>
      <c r="D25" s="73">
        <v>71.099999999999994</v>
      </c>
      <c r="E25" s="73">
        <v>70.400000000000006</v>
      </c>
      <c r="F25" s="73">
        <v>71.3</v>
      </c>
      <c r="G25" s="73">
        <v>71.599999999999994</v>
      </c>
      <c r="H25" s="73">
        <v>67.7</v>
      </c>
      <c r="I25" s="73">
        <v>68.099999999999994</v>
      </c>
      <c r="J25" s="73">
        <v>67.2</v>
      </c>
      <c r="K25" s="73">
        <v>70</v>
      </c>
      <c r="L25" s="73">
        <v>68.8</v>
      </c>
      <c r="M25" s="73">
        <v>70.8</v>
      </c>
      <c r="N25" s="73">
        <v>70.599999999999994</v>
      </c>
      <c r="O25" s="73">
        <v>70.400000000000006</v>
      </c>
      <c r="P25" s="73">
        <v>70.7</v>
      </c>
      <c r="Q25" s="73">
        <v>70.8</v>
      </c>
      <c r="R25" s="73">
        <v>70</v>
      </c>
      <c r="S25" s="73">
        <v>69.599999999999994</v>
      </c>
      <c r="T25" s="73">
        <v>71</v>
      </c>
      <c r="U25" s="73">
        <v>70.7</v>
      </c>
      <c r="V25" s="73">
        <v>68</v>
      </c>
      <c r="W25" s="73">
        <v>71.2</v>
      </c>
      <c r="X25" s="73">
        <v>70.400000000000006</v>
      </c>
      <c r="Y25" s="73">
        <v>70.7</v>
      </c>
      <c r="Z25" s="73">
        <v>70.5</v>
      </c>
      <c r="AA25" s="73">
        <v>71</v>
      </c>
      <c r="AB25" s="73">
        <v>70.599999999999994</v>
      </c>
      <c r="AC25" s="73">
        <v>66.400000000000006</v>
      </c>
      <c r="AD25" s="73">
        <v>71.099999999999994</v>
      </c>
      <c r="AE25" s="73">
        <v>71</v>
      </c>
      <c r="AF25" s="73">
        <v>70.900000000000006</v>
      </c>
      <c r="AG25" s="73">
        <v>70.7</v>
      </c>
      <c r="AH25" s="73">
        <v>70.8</v>
      </c>
      <c r="AI25" s="73">
        <v>71</v>
      </c>
      <c r="AJ25" s="73">
        <v>70.599999999999994</v>
      </c>
      <c r="AK25" s="73">
        <v>70.900000000000006</v>
      </c>
      <c r="AL25" s="73">
        <v>70.8</v>
      </c>
      <c r="AM25" s="73">
        <v>67.7</v>
      </c>
      <c r="AN25" s="73">
        <v>71</v>
      </c>
      <c r="AO25" s="73">
        <v>70</v>
      </c>
      <c r="AP25" s="73">
        <v>70.900000000000006</v>
      </c>
      <c r="AQ25" s="73">
        <v>70.3</v>
      </c>
      <c r="AR25" s="73">
        <v>70</v>
      </c>
      <c r="AS25" s="73">
        <v>71</v>
      </c>
      <c r="AT25" s="73">
        <v>71.099999999999994</v>
      </c>
      <c r="AU25" s="73">
        <v>66</v>
      </c>
      <c r="AV25" s="73">
        <v>70.5</v>
      </c>
      <c r="AW25" s="73">
        <v>70.95</v>
      </c>
      <c r="AX25" s="73">
        <v>71</v>
      </c>
      <c r="AY25" s="73">
        <v>71.099999999999994</v>
      </c>
      <c r="AZ25" s="73">
        <v>70.28</v>
      </c>
      <c r="BA25" s="73">
        <v>70</v>
      </c>
      <c r="BB25" s="73">
        <v>69</v>
      </c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64"/>
    </row>
    <row r="26" spans="1:78" ht="15" thickBot="1" x14ac:dyDescent="0.4">
      <c r="A26" s="74" t="s">
        <v>33</v>
      </c>
      <c r="B26" s="75">
        <f t="shared" si="0"/>
        <v>11865.76923076923</v>
      </c>
      <c r="C26" s="76">
        <v>11990</v>
      </c>
      <c r="D26" s="77">
        <v>12080</v>
      </c>
      <c r="E26" s="77">
        <v>10870</v>
      </c>
      <c r="F26" s="77">
        <v>11330</v>
      </c>
      <c r="G26" s="77">
        <v>11590</v>
      </c>
      <c r="H26" s="77">
        <v>12200</v>
      </c>
      <c r="I26" s="77">
        <v>12190</v>
      </c>
      <c r="J26" s="77">
        <v>12260</v>
      </c>
      <c r="K26" s="77">
        <v>12000</v>
      </c>
      <c r="L26" s="77">
        <v>12160</v>
      </c>
      <c r="M26" s="77">
        <v>12170</v>
      </c>
      <c r="N26" s="77">
        <v>12110</v>
      </c>
      <c r="O26" s="77">
        <v>12000</v>
      </c>
      <c r="P26" s="77">
        <v>12140</v>
      </c>
      <c r="Q26" s="77">
        <v>11950</v>
      </c>
      <c r="R26" s="77">
        <v>11990</v>
      </c>
      <c r="S26" s="77">
        <v>12070</v>
      </c>
      <c r="T26" s="77">
        <v>12160</v>
      </c>
      <c r="U26" s="77">
        <v>12010</v>
      </c>
      <c r="V26" s="77">
        <v>11880</v>
      </c>
      <c r="W26" s="77">
        <v>11930</v>
      </c>
      <c r="X26" s="77">
        <v>12080</v>
      </c>
      <c r="Y26" s="77">
        <v>12150</v>
      </c>
      <c r="Z26" s="77">
        <v>11940</v>
      </c>
      <c r="AA26" s="77">
        <v>12060</v>
      </c>
      <c r="AB26" s="77">
        <v>12170</v>
      </c>
      <c r="AC26" s="77">
        <v>11960</v>
      </c>
      <c r="AD26" s="77">
        <v>12050</v>
      </c>
      <c r="AE26" s="77">
        <v>12160</v>
      </c>
      <c r="AF26" s="77">
        <v>12270</v>
      </c>
      <c r="AG26" s="77">
        <v>11990</v>
      </c>
      <c r="AH26" s="77">
        <v>11960</v>
      </c>
      <c r="AI26" s="77">
        <v>12070</v>
      </c>
      <c r="AJ26" s="77">
        <v>12020</v>
      </c>
      <c r="AK26" s="77">
        <v>11980</v>
      </c>
      <c r="AL26" s="77">
        <v>11740</v>
      </c>
      <c r="AM26" s="77">
        <v>11520</v>
      </c>
      <c r="AN26" s="77">
        <v>11870</v>
      </c>
      <c r="AO26" s="77">
        <v>11880</v>
      </c>
      <c r="AP26" s="77">
        <v>12140</v>
      </c>
      <c r="AQ26" s="77">
        <v>12150</v>
      </c>
      <c r="AR26" s="77">
        <v>12090</v>
      </c>
      <c r="AS26" s="77">
        <v>10890</v>
      </c>
      <c r="AT26" s="77">
        <v>11670</v>
      </c>
      <c r="AU26" s="77">
        <v>10920</v>
      </c>
      <c r="AV26" s="77">
        <v>11360</v>
      </c>
      <c r="AW26" s="77">
        <v>11530</v>
      </c>
      <c r="AX26" s="77">
        <v>11290</v>
      </c>
      <c r="AY26" s="77">
        <v>10860</v>
      </c>
      <c r="AZ26" s="77">
        <v>11900</v>
      </c>
      <c r="BA26" s="77">
        <v>12060</v>
      </c>
      <c r="BB26" s="77">
        <v>11210</v>
      </c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77"/>
      <c r="BX26" s="77"/>
      <c r="BY26" s="77"/>
      <c r="BZ26" s="64"/>
    </row>
    <row r="27" spans="1:78" x14ac:dyDescent="0.35">
      <c r="A27" s="78" t="s">
        <v>34</v>
      </c>
      <c r="B27" s="79">
        <f t="shared" si="0"/>
        <v>6049.6346153846152</v>
      </c>
      <c r="C27" s="80">
        <v>5620</v>
      </c>
      <c r="D27" s="81">
        <v>5420</v>
      </c>
      <c r="E27" s="81">
        <v>5390</v>
      </c>
      <c r="F27" s="81">
        <v>5950</v>
      </c>
      <c r="G27" s="81">
        <v>5720</v>
      </c>
      <c r="H27" s="81">
        <v>5890</v>
      </c>
      <c r="I27" s="81">
        <v>5870</v>
      </c>
      <c r="J27" s="81">
        <v>5940</v>
      </c>
      <c r="K27" s="81">
        <v>5960</v>
      </c>
      <c r="L27" s="81">
        <v>6100</v>
      </c>
      <c r="M27" s="81">
        <v>6240</v>
      </c>
      <c r="N27" s="81">
        <v>6050</v>
      </c>
      <c r="O27" s="81">
        <v>6110</v>
      </c>
      <c r="P27" s="81">
        <v>6060</v>
      </c>
      <c r="Q27" s="81">
        <v>6170</v>
      </c>
      <c r="R27" s="81">
        <v>6010</v>
      </c>
      <c r="S27" s="81">
        <v>6060</v>
      </c>
      <c r="T27" s="81">
        <v>6260</v>
      </c>
      <c r="U27" s="81">
        <v>6420</v>
      </c>
      <c r="V27" s="81">
        <v>6000</v>
      </c>
      <c r="W27" s="81">
        <v>6220</v>
      </c>
      <c r="X27" s="81">
        <v>6230</v>
      </c>
      <c r="Y27" s="81">
        <v>6170</v>
      </c>
      <c r="Z27" s="81">
        <v>6140</v>
      </c>
      <c r="AA27" s="81">
        <v>6130</v>
      </c>
      <c r="AB27" s="81">
        <v>6260</v>
      </c>
      <c r="AC27" s="81">
        <v>6100</v>
      </c>
      <c r="AD27" s="81">
        <v>6140</v>
      </c>
      <c r="AE27" s="81">
        <v>6240</v>
      </c>
      <c r="AF27" s="81">
        <v>6110</v>
      </c>
      <c r="AG27" s="81">
        <v>6050</v>
      </c>
      <c r="AH27" s="81">
        <v>6060</v>
      </c>
      <c r="AI27" s="81">
        <v>6177</v>
      </c>
      <c r="AJ27" s="81">
        <v>6140</v>
      </c>
      <c r="AK27" s="81">
        <v>6150</v>
      </c>
      <c r="AL27" s="81">
        <v>6093</v>
      </c>
      <c r="AM27" s="81">
        <v>5980</v>
      </c>
      <c r="AN27" s="81">
        <v>6080</v>
      </c>
      <c r="AO27" s="81">
        <v>6031</v>
      </c>
      <c r="AP27" s="81">
        <v>6210</v>
      </c>
      <c r="AQ27" s="81">
        <v>6087</v>
      </c>
      <c r="AR27" s="81">
        <v>6043</v>
      </c>
      <c r="AS27" s="81">
        <v>5950</v>
      </c>
      <c r="AT27" s="81">
        <v>6050</v>
      </c>
      <c r="AU27" s="81">
        <v>6010</v>
      </c>
      <c r="AV27" s="81">
        <v>6110</v>
      </c>
      <c r="AW27" s="81">
        <v>6170</v>
      </c>
      <c r="AX27" s="81">
        <v>6000</v>
      </c>
      <c r="AY27" s="81">
        <v>6040</v>
      </c>
      <c r="AZ27" s="81">
        <v>6160</v>
      </c>
      <c r="BA27" s="81">
        <v>5980</v>
      </c>
      <c r="BB27" s="81">
        <v>6030</v>
      </c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64"/>
    </row>
    <row r="28" spans="1:78" x14ac:dyDescent="0.35">
      <c r="A28" s="82" t="s">
        <v>35</v>
      </c>
      <c r="B28" s="83">
        <f t="shared" si="0"/>
        <v>0.92247528785655319</v>
      </c>
      <c r="C28" s="84">
        <v>0.88620222777106006</v>
      </c>
      <c r="D28" s="84">
        <v>0.87025587419354833</v>
      </c>
      <c r="E28" s="84">
        <v>0.86780146755100396</v>
      </c>
      <c r="F28" s="84">
        <v>0.91307521550250037</v>
      </c>
      <c r="G28" s="84">
        <v>0.89456105208518188</v>
      </c>
      <c r="H28" s="84">
        <v>0.908120796637368</v>
      </c>
      <c r="I28" s="84">
        <v>0.90650802347391346</v>
      </c>
      <c r="J28" s="84">
        <v>0.91219135806451612</v>
      </c>
      <c r="K28" s="84">
        <v>0.9139593581477895</v>
      </c>
      <c r="L28" s="84">
        <v>0.9251342592870393</v>
      </c>
      <c r="M28" s="84">
        <v>0.9365066840929257</v>
      </c>
      <c r="N28" s="84">
        <v>0.92123078926048663</v>
      </c>
      <c r="O28" s="84">
        <v>0.92594077594160817</v>
      </c>
      <c r="P28" s="84">
        <v>0.92194761427649619</v>
      </c>
      <c r="Q28" s="84">
        <v>0.93057928703643977</v>
      </c>
      <c r="R28" s="84">
        <v>0.9176411636839984</v>
      </c>
      <c r="S28" s="84">
        <v>0.9218687774193548</v>
      </c>
      <c r="T28" s="84">
        <v>0.93795710016127731</v>
      </c>
      <c r="U28" s="84">
        <v>0.95110988660750284</v>
      </c>
      <c r="V28" s="84">
        <v>0.91726431219945148</v>
      </c>
      <c r="W28" s="84">
        <v>0.93501483664676466</v>
      </c>
      <c r="X28" s="84">
        <v>0.93586223886871622</v>
      </c>
      <c r="Y28" s="84">
        <v>0.93110115471713328</v>
      </c>
      <c r="Z28" s="84">
        <v>0.92864005545513229</v>
      </c>
      <c r="AA28" s="84">
        <v>0.92787300525381311</v>
      </c>
      <c r="AB28" s="84">
        <v>0.93840526626311549</v>
      </c>
      <c r="AC28" s="84">
        <v>0.92573015943152448</v>
      </c>
      <c r="AD28" s="84">
        <v>0.9291203277867528</v>
      </c>
      <c r="AE28" s="84">
        <v>0.93732004368586896</v>
      </c>
      <c r="AF28" s="84">
        <v>0.92697628257496156</v>
      </c>
      <c r="AG28" s="84">
        <v>0.92224559959579633</v>
      </c>
      <c r="AH28" s="84">
        <v>0.92325210444803885</v>
      </c>
      <c r="AI28" s="84">
        <v>0.93291638155339807</v>
      </c>
      <c r="AJ28" s="84">
        <v>0.92996304853952583</v>
      </c>
      <c r="AK28" s="84">
        <v>0.9308929944642278</v>
      </c>
      <c r="AL28" s="84">
        <v>0.92635968280718795</v>
      </c>
      <c r="AM28" s="84">
        <v>0.91736962631578955</v>
      </c>
      <c r="AN28" s="84">
        <v>0.92570608639014895</v>
      </c>
      <c r="AO28" s="84">
        <v>0.92189491847649907</v>
      </c>
      <c r="AP28" s="84">
        <v>0.93660458034049465</v>
      </c>
      <c r="AQ28" s="84">
        <v>0.92695321048917001</v>
      </c>
      <c r="AR28" s="84">
        <v>0.92338380998620906</v>
      </c>
      <c r="AS28" s="84">
        <v>0.91638820744741323</v>
      </c>
      <c r="AT28" s="84">
        <v>0.92514901623973322</v>
      </c>
      <c r="AU28" s="84">
        <v>0.9219359379960963</v>
      </c>
      <c r="AV28" s="84">
        <v>0.93031125622457278</v>
      </c>
      <c r="AW28" s="84">
        <v>0.93523412644641535</v>
      </c>
      <c r="AX28" s="84">
        <v>0.92159934747639205</v>
      </c>
      <c r="AY28" s="84">
        <v>0.92509589752402666</v>
      </c>
      <c r="AZ28" s="84">
        <v>0.93486947628278216</v>
      </c>
      <c r="BA28" s="84">
        <v>0.9202487798892236</v>
      </c>
      <c r="BB28" s="84">
        <v>0.92444148553038941</v>
      </c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  <c r="BS28" s="84"/>
      <c r="BT28" s="84"/>
      <c r="BU28" s="84"/>
      <c r="BV28" s="84"/>
      <c r="BW28" s="84"/>
      <c r="BX28" s="84"/>
      <c r="BY28" s="84"/>
      <c r="BZ28" s="64"/>
    </row>
    <row r="29" spans="1:78" x14ac:dyDescent="0.35">
      <c r="A29" s="85" t="s">
        <v>36</v>
      </c>
      <c r="B29" s="86">
        <f t="shared" si="0"/>
        <v>55</v>
      </c>
      <c r="C29" s="87">
        <v>55</v>
      </c>
      <c r="D29" s="88">
        <v>55</v>
      </c>
      <c r="E29" s="88">
        <v>55</v>
      </c>
      <c r="F29" s="88">
        <v>55</v>
      </c>
      <c r="G29" s="88">
        <v>55</v>
      </c>
      <c r="H29" s="88">
        <v>55</v>
      </c>
      <c r="I29" s="88">
        <v>55</v>
      </c>
      <c r="J29" s="88">
        <v>55</v>
      </c>
      <c r="K29" s="88">
        <v>55</v>
      </c>
      <c r="L29" s="88">
        <v>55</v>
      </c>
      <c r="M29" s="88">
        <v>55</v>
      </c>
      <c r="N29" s="88">
        <v>55</v>
      </c>
      <c r="O29" s="88">
        <v>55</v>
      </c>
      <c r="P29" s="88">
        <v>55</v>
      </c>
      <c r="Q29" s="88">
        <v>55</v>
      </c>
      <c r="R29" s="88">
        <v>55</v>
      </c>
      <c r="S29" s="88">
        <v>55</v>
      </c>
      <c r="T29" s="88">
        <v>55</v>
      </c>
      <c r="U29" s="88">
        <v>55</v>
      </c>
      <c r="V29" s="88">
        <v>55</v>
      </c>
      <c r="W29" s="88">
        <v>55</v>
      </c>
      <c r="X29" s="88">
        <v>55</v>
      </c>
      <c r="Y29" s="88">
        <v>55</v>
      </c>
      <c r="Z29" s="88">
        <v>55</v>
      </c>
      <c r="AA29" s="88">
        <v>55</v>
      </c>
      <c r="AB29" s="88">
        <v>55</v>
      </c>
      <c r="AC29" s="88">
        <v>55</v>
      </c>
      <c r="AD29" s="88">
        <v>55</v>
      </c>
      <c r="AE29" s="88">
        <v>55</v>
      </c>
      <c r="AF29" s="88">
        <v>55</v>
      </c>
      <c r="AG29" s="88">
        <v>55</v>
      </c>
      <c r="AH29" s="88">
        <v>55</v>
      </c>
      <c r="AI29" s="88">
        <v>55</v>
      </c>
      <c r="AJ29" s="88">
        <v>55</v>
      </c>
      <c r="AK29" s="88">
        <v>55</v>
      </c>
      <c r="AL29" s="88">
        <v>55</v>
      </c>
      <c r="AM29" s="88">
        <v>55</v>
      </c>
      <c r="AN29" s="88">
        <v>55</v>
      </c>
      <c r="AO29" s="88">
        <v>55</v>
      </c>
      <c r="AP29" s="88">
        <v>55</v>
      </c>
      <c r="AQ29" s="88">
        <v>55</v>
      </c>
      <c r="AR29" s="88">
        <v>55</v>
      </c>
      <c r="AS29" s="88">
        <v>55</v>
      </c>
      <c r="AT29" s="88">
        <v>55</v>
      </c>
      <c r="AU29" s="88">
        <v>55</v>
      </c>
      <c r="AV29" s="88">
        <v>55</v>
      </c>
      <c r="AW29" s="88">
        <v>55</v>
      </c>
      <c r="AX29" s="88">
        <v>55</v>
      </c>
      <c r="AY29" s="88">
        <v>55</v>
      </c>
      <c r="AZ29" s="88">
        <v>55</v>
      </c>
      <c r="BA29" s="88">
        <v>55</v>
      </c>
      <c r="BB29" s="88">
        <v>55</v>
      </c>
      <c r="BC29" s="88"/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88"/>
      <c r="BT29" s="88"/>
      <c r="BU29" s="88"/>
      <c r="BV29" s="88"/>
      <c r="BW29" s="88"/>
      <c r="BX29" s="88"/>
      <c r="BY29" s="88"/>
      <c r="BZ29" s="64"/>
    </row>
    <row r="30" spans="1:78" x14ac:dyDescent="0.35">
      <c r="A30" s="89" t="s">
        <v>37</v>
      </c>
      <c r="B30" s="90">
        <f t="shared" si="0"/>
        <v>18439.91822263661</v>
      </c>
      <c r="C30" s="91">
        <v>19392.720588235294</v>
      </c>
      <c r="D30" s="92">
        <v>18618.566176470591</v>
      </c>
      <c r="E30" s="92">
        <v>17469.416666666668</v>
      </c>
      <c r="F30" s="92">
        <v>17403.921568627451</v>
      </c>
      <c r="G30" s="92">
        <v>19268.291666666668</v>
      </c>
      <c r="H30" s="92">
        <v>16738.970588235294</v>
      </c>
      <c r="I30" s="92">
        <v>18209.117647058825</v>
      </c>
      <c r="J30" s="92">
        <v>16968.921568627451</v>
      </c>
      <c r="K30" s="92">
        <v>17622.095588235294</v>
      </c>
      <c r="L30" s="92">
        <v>19112.615196078434</v>
      </c>
      <c r="M30" s="92">
        <v>19359.235294117647</v>
      </c>
      <c r="N30" s="92">
        <v>19844.078431372553</v>
      </c>
      <c r="O30" s="92">
        <v>19739.411764705885</v>
      </c>
      <c r="P30" s="92">
        <v>20071.411764705885</v>
      </c>
      <c r="Q30" s="92">
        <v>19242.901960784315</v>
      </c>
      <c r="R30" s="92">
        <v>19233.220588235294</v>
      </c>
      <c r="S30" s="92">
        <v>19372.039215686276</v>
      </c>
      <c r="T30" s="92">
        <v>19619.274509803923</v>
      </c>
      <c r="U30" s="92">
        <v>18441.23529411765</v>
      </c>
      <c r="V30" s="92">
        <v>17643.995098039217</v>
      </c>
      <c r="W30" s="92">
        <v>19609.958333333336</v>
      </c>
      <c r="X30" s="92">
        <v>19462.617647058825</v>
      </c>
      <c r="Y30" s="92">
        <v>19016.862745098042</v>
      </c>
      <c r="Z30" s="92">
        <v>19634.671568627451</v>
      </c>
      <c r="AA30" s="92">
        <v>19570.735294117647</v>
      </c>
      <c r="AB30" s="92">
        <v>17950.522863051472</v>
      </c>
      <c r="AC30" s="92">
        <v>17911.372549019605</v>
      </c>
      <c r="AD30" s="92">
        <v>19480.681372549021</v>
      </c>
      <c r="AE30" s="92">
        <v>19757.617647058822</v>
      </c>
      <c r="AF30" s="92">
        <v>20042.411764705881</v>
      </c>
      <c r="AG30" s="92">
        <v>19640.588235294119</v>
      </c>
      <c r="AH30" s="92">
        <v>18074.134191176468</v>
      </c>
      <c r="AI30" s="92">
        <v>19249.745098039217</v>
      </c>
      <c r="AJ30" s="92">
        <v>19176.041666666668</v>
      </c>
      <c r="AK30" s="92">
        <v>17950.075571895424</v>
      </c>
      <c r="AL30" s="92">
        <v>17247.424019607846</v>
      </c>
      <c r="AM30" s="92">
        <v>16790.696078431371</v>
      </c>
      <c r="AN30" s="92">
        <v>18525.860294117647</v>
      </c>
      <c r="AO30" s="92">
        <v>18836.083333333336</v>
      </c>
      <c r="AP30" s="92">
        <v>18076.420343137255</v>
      </c>
      <c r="AQ30" s="92">
        <v>16358.333333333334</v>
      </c>
      <c r="AR30" s="92">
        <v>18233.333333333336</v>
      </c>
      <c r="AS30" s="92">
        <v>17411.23529411765</v>
      </c>
      <c r="AT30" s="92">
        <v>17139.294117647063</v>
      </c>
      <c r="AU30" s="92">
        <v>16342.676470588238</v>
      </c>
      <c r="AV30" s="92">
        <v>18073.039215686276</v>
      </c>
      <c r="AW30" s="92">
        <v>17795.159313725493</v>
      </c>
      <c r="AX30" s="92">
        <v>17225</v>
      </c>
      <c r="AY30" s="92">
        <v>18177.696078431374</v>
      </c>
      <c r="AZ30" s="92">
        <v>17664.523529411767</v>
      </c>
      <c r="BA30" s="92">
        <v>17572.598039215689</v>
      </c>
      <c r="BB30" s="92">
        <v>17506.897058823532</v>
      </c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64"/>
    </row>
    <row r="31" spans="1:78" ht="15" thickBot="1" x14ac:dyDescent="0.4">
      <c r="A31" s="93" t="s">
        <v>38</v>
      </c>
      <c r="B31" s="94" t="str">
        <f t="shared" si="0"/>
        <v/>
      </c>
      <c r="C31" s="95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7"/>
      <c r="BB31" s="97"/>
      <c r="BC31" s="97"/>
      <c r="BD31" s="97"/>
      <c r="BE31" s="97"/>
      <c r="BF31" s="97"/>
      <c r="BG31" s="97"/>
      <c r="BH31" s="97"/>
      <c r="BI31" s="97"/>
      <c r="BJ31" s="97"/>
      <c r="BK31" s="97"/>
      <c r="BL31" s="97"/>
      <c r="BM31" s="97"/>
      <c r="BN31" s="97"/>
      <c r="BO31" s="97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8"/>
    </row>
    <row r="32" spans="1:78" x14ac:dyDescent="0.35">
      <c r="A32" s="99" t="str">
        <f>IF('[8]Set Up'!E41=0,"",'[8]Set Up'!E41&amp;", bbl")</f>
        <v>15% HCl Acid, bbl</v>
      </c>
      <c r="B32" s="100">
        <f>IF(BZ32=0,"",AVERAGE(C32:BY32))</f>
        <v>29.101648351648354</v>
      </c>
      <c r="C32" s="101">
        <v>30.214285714285715</v>
      </c>
      <c r="D32" s="102">
        <v>29.642857142857142</v>
      </c>
      <c r="E32" s="102">
        <v>28.5</v>
      </c>
      <c r="F32" s="102">
        <v>29.785714285714285</v>
      </c>
      <c r="G32" s="102">
        <v>28.714285714285715</v>
      </c>
      <c r="H32" s="102">
        <v>27.69047619047619</v>
      </c>
      <c r="I32" s="102">
        <v>27.904761904761905</v>
      </c>
      <c r="J32" s="102">
        <v>27.38095238095238</v>
      </c>
      <c r="K32" s="102">
        <v>29.023809523809526</v>
      </c>
      <c r="L32" s="102">
        <v>30.214285714285715</v>
      </c>
      <c r="M32" s="102">
        <v>30.095238095238095</v>
      </c>
      <c r="N32" s="102">
        <v>29.261904761904763</v>
      </c>
      <c r="O32" s="102">
        <v>27.904761904761905</v>
      </c>
      <c r="P32" s="102">
        <v>30.595238095238095</v>
      </c>
      <c r="Q32" s="102">
        <v>28.333333333333332</v>
      </c>
      <c r="R32" s="102">
        <v>27.61904761904762</v>
      </c>
      <c r="S32" s="102">
        <v>29.142857142857142</v>
      </c>
      <c r="T32" s="102">
        <v>30.023809523809526</v>
      </c>
      <c r="U32" s="102">
        <v>30.214285714285715</v>
      </c>
      <c r="V32" s="102">
        <v>29.904761904761905</v>
      </c>
      <c r="W32" s="102">
        <v>28.833333333333332</v>
      </c>
      <c r="X32" s="102">
        <v>27.142857142857142</v>
      </c>
      <c r="Y32" s="102">
        <v>27.523809523809526</v>
      </c>
      <c r="Z32" s="102">
        <v>30.666666666666668</v>
      </c>
      <c r="AA32" s="102">
        <v>29.023809523809526</v>
      </c>
      <c r="AB32" s="102">
        <v>29.976190476190474</v>
      </c>
      <c r="AC32" s="102">
        <v>30.214285714285715</v>
      </c>
      <c r="AD32" s="102">
        <v>29.976190476190474</v>
      </c>
      <c r="AE32" s="102">
        <v>29.023809523809526</v>
      </c>
      <c r="AF32" s="102">
        <v>27.38095238095238</v>
      </c>
      <c r="AG32" s="102">
        <v>29.214285714285715</v>
      </c>
      <c r="AH32" s="102">
        <v>28.714285714285715</v>
      </c>
      <c r="AI32" s="102">
        <v>27.904761904761905</v>
      </c>
      <c r="AJ32" s="102">
        <v>29.285714285714285</v>
      </c>
      <c r="AK32" s="102">
        <v>30.095238095238095</v>
      </c>
      <c r="AL32" s="102">
        <v>30.214285714285715</v>
      </c>
      <c r="AM32" s="102">
        <v>29.785714285714285</v>
      </c>
      <c r="AN32" s="102">
        <v>28.714285714285715</v>
      </c>
      <c r="AO32" s="102">
        <v>30.023809523809526</v>
      </c>
      <c r="AP32" s="102">
        <v>29.285714285714285</v>
      </c>
      <c r="AQ32" s="102">
        <v>27.523809523809526</v>
      </c>
      <c r="AR32" s="102">
        <v>29.095238095238095</v>
      </c>
      <c r="AS32" s="102">
        <v>28.071428571428573</v>
      </c>
      <c r="AT32" s="102">
        <v>29.452380952380953</v>
      </c>
      <c r="AU32" s="102">
        <v>30.095238095238095</v>
      </c>
      <c r="AV32" s="102">
        <v>30.214285714285715</v>
      </c>
      <c r="AW32" s="102">
        <v>29.642857142857142</v>
      </c>
      <c r="AX32" s="102">
        <v>28.047619047619047</v>
      </c>
      <c r="AY32" s="102">
        <v>29.785714285714285</v>
      </c>
      <c r="AZ32" s="102">
        <v>28.714285714285715</v>
      </c>
      <c r="BA32" s="101">
        <v>28.071428571428573</v>
      </c>
      <c r="BB32" s="101">
        <v>29.404761904761905</v>
      </c>
      <c r="BC32" s="101"/>
      <c r="BD32" s="101"/>
      <c r="BE32" s="101"/>
      <c r="BF32" s="101"/>
      <c r="BG32" s="101"/>
      <c r="BH32" s="101"/>
      <c r="BI32" s="101"/>
      <c r="BJ32" s="101"/>
      <c r="BK32" s="101"/>
      <c r="BL32" s="101"/>
      <c r="BM32" s="101"/>
      <c r="BN32" s="101"/>
      <c r="BO32" s="101"/>
      <c r="BP32" s="101"/>
      <c r="BQ32" s="101"/>
      <c r="BR32" s="101"/>
      <c r="BS32" s="101"/>
      <c r="BT32" s="101"/>
      <c r="BU32" s="101"/>
      <c r="BV32" s="101"/>
      <c r="BW32" s="101"/>
      <c r="BX32" s="101"/>
      <c r="BY32" s="101"/>
      <c r="BZ32" s="103">
        <f t="shared" ref="BZ32:BZ58" si="1">SUM(C32:BY32)</f>
        <v>1513.2857142857144</v>
      </c>
    </row>
    <row r="33" spans="1:78" x14ac:dyDescent="0.35">
      <c r="A33" s="104" t="str">
        <f>IF('[8]Set Up'!E42=0,"",'[8]Set Up'!E42&amp;", bbl")</f>
        <v>Slickwater, bbl</v>
      </c>
      <c r="B33" s="105">
        <f>IF(BZ33=0,"",AVERAGE(C33:BY33))</f>
        <v>10885.635503663005</v>
      </c>
      <c r="C33" s="106">
        <v>10963.885714285712</v>
      </c>
      <c r="D33" s="107">
        <v>10839.800000000001</v>
      </c>
      <c r="E33" s="107">
        <v>10834.5</v>
      </c>
      <c r="F33" s="107">
        <v>13643.614285714284</v>
      </c>
      <c r="G33" s="107">
        <v>10846.699999999999</v>
      </c>
      <c r="H33" s="107">
        <v>10793.699999999999</v>
      </c>
      <c r="I33" s="107">
        <v>10767.095238095239</v>
      </c>
      <c r="J33" s="107">
        <v>10836.900000000001</v>
      </c>
      <c r="K33" s="107">
        <v>11231.276190476192</v>
      </c>
      <c r="L33" s="107">
        <v>10870.785714285714</v>
      </c>
      <c r="M33" s="107">
        <v>10865.40476190476</v>
      </c>
      <c r="N33" s="107">
        <v>10799.300000000001</v>
      </c>
      <c r="O33" s="107">
        <v>10752.695238095239</v>
      </c>
      <c r="P33" s="107">
        <v>10762.504761904762</v>
      </c>
      <c r="Q33" s="107">
        <v>10781.199999999999</v>
      </c>
      <c r="R33" s="107">
        <v>11030.9</v>
      </c>
      <c r="S33" s="107">
        <v>11099.757142857145</v>
      </c>
      <c r="T33" s="107">
        <v>10845.77619047619</v>
      </c>
      <c r="U33" s="107">
        <v>10724.3</v>
      </c>
      <c r="V33" s="107">
        <v>10936.495238095238</v>
      </c>
      <c r="W33" s="107">
        <v>10839.166666666666</v>
      </c>
      <c r="X33" s="107">
        <v>10731.899999999998</v>
      </c>
      <c r="Y33" s="107">
        <v>11246.599999999999</v>
      </c>
      <c r="Z33" s="107">
        <v>10806.233333333334</v>
      </c>
      <c r="AA33" s="107">
        <v>10805.199999999999</v>
      </c>
      <c r="AB33" s="107">
        <v>10795.699999999997</v>
      </c>
      <c r="AC33" s="107">
        <v>10788.185714285713</v>
      </c>
      <c r="AD33" s="107">
        <v>10872.523809523809</v>
      </c>
      <c r="AE33" s="107">
        <v>10726.900000000001</v>
      </c>
      <c r="AF33" s="107">
        <v>10797.399999999998</v>
      </c>
      <c r="AG33" s="107">
        <v>10859.585714285713</v>
      </c>
      <c r="AH33" s="107">
        <v>11852.485714285713</v>
      </c>
      <c r="AI33" s="107">
        <v>10749.9</v>
      </c>
      <c r="AJ33" s="107">
        <v>10758.914285714287</v>
      </c>
      <c r="AK33" s="107">
        <v>11140.504761904762</v>
      </c>
      <c r="AL33" s="107">
        <v>10745.7</v>
      </c>
      <c r="AM33" s="107">
        <v>10665.9</v>
      </c>
      <c r="AN33" s="107">
        <v>10707.085714285713</v>
      </c>
      <c r="AO33" s="107">
        <v>10703.57</v>
      </c>
      <c r="AP33" s="107">
        <v>10639.3</v>
      </c>
      <c r="AQ33" s="107">
        <v>10705.5</v>
      </c>
      <c r="AR33" s="107">
        <v>10711.600000000002</v>
      </c>
      <c r="AS33" s="107">
        <v>10832.7</v>
      </c>
      <c r="AT33" s="107">
        <v>10652.5</v>
      </c>
      <c r="AU33" s="107">
        <v>10713.2</v>
      </c>
      <c r="AV33" s="107">
        <v>10708.3</v>
      </c>
      <c r="AW33" s="107">
        <v>10580</v>
      </c>
      <c r="AX33" s="107">
        <v>10700.699999999999</v>
      </c>
      <c r="AY33" s="107">
        <v>10926.9</v>
      </c>
      <c r="AZ33" s="107">
        <v>10639.4</v>
      </c>
      <c r="BA33" s="106">
        <v>10689</v>
      </c>
      <c r="BB33" s="106">
        <v>10733.9</v>
      </c>
      <c r="BC33" s="106"/>
      <c r="BD33" s="106"/>
      <c r="BE33" s="106"/>
      <c r="BF33" s="106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8">
        <f t="shared" si="1"/>
        <v>566053.04619047628</v>
      </c>
    </row>
    <row r="34" spans="1:78" x14ac:dyDescent="0.35">
      <c r="A34" s="99" t="str">
        <f>IF('[8]Set Up'!E43=0,"",'[8]Set Up'!E43&amp;", bbl")</f>
        <v>Pump Down, bbl</v>
      </c>
      <c r="B34" s="109">
        <f>IF(BZ34=0,"",AVERAGE(C34:BY34))</f>
        <v>138.57692307692307</v>
      </c>
      <c r="C34" s="110">
        <v>340</v>
      </c>
      <c r="D34" s="111">
        <v>316</v>
      </c>
      <c r="E34" s="111">
        <v>272</v>
      </c>
      <c r="F34" s="111">
        <v>242</v>
      </c>
      <c r="G34" s="111">
        <v>256</v>
      </c>
      <c r="H34" s="111">
        <v>259</v>
      </c>
      <c r="I34" s="111">
        <v>276</v>
      </c>
      <c r="J34" s="111">
        <v>239</v>
      </c>
      <c r="K34" s="111">
        <v>229</v>
      </c>
      <c r="L34" s="111">
        <v>220</v>
      </c>
      <c r="M34" s="111">
        <v>236</v>
      </c>
      <c r="N34" s="111">
        <v>279</v>
      </c>
      <c r="O34" s="111">
        <v>220</v>
      </c>
      <c r="P34" s="111">
        <v>234</v>
      </c>
      <c r="Q34" s="111">
        <v>189</v>
      </c>
      <c r="R34" s="111">
        <v>167</v>
      </c>
      <c r="S34" s="111">
        <v>169</v>
      </c>
      <c r="T34" s="111">
        <v>188</v>
      </c>
      <c r="U34" s="111">
        <v>181</v>
      </c>
      <c r="V34" s="111">
        <v>184</v>
      </c>
      <c r="W34" s="111">
        <v>166</v>
      </c>
      <c r="X34" s="111">
        <v>145</v>
      </c>
      <c r="Y34" s="111">
        <v>137</v>
      </c>
      <c r="Z34" s="111">
        <v>129</v>
      </c>
      <c r="AA34" s="111">
        <v>154</v>
      </c>
      <c r="AB34" s="111">
        <v>140</v>
      </c>
      <c r="AC34" s="111">
        <v>132</v>
      </c>
      <c r="AD34" s="111">
        <v>117</v>
      </c>
      <c r="AE34" s="111">
        <v>110</v>
      </c>
      <c r="AF34" s="111">
        <v>116</v>
      </c>
      <c r="AG34" s="111">
        <v>98</v>
      </c>
      <c r="AH34" s="111">
        <v>119</v>
      </c>
      <c r="AI34" s="111">
        <v>98</v>
      </c>
      <c r="AJ34" s="111">
        <v>94</v>
      </c>
      <c r="AK34" s="111">
        <v>77</v>
      </c>
      <c r="AL34" s="111">
        <v>75</v>
      </c>
      <c r="AM34" s="111">
        <v>70</v>
      </c>
      <c r="AN34" s="111">
        <v>65</v>
      </c>
      <c r="AO34" s="111">
        <v>65</v>
      </c>
      <c r="AP34" s="111">
        <v>57</v>
      </c>
      <c r="AQ34" s="111">
        <v>50</v>
      </c>
      <c r="AR34" s="111">
        <v>48</v>
      </c>
      <c r="AS34" s="111">
        <v>44</v>
      </c>
      <c r="AT34" s="111">
        <v>43</v>
      </c>
      <c r="AU34" s="111">
        <v>37</v>
      </c>
      <c r="AV34" s="111">
        <v>29</v>
      </c>
      <c r="AW34" s="111">
        <v>28</v>
      </c>
      <c r="AX34" s="111">
        <v>25</v>
      </c>
      <c r="AY34" s="111">
        <v>18</v>
      </c>
      <c r="AZ34" s="111">
        <v>15</v>
      </c>
      <c r="BA34" s="111">
        <v>9</v>
      </c>
      <c r="BB34" s="111">
        <v>0</v>
      </c>
      <c r="BC34" s="111"/>
      <c r="BD34" s="111"/>
      <c r="BE34" s="111"/>
      <c r="BF34" s="111"/>
      <c r="BG34" s="111"/>
      <c r="BH34" s="111"/>
      <c r="BI34" s="111"/>
      <c r="BJ34" s="111"/>
      <c r="BK34" s="111"/>
      <c r="BL34" s="111"/>
      <c r="BM34" s="111"/>
      <c r="BN34" s="111"/>
      <c r="BO34" s="111"/>
      <c r="BP34" s="111"/>
      <c r="BQ34" s="111"/>
      <c r="BR34" s="111"/>
      <c r="BS34" s="111"/>
      <c r="BT34" s="111"/>
      <c r="BU34" s="111"/>
      <c r="BV34" s="111"/>
      <c r="BW34" s="111"/>
      <c r="BX34" s="111"/>
      <c r="BY34" s="111"/>
      <c r="BZ34" s="109">
        <f t="shared" si="1"/>
        <v>7206</v>
      </c>
    </row>
    <row r="35" spans="1:78" x14ac:dyDescent="0.35">
      <c r="A35" s="104" t="str">
        <f>IF('[8]Set Up'!E44=0,"",'[8]Set Up'!E44&amp;", bbl")</f>
        <v/>
      </c>
      <c r="B35" s="105" t="str">
        <f>IF(BZ35=0,"",AVERAGE(C35:BY35))</f>
        <v/>
      </c>
      <c r="C35" s="106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  <c r="AU35" s="107">
        <v>0</v>
      </c>
      <c r="AV35" s="107">
        <v>0</v>
      </c>
      <c r="AW35" s="107">
        <v>0</v>
      </c>
      <c r="AX35" s="107">
        <v>0</v>
      </c>
      <c r="AY35" s="107">
        <v>0</v>
      </c>
      <c r="AZ35" s="107">
        <v>0</v>
      </c>
      <c r="BA35" s="107">
        <v>0</v>
      </c>
      <c r="BB35" s="107">
        <v>0</v>
      </c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5">
        <f t="shared" si="1"/>
        <v>0</v>
      </c>
    </row>
    <row r="36" spans="1:78" ht="15" thickBot="1" x14ac:dyDescent="0.4">
      <c r="A36" s="112" t="s">
        <v>39</v>
      </c>
      <c r="B36" s="113">
        <f>IF(BZ36=0,"",AVERAGE(C36:BY36))</f>
        <v>11053.314075091575</v>
      </c>
      <c r="C36" s="114">
        <v>11334.099999999999</v>
      </c>
      <c r="D36" s="115">
        <v>11185.442857142858</v>
      </c>
      <c r="E36" s="115">
        <v>11135</v>
      </c>
      <c r="F36" s="115">
        <v>13915.399999999998</v>
      </c>
      <c r="G36" s="115">
        <v>11131.414285714285</v>
      </c>
      <c r="H36" s="115">
        <v>11080.390476190476</v>
      </c>
      <c r="I36" s="115">
        <v>11071</v>
      </c>
      <c r="J36" s="115">
        <v>11103.280952380954</v>
      </c>
      <c r="K36" s="115">
        <v>11489.300000000001</v>
      </c>
      <c r="L36" s="115">
        <v>11121</v>
      </c>
      <c r="M36" s="115">
        <v>11131.499999999998</v>
      </c>
      <c r="N36" s="115">
        <v>11107.561904761906</v>
      </c>
      <c r="O36" s="115">
        <v>11000.6</v>
      </c>
      <c r="P36" s="115">
        <v>11027.1</v>
      </c>
      <c r="Q36" s="115">
        <v>10998.533333333333</v>
      </c>
      <c r="R36" s="115">
        <v>11225.519047619047</v>
      </c>
      <c r="S36" s="115">
        <v>11297.900000000001</v>
      </c>
      <c r="T36" s="115">
        <v>11063.8</v>
      </c>
      <c r="U36" s="115">
        <v>10935.514285714286</v>
      </c>
      <c r="V36" s="115">
        <v>11150.4</v>
      </c>
      <c r="W36" s="115">
        <v>11034</v>
      </c>
      <c r="X36" s="115">
        <v>10904.042857142855</v>
      </c>
      <c r="Y36" s="115">
        <v>11411.123809523808</v>
      </c>
      <c r="Z36" s="115">
        <v>10965.9</v>
      </c>
      <c r="AA36" s="115">
        <v>10988.223809523808</v>
      </c>
      <c r="AB36" s="115">
        <v>10965.676190476188</v>
      </c>
      <c r="AC36" s="115">
        <v>10950.4</v>
      </c>
      <c r="AD36" s="115">
        <v>11019.5</v>
      </c>
      <c r="AE36" s="115">
        <v>10865.923809523811</v>
      </c>
      <c r="AF36" s="115">
        <v>10940.78095238095</v>
      </c>
      <c r="AG36" s="115">
        <v>10986.8</v>
      </c>
      <c r="AH36" s="115">
        <v>12000.199999999999</v>
      </c>
      <c r="AI36" s="115">
        <v>10875.804761904761</v>
      </c>
      <c r="AJ36" s="115">
        <v>10882.2</v>
      </c>
      <c r="AK36" s="115">
        <v>11247.6</v>
      </c>
      <c r="AL36" s="115">
        <v>10850.914285714287</v>
      </c>
      <c r="AM36" s="115">
        <v>10765.685714285713</v>
      </c>
      <c r="AN36" s="115">
        <v>10800.8</v>
      </c>
      <c r="AO36" s="115">
        <v>10798.593809523809</v>
      </c>
      <c r="AP36" s="115">
        <v>10725.585714285713</v>
      </c>
      <c r="AQ36" s="115">
        <v>10783.023809523809</v>
      </c>
      <c r="AR36" s="115">
        <v>10788.695238095241</v>
      </c>
      <c r="AS36" s="115">
        <v>10904.77142857143</v>
      </c>
      <c r="AT36" s="115">
        <v>10724.952380952382</v>
      </c>
      <c r="AU36" s="115">
        <v>10780.295238095239</v>
      </c>
      <c r="AV36" s="115">
        <v>10767.514285714286</v>
      </c>
      <c r="AW36" s="115">
        <v>10637.642857142857</v>
      </c>
      <c r="AX36" s="115">
        <v>10753.747619047617</v>
      </c>
      <c r="AY36" s="115">
        <v>10974.685714285713</v>
      </c>
      <c r="AZ36" s="115">
        <v>10683.114285714286</v>
      </c>
      <c r="BA36" s="114">
        <v>10726.071428571429</v>
      </c>
      <c r="BB36" s="114">
        <v>10763.304761904761</v>
      </c>
      <c r="BC36" s="114"/>
      <c r="BD36" s="114"/>
      <c r="BE36" s="114"/>
      <c r="BF36" s="114"/>
      <c r="BG36" s="114"/>
      <c r="BH36" s="114"/>
      <c r="BI36" s="114"/>
      <c r="BJ36" s="114"/>
      <c r="BK36" s="114"/>
      <c r="BL36" s="114"/>
      <c r="BM36" s="114"/>
      <c r="BN36" s="114"/>
      <c r="BO36" s="114"/>
      <c r="BP36" s="114"/>
      <c r="BQ36" s="114"/>
      <c r="BR36" s="114"/>
      <c r="BS36" s="114"/>
      <c r="BT36" s="114"/>
      <c r="BU36" s="114"/>
      <c r="BV36" s="114"/>
      <c r="BW36" s="114"/>
      <c r="BX36" s="114"/>
      <c r="BY36" s="114"/>
      <c r="BZ36" s="116">
        <f t="shared" si="1"/>
        <v>574772.33190476196</v>
      </c>
    </row>
    <row r="37" spans="1:78" x14ac:dyDescent="0.35">
      <c r="A37" s="117" t="str">
        <f>IF('[8]Set Up'!E35=0,"",'[8]Set Up'!E35&amp;", lb")</f>
        <v>100 Mesh, lb</v>
      </c>
      <c r="B37" s="118">
        <f t="shared" ref="B37:B58" si="2">IF(C37="","",AVERAGE(C37:BY37))</f>
        <v>501317.30769230769</v>
      </c>
      <c r="C37" s="119">
        <v>499020</v>
      </c>
      <c r="D37" s="120">
        <v>500800</v>
      </c>
      <c r="E37" s="120">
        <v>495780</v>
      </c>
      <c r="F37" s="120">
        <v>493700</v>
      </c>
      <c r="G37" s="120">
        <v>495260</v>
      </c>
      <c r="H37" s="120">
        <v>496840</v>
      </c>
      <c r="I37" s="120">
        <v>501540</v>
      </c>
      <c r="J37" s="120">
        <v>497580</v>
      </c>
      <c r="K37" s="120">
        <v>507180</v>
      </c>
      <c r="L37" s="120">
        <v>501580</v>
      </c>
      <c r="M37" s="120">
        <v>501800</v>
      </c>
      <c r="N37" s="120">
        <v>501890</v>
      </c>
      <c r="O37" s="120">
        <v>499760</v>
      </c>
      <c r="P37" s="120">
        <v>494840</v>
      </c>
      <c r="Q37" s="120">
        <v>495420</v>
      </c>
      <c r="R37" s="120">
        <v>506920</v>
      </c>
      <c r="S37" s="120">
        <v>500160</v>
      </c>
      <c r="T37" s="120">
        <v>505540</v>
      </c>
      <c r="U37" s="120">
        <v>501960</v>
      </c>
      <c r="V37" s="120">
        <v>503640</v>
      </c>
      <c r="W37" s="120">
        <v>495780</v>
      </c>
      <c r="X37" s="120">
        <v>502280</v>
      </c>
      <c r="Y37" s="120">
        <v>500260</v>
      </c>
      <c r="Z37" s="120">
        <v>501040</v>
      </c>
      <c r="AA37" s="120">
        <v>503820</v>
      </c>
      <c r="AB37" s="120">
        <v>507140</v>
      </c>
      <c r="AC37" s="120">
        <v>505080</v>
      </c>
      <c r="AD37" s="120">
        <v>499680</v>
      </c>
      <c r="AE37" s="120">
        <v>501940</v>
      </c>
      <c r="AF37" s="120">
        <v>498900</v>
      </c>
      <c r="AG37" s="120">
        <v>500840</v>
      </c>
      <c r="AH37" s="120">
        <v>498320</v>
      </c>
      <c r="AI37" s="120">
        <v>499780</v>
      </c>
      <c r="AJ37" s="120">
        <v>507620</v>
      </c>
      <c r="AK37" s="120">
        <v>504380</v>
      </c>
      <c r="AL37" s="120">
        <v>503280</v>
      </c>
      <c r="AM37" s="120">
        <v>490110</v>
      </c>
      <c r="AN37" s="120">
        <v>495800</v>
      </c>
      <c r="AO37" s="120">
        <v>512120</v>
      </c>
      <c r="AP37" s="120">
        <v>497560</v>
      </c>
      <c r="AQ37" s="120">
        <v>508800</v>
      </c>
      <c r="AR37" s="120">
        <v>497020</v>
      </c>
      <c r="AS37" s="120">
        <v>506560</v>
      </c>
      <c r="AT37" s="120">
        <v>511060</v>
      </c>
      <c r="AU37" s="120">
        <v>499360</v>
      </c>
      <c r="AV37" s="120">
        <v>506580</v>
      </c>
      <c r="AW37" s="120">
        <v>501060</v>
      </c>
      <c r="AX37" s="120">
        <v>501980</v>
      </c>
      <c r="AY37" s="120">
        <v>501900</v>
      </c>
      <c r="AZ37" s="120">
        <v>502120</v>
      </c>
      <c r="BA37" s="119">
        <v>503980</v>
      </c>
      <c r="BB37" s="119">
        <v>501140</v>
      </c>
      <c r="BC37" s="119"/>
      <c r="BD37" s="119"/>
      <c r="BE37" s="119"/>
      <c r="BF37" s="119"/>
      <c r="BG37" s="119"/>
      <c r="BH37" s="119"/>
      <c r="BI37" s="119"/>
      <c r="BJ37" s="119"/>
      <c r="BK37" s="119"/>
      <c r="BL37" s="119"/>
      <c r="BM37" s="119"/>
      <c r="BN37" s="119"/>
      <c r="BO37" s="119"/>
      <c r="BP37" s="119"/>
      <c r="BQ37" s="119"/>
      <c r="BR37" s="119"/>
      <c r="BS37" s="119"/>
      <c r="BT37" s="119"/>
      <c r="BU37" s="119"/>
      <c r="BV37" s="119"/>
      <c r="BW37" s="119"/>
      <c r="BX37" s="119"/>
      <c r="BY37" s="119"/>
      <c r="BZ37" s="121">
        <f t="shared" si="1"/>
        <v>26068500</v>
      </c>
    </row>
    <row r="38" spans="1:78" x14ac:dyDescent="0.35">
      <c r="A38" s="122" t="str">
        <f>IF('[8]Set Up'!E36=0,"",'[8]Set Up'!E36&amp;", lb")</f>
        <v/>
      </c>
      <c r="B38" s="105" t="str">
        <f t="shared" si="2"/>
        <v/>
      </c>
      <c r="C38" s="123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  <c r="AZ38" s="124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08">
        <f t="shared" si="1"/>
        <v>0</v>
      </c>
    </row>
    <row r="39" spans="1:78" x14ac:dyDescent="0.35">
      <c r="A39" s="125" t="str">
        <f>IF('[8]Set Up'!E37=0,"",'[8]Set Up'!E37&amp;", lb")</f>
        <v/>
      </c>
      <c r="B39" s="126" t="str">
        <f t="shared" si="2"/>
        <v/>
      </c>
      <c r="C39" s="127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7"/>
      <c r="BB39" s="127"/>
      <c r="BC39" s="127"/>
      <c r="BD39" s="127"/>
      <c r="BE39" s="127"/>
      <c r="BF39" s="127"/>
      <c r="BG39" s="127"/>
      <c r="BH39" s="127"/>
      <c r="BI39" s="127"/>
      <c r="BJ39" s="127"/>
      <c r="BK39" s="127"/>
      <c r="BL39" s="127"/>
      <c r="BM39" s="127"/>
      <c r="BN39" s="127"/>
      <c r="BO39" s="127"/>
      <c r="BP39" s="127"/>
      <c r="BQ39" s="127"/>
      <c r="BR39" s="127"/>
      <c r="BS39" s="127"/>
      <c r="BT39" s="127"/>
      <c r="BU39" s="127"/>
      <c r="BV39" s="127"/>
      <c r="BW39" s="127"/>
      <c r="BX39" s="127"/>
      <c r="BY39" s="127"/>
      <c r="BZ39" s="129">
        <f t="shared" si="1"/>
        <v>0</v>
      </c>
    </row>
    <row r="40" spans="1:78" x14ac:dyDescent="0.35">
      <c r="A40" s="122" t="str">
        <f>IF('[8]Set Up'!E38=0,"",'[8]Set Up'!E38&amp;", lb")</f>
        <v/>
      </c>
      <c r="B40" s="105" t="str">
        <f t="shared" si="2"/>
        <v/>
      </c>
      <c r="C40" s="123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24"/>
      <c r="AX40" s="124"/>
      <c r="AY40" s="124"/>
      <c r="AZ40" s="124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08">
        <f t="shared" si="1"/>
        <v>0</v>
      </c>
    </row>
    <row r="41" spans="1:78" ht="15" thickBot="1" x14ac:dyDescent="0.4">
      <c r="A41" s="130" t="s">
        <v>40</v>
      </c>
      <c r="B41" s="131">
        <f t="shared" si="2"/>
        <v>501317.30769230769</v>
      </c>
      <c r="C41" s="131">
        <v>499020</v>
      </c>
      <c r="D41" s="132">
        <v>500800</v>
      </c>
      <c r="E41" s="132">
        <v>495780</v>
      </c>
      <c r="F41" s="132">
        <v>493700</v>
      </c>
      <c r="G41" s="132">
        <v>495260</v>
      </c>
      <c r="H41" s="132">
        <v>496840</v>
      </c>
      <c r="I41" s="132">
        <v>501540</v>
      </c>
      <c r="J41" s="132">
        <v>497580</v>
      </c>
      <c r="K41" s="132">
        <v>507180</v>
      </c>
      <c r="L41" s="132">
        <v>501580</v>
      </c>
      <c r="M41" s="132">
        <v>501800</v>
      </c>
      <c r="N41" s="132">
        <v>501890</v>
      </c>
      <c r="O41" s="132">
        <v>499760</v>
      </c>
      <c r="P41" s="132">
        <v>494840</v>
      </c>
      <c r="Q41" s="132">
        <v>495420</v>
      </c>
      <c r="R41" s="132">
        <v>506920</v>
      </c>
      <c r="S41" s="132">
        <v>500160</v>
      </c>
      <c r="T41" s="132">
        <v>505540</v>
      </c>
      <c r="U41" s="132">
        <v>501960</v>
      </c>
      <c r="V41" s="132">
        <v>503640</v>
      </c>
      <c r="W41" s="132">
        <v>495780</v>
      </c>
      <c r="X41" s="132">
        <v>502280</v>
      </c>
      <c r="Y41" s="132">
        <v>500260</v>
      </c>
      <c r="Z41" s="132">
        <v>501040</v>
      </c>
      <c r="AA41" s="132">
        <v>503820</v>
      </c>
      <c r="AB41" s="132">
        <v>507140</v>
      </c>
      <c r="AC41" s="132">
        <v>505080</v>
      </c>
      <c r="AD41" s="132">
        <v>499680</v>
      </c>
      <c r="AE41" s="132">
        <v>501940</v>
      </c>
      <c r="AF41" s="132">
        <v>498900</v>
      </c>
      <c r="AG41" s="132">
        <v>500840</v>
      </c>
      <c r="AH41" s="132">
        <v>498320</v>
      </c>
      <c r="AI41" s="132">
        <v>499780</v>
      </c>
      <c r="AJ41" s="132">
        <v>507620</v>
      </c>
      <c r="AK41" s="132">
        <v>504380</v>
      </c>
      <c r="AL41" s="132">
        <v>503280</v>
      </c>
      <c r="AM41" s="132">
        <v>490110</v>
      </c>
      <c r="AN41" s="132">
        <v>495800</v>
      </c>
      <c r="AO41" s="132">
        <v>512120</v>
      </c>
      <c r="AP41" s="132">
        <v>497560</v>
      </c>
      <c r="AQ41" s="132">
        <v>508800</v>
      </c>
      <c r="AR41" s="132">
        <v>497020</v>
      </c>
      <c r="AS41" s="132">
        <v>506560</v>
      </c>
      <c r="AT41" s="132">
        <v>511060</v>
      </c>
      <c r="AU41" s="132">
        <v>499360</v>
      </c>
      <c r="AV41" s="132">
        <v>506580</v>
      </c>
      <c r="AW41" s="132">
        <v>501060</v>
      </c>
      <c r="AX41" s="132">
        <v>501980</v>
      </c>
      <c r="AY41" s="132">
        <v>501900</v>
      </c>
      <c r="AZ41" s="132">
        <v>502120</v>
      </c>
      <c r="BA41" s="132">
        <v>503980</v>
      </c>
      <c r="BB41" s="132">
        <v>501140</v>
      </c>
      <c r="BC41" s="132"/>
      <c r="BD41" s="132"/>
      <c r="BE41" s="132"/>
      <c r="BF41" s="132"/>
      <c r="BG41" s="132"/>
      <c r="BH41" s="132"/>
      <c r="BI41" s="132"/>
      <c r="BJ41" s="132"/>
      <c r="BK41" s="132"/>
      <c r="BL41" s="132"/>
      <c r="BM41" s="132"/>
      <c r="BN41" s="132"/>
      <c r="BO41" s="132"/>
      <c r="BP41" s="132"/>
      <c r="BQ41" s="132"/>
      <c r="BR41" s="132"/>
      <c r="BS41" s="132"/>
      <c r="BT41" s="132"/>
      <c r="BU41" s="132"/>
      <c r="BV41" s="132"/>
      <c r="BW41" s="132"/>
      <c r="BX41" s="132"/>
      <c r="BY41" s="132"/>
      <c r="BZ41" s="133">
        <f t="shared" si="1"/>
        <v>26068500</v>
      </c>
    </row>
    <row r="42" spans="1:78" x14ac:dyDescent="0.35">
      <c r="A42" s="134" t="str">
        <f>A37</f>
        <v>100 Mesh, lb</v>
      </c>
      <c r="B42" s="135">
        <f t="shared" si="2"/>
        <v>501317.30769230769</v>
      </c>
      <c r="C42" s="136">
        <v>499020</v>
      </c>
      <c r="D42" s="136">
        <v>500800</v>
      </c>
      <c r="E42" s="136">
        <v>495780</v>
      </c>
      <c r="F42" s="136">
        <v>493700</v>
      </c>
      <c r="G42" s="136">
        <v>495260</v>
      </c>
      <c r="H42" s="136">
        <v>496840</v>
      </c>
      <c r="I42" s="136">
        <v>501540</v>
      </c>
      <c r="J42" s="136">
        <v>497580</v>
      </c>
      <c r="K42" s="136">
        <v>507180</v>
      </c>
      <c r="L42" s="136">
        <v>501580</v>
      </c>
      <c r="M42" s="136">
        <v>501800</v>
      </c>
      <c r="N42" s="136">
        <v>501890</v>
      </c>
      <c r="O42" s="136">
        <v>499760</v>
      </c>
      <c r="P42" s="136">
        <v>494840</v>
      </c>
      <c r="Q42" s="136">
        <v>495420</v>
      </c>
      <c r="R42" s="136">
        <v>506920</v>
      </c>
      <c r="S42" s="136">
        <v>500160</v>
      </c>
      <c r="T42" s="136">
        <v>505540</v>
      </c>
      <c r="U42" s="136">
        <v>501960</v>
      </c>
      <c r="V42" s="136">
        <v>503640</v>
      </c>
      <c r="W42" s="136">
        <v>495780</v>
      </c>
      <c r="X42" s="136">
        <v>502280</v>
      </c>
      <c r="Y42" s="136">
        <v>500260</v>
      </c>
      <c r="Z42" s="136">
        <v>501040</v>
      </c>
      <c r="AA42" s="136">
        <v>503820</v>
      </c>
      <c r="AB42" s="136">
        <v>507140</v>
      </c>
      <c r="AC42" s="136">
        <v>505080</v>
      </c>
      <c r="AD42" s="136">
        <v>499680</v>
      </c>
      <c r="AE42" s="136">
        <v>501940</v>
      </c>
      <c r="AF42" s="136">
        <v>498900</v>
      </c>
      <c r="AG42" s="136">
        <v>500840</v>
      </c>
      <c r="AH42" s="136">
        <v>498320</v>
      </c>
      <c r="AI42" s="136">
        <v>499780</v>
      </c>
      <c r="AJ42" s="136">
        <v>507620</v>
      </c>
      <c r="AK42" s="136">
        <v>504380</v>
      </c>
      <c r="AL42" s="136">
        <v>503280</v>
      </c>
      <c r="AM42" s="136">
        <v>490110</v>
      </c>
      <c r="AN42" s="136">
        <v>495800</v>
      </c>
      <c r="AO42" s="136">
        <v>512120</v>
      </c>
      <c r="AP42" s="136">
        <v>497560</v>
      </c>
      <c r="AQ42" s="136">
        <v>508800</v>
      </c>
      <c r="AR42" s="136">
        <v>497020</v>
      </c>
      <c r="AS42" s="136">
        <v>506560</v>
      </c>
      <c r="AT42" s="136">
        <v>511060</v>
      </c>
      <c r="AU42" s="136">
        <v>499360</v>
      </c>
      <c r="AV42" s="136">
        <v>506580</v>
      </c>
      <c r="AW42" s="136">
        <v>501060</v>
      </c>
      <c r="AX42" s="136">
        <v>501980</v>
      </c>
      <c r="AY42" s="136">
        <v>501900</v>
      </c>
      <c r="AZ42" s="136">
        <v>502120</v>
      </c>
      <c r="BA42" s="137">
        <v>503980</v>
      </c>
      <c r="BB42" s="137">
        <v>501140</v>
      </c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8">
        <f t="shared" si="1"/>
        <v>26068500</v>
      </c>
    </row>
    <row r="43" spans="1:78" x14ac:dyDescent="0.35">
      <c r="A43" s="122" t="str">
        <f>A38</f>
        <v/>
      </c>
      <c r="B43" s="105" t="str">
        <f t="shared" si="2"/>
        <v/>
      </c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  <c r="AZ43" s="124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08">
        <f t="shared" si="1"/>
        <v>0</v>
      </c>
    </row>
    <row r="44" spans="1:78" x14ac:dyDescent="0.35">
      <c r="A44" s="139" t="str">
        <f>A39</f>
        <v/>
      </c>
      <c r="B44" s="140" t="str">
        <f t="shared" si="2"/>
        <v/>
      </c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  <c r="AO44" s="141"/>
      <c r="AP44" s="141"/>
      <c r="AQ44" s="141"/>
      <c r="AR44" s="141"/>
      <c r="AS44" s="141"/>
      <c r="AT44" s="141"/>
      <c r="AU44" s="141"/>
      <c r="AV44" s="141"/>
      <c r="AW44" s="141"/>
      <c r="AX44" s="141"/>
      <c r="AY44" s="141"/>
      <c r="AZ44" s="141"/>
      <c r="BA44" s="141"/>
      <c r="BB44" s="141"/>
      <c r="BC44" s="141"/>
      <c r="BD44" s="141"/>
      <c r="BE44" s="141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1"/>
      <c r="BQ44" s="141"/>
      <c r="BR44" s="141"/>
      <c r="BS44" s="141"/>
      <c r="BT44" s="141"/>
      <c r="BU44" s="141"/>
      <c r="BV44" s="141"/>
      <c r="BW44" s="141"/>
      <c r="BX44" s="141"/>
      <c r="BY44" s="141"/>
      <c r="BZ44" s="140">
        <f t="shared" si="1"/>
        <v>0</v>
      </c>
    </row>
    <row r="45" spans="1:78" x14ac:dyDescent="0.35">
      <c r="A45" s="142" t="str">
        <f>A40</f>
        <v/>
      </c>
      <c r="B45" s="143" t="str">
        <f t="shared" si="2"/>
        <v/>
      </c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24"/>
      <c r="BL45" s="124"/>
      <c r="BM45" s="124"/>
      <c r="BN45" s="124"/>
      <c r="BO45" s="124"/>
      <c r="BP45" s="124"/>
      <c r="BQ45" s="124"/>
      <c r="BR45" s="124"/>
      <c r="BS45" s="124"/>
      <c r="BT45" s="124"/>
      <c r="BU45" s="124"/>
      <c r="BV45" s="124"/>
      <c r="BW45" s="124"/>
      <c r="BX45" s="124"/>
      <c r="BY45" s="124"/>
      <c r="BZ45" s="105">
        <f t="shared" si="1"/>
        <v>0</v>
      </c>
    </row>
    <row r="46" spans="1:78" ht="15" thickBot="1" x14ac:dyDescent="0.4">
      <c r="A46" s="144" t="s">
        <v>41</v>
      </c>
      <c r="B46" s="145">
        <f t="shared" si="2"/>
        <v>501317.30769230769</v>
      </c>
      <c r="C46" s="146">
        <v>499020</v>
      </c>
      <c r="D46" s="146">
        <v>500800</v>
      </c>
      <c r="E46" s="146">
        <v>495780</v>
      </c>
      <c r="F46" s="146">
        <v>493700</v>
      </c>
      <c r="G46" s="146">
        <v>495260</v>
      </c>
      <c r="H46" s="146">
        <v>496840</v>
      </c>
      <c r="I46" s="146">
        <v>501540</v>
      </c>
      <c r="J46" s="146">
        <v>497580</v>
      </c>
      <c r="K46" s="146">
        <v>507180</v>
      </c>
      <c r="L46" s="146">
        <v>501580</v>
      </c>
      <c r="M46" s="146">
        <v>501800</v>
      </c>
      <c r="N46" s="146">
        <v>501890</v>
      </c>
      <c r="O46" s="146">
        <v>499760</v>
      </c>
      <c r="P46" s="146">
        <v>494840</v>
      </c>
      <c r="Q46" s="146">
        <v>495420</v>
      </c>
      <c r="R46" s="146">
        <v>506920</v>
      </c>
      <c r="S46" s="146">
        <v>500160</v>
      </c>
      <c r="T46" s="146">
        <v>505540</v>
      </c>
      <c r="U46" s="146">
        <v>501960</v>
      </c>
      <c r="V46" s="146">
        <v>503640</v>
      </c>
      <c r="W46" s="146">
        <v>495780</v>
      </c>
      <c r="X46" s="146">
        <v>502280</v>
      </c>
      <c r="Y46" s="146">
        <v>500260</v>
      </c>
      <c r="Z46" s="146">
        <v>501040</v>
      </c>
      <c r="AA46" s="146">
        <v>503820</v>
      </c>
      <c r="AB46" s="146">
        <v>507140</v>
      </c>
      <c r="AC46" s="146">
        <v>505080</v>
      </c>
      <c r="AD46" s="146">
        <v>499680</v>
      </c>
      <c r="AE46" s="146">
        <v>501940</v>
      </c>
      <c r="AF46" s="146">
        <v>498900</v>
      </c>
      <c r="AG46" s="146">
        <v>500840</v>
      </c>
      <c r="AH46" s="146">
        <v>498320</v>
      </c>
      <c r="AI46" s="146">
        <v>499780</v>
      </c>
      <c r="AJ46" s="146">
        <v>507620</v>
      </c>
      <c r="AK46" s="146">
        <v>504380</v>
      </c>
      <c r="AL46" s="146">
        <v>503280</v>
      </c>
      <c r="AM46" s="146">
        <v>490110</v>
      </c>
      <c r="AN46" s="146">
        <v>495800</v>
      </c>
      <c r="AO46" s="146">
        <v>512120</v>
      </c>
      <c r="AP46" s="146">
        <v>497560</v>
      </c>
      <c r="AQ46" s="146">
        <v>508800</v>
      </c>
      <c r="AR46" s="146">
        <v>497020</v>
      </c>
      <c r="AS46" s="146">
        <v>506560</v>
      </c>
      <c r="AT46" s="146">
        <v>511060</v>
      </c>
      <c r="AU46" s="146">
        <v>499360</v>
      </c>
      <c r="AV46" s="146">
        <v>506580</v>
      </c>
      <c r="AW46" s="146">
        <v>501060</v>
      </c>
      <c r="AX46" s="146">
        <v>501980</v>
      </c>
      <c r="AY46" s="146">
        <v>501900</v>
      </c>
      <c r="AZ46" s="146">
        <v>502120</v>
      </c>
      <c r="BA46" s="146">
        <v>503980</v>
      </c>
      <c r="BB46" s="146">
        <v>501140</v>
      </c>
      <c r="BC46" s="146"/>
      <c r="BD46" s="146"/>
      <c r="BE46" s="146"/>
      <c r="BF46" s="146"/>
      <c r="BG46" s="146"/>
      <c r="BH46" s="146"/>
      <c r="BI46" s="146"/>
      <c r="BJ46" s="146"/>
      <c r="BK46" s="146"/>
      <c r="BL46" s="146"/>
      <c r="BM46" s="146"/>
      <c r="BN46" s="146"/>
      <c r="BO46" s="146"/>
      <c r="BP46" s="146"/>
      <c r="BQ46" s="146"/>
      <c r="BR46" s="146"/>
      <c r="BS46" s="146"/>
      <c r="BT46" s="146"/>
      <c r="BU46" s="146"/>
      <c r="BV46" s="146"/>
      <c r="BW46" s="146"/>
      <c r="BX46" s="146"/>
      <c r="BY46" s="146"/>
      <c r="BZ46" s="145">
        <f t="shared" si="1"/>
        <v>26068500</v>
      </c>
    </row>
    <row r="47" spans="1:78" x14ac:dyDescent="0.35">
      <c r="A47" s="147" t="str">
        <f>'[8]Set Up'!E51</f>
        <v>Plexslick 957, gal</v>
      </c>
      <c r="B47" s="148">
        <f t="shared" si="2"/>
        <v>404.44230769230768</v>
      </c>
      <c r="C47" s="149">
        <v>460</v>
      </c>
      <c r="D47" s="150">
        <v>415</v>
      </c>
      <c r="E47" s="150">
        <v>373</v>
      </c>
      <c r="F47" s="150">
        <v>513</v>
      </c>
      <c r="G47" s="150">
        <v>472</v>
      </c>
      <c r="H47" s="150">
        <v>392</v>
      </c>
      <c r="I47" s="150">
        <v>453</v>
      </c>
      <c r="J47" s="150">
        <v>390</v>
      </c>
      <c r="K47" s="150">
        <v>488</v>
      </c>
      <c r="L47" s="151">
        <v>457</v>
      </c>
      <c r="M47" s="151">
        <v>456</v>
      </c>
      <c r="N47" s="151">
        <v>456</v>
      </c>
      <c r="O47" s="151">
        <v>453</v>
      </c>
      <c r="P47" s="151">
        <v>452</v>
      </c>
      <c r="Q47" s="151">
        <v>464</v>
      </c>
      <c r="R47" s="151">
        <v>463</v>
      </c>
      <c r="S47" s="151">
        <v>485</v>
      </c>
      <c r="T47" s="151">
        <v>460</v>
      </c>
      <c r="U47" s="151">
        <v>384</v>
      </c>
      <c r="V47" s="151">
        <v>470</v>
      </c>
      <c r="W47" s="151">
        <v>470</v>
      </c>
      <c r="X47" s="151">
        <v>412</v>
      </c>
      <c r="Y47" s="151">
        <v>466</v>
      </c>
      <c r="Z47" s="151">
        <v>470</v>
      </c>
      <c r="AA47" s="151">
        <v>391</v>
      </c>
      <c r="AB47" s="151">
        <v>338</v>
      </c>
      <c r="AC47" s="151">
        <v>470</v>
      </c>
      <c r="AD47" s="151">
        <v>421</v>
      </c>
      <c r="AE47" s="151">
        <v>365</v>
      </c>
      <c r="AF47" s="151">
        <v>428</v>
      </c>
      <c r="AG47" s="151">
        <v>455</v>
      </c>
      <c r="AH47" s="151">
        <v>474</v>
      </c>
      <c r="AI47" s="151">
        <v>357</v>
      </c>
      <c r="AJ47" s="151">
        <v>340</v>
      </c>
      <c r="AK47" s="151">
        <v>425</v>
      </c>
      <c r="AL47" s="151">
        <v>350</v>
      </c>
      <c r="AM47" s="151">
        <v>318</v>
      </c>
      <c r="AN47" s="151">
        <v>350</v>
      </c>
      <c r="AO47" s="151">
        <v>322</v>
      </c>
      <c r="AP47" s="151">
        <v>447</v>
      </c>
      <c r="AQ47" s="151">
        <v>340</v>
      </c>
      <c r="AR47" s="151">
        <v>310</v>
      </c>
      <c r="AS47" s="151">
        <v>411</v>
      </c>
      <c r="AT47" s="151">
        <v>360</v>
      </c>
      <c r="AU47" s="151">
        <v>285</v>
      </c>
      <c r="AV47" s="151">
        <v>393</v>
      </c>
      <c r="AW47" s="151">
        <v>360</v>
      </c>
      <c r="AX47" s="151">
        <v>306</v>
      </c>
      <c r="AY47" s="151">
        <v>315</v>
      </c>
      <c r="AZ47" s="151">
        <v>330</v>
      </c>
      <c r="BA47" s="152">
        <v>281</v>
      </c>
      <c r="BB47" s="152">
        <v>315</v>
      </c>
      <c r="BC47" s="152"/>
      <c r="BD47" s="152"/>
      <c r="BE47" s="152"/>
      <c r="BF47" s="152"/>
      <c r="BG47" s="152"/>
      <c r="BH47" s="152"/>
      <c r="BI47" s="152"/>
      <c r="BJ47" s="152"/>
      <c r="BK47" s="152"/>
      <c r="BL47" s="152"/>
      <c r="BM47" s="152"/>
      <c r="BN47" s="152"/>
      <c r="BO47" s="152"/>
      <c r="BP47" s="152"/>
      <c r="BQ47" s="152"/>
      <c r="BR47" s="152"/>
      <c r="BS47" s="152"/>
      <c r="BT47" s="152"/>
      <c r="BU47" s="152"/>
      <c r="BV47" s="152"/>
      <c r="BW47" s="152"/>
      <c r="BX47" s="152"/>
      <c r="BY47" s="152"/>
      <c r="BZ47" s="153">
        <f t="shared" si="1"/>
        <v>21031</v>
      </c>
    </row>
    <row r="48" spans="1:78" x14ac:dyDescent="0.35">
      <c r="A48" s="154" t="str">
        <f>'[8]Set Up'!E52</f>
        <v>Chemplex 4-N-1, gal</v>
      </c>
      <c r="B48" s="155">
        <f t="shared" si="2"/>
        <v>7.2884615384615383</v>
      </c>
      <c r="C48" s="156">
        <v>7</v>
      </c>
      <c r="D48" s="157">
        <v>7</v>
      </c>
      <c r="E48" s="157">
        <v>7</v>
      </c>
      <c r="F48" s="157">
        <v>7</v>
      </c>
      <c r="G48" s="157">
        <v>7</v>
      </c>
      <c r="H48" s="157">
        <v>7</v>
      </c>
      <c r="I48" s="157">
        <v>7</v>
      </c>
      <c r="J48" s="157">
        <v>7</v>
      </c>
      <c r="K48" s="157">
        <v>7</v>
      </c>
      <c r="L48" s="107">
        <v>7</v>
      </c>
      <c r="M48" s="107">
        <v>7</v>
      </c>
      <c r="N48" s="107">
        <v>7</v>
      </c>
      <c r="O48" s="107">
        <v>7</v>
      </c>
      <c r="P48" s="107">
        <v>8</v>
      </c>
      <c r="Q48" s="107">
        <v>7</v>
      </c>
      <c r="R48" s="107">
        <v>7</v>
      </c>
      <c r="S48" s="107">
        <v>7</v>
      </c>
      <c r="T48" s="107">
        <v>8</v>
      </c>
      <c r="U48" s="107">
        <v>8</v>
      </c>
      <c r="V48" s="107">
        <v>8</v>
      </c>
      <c r="W48" s="107">
        <v>7</v>
      </c>
      <c r="X48" s="107">
        <v>7</v>
      </c>
      <c r="Y48" s="107">
        <v>7</v>
      </c>
      <c r="Z48" s="107">
        <v>8</v>
      </c>
      <c r="AA48" s="107">
        <v>7</v>
      </c>
      <c r="AB48" s="107">
        <v>8</v>
      </c>
      <c r="AC48" s="107">
        <v>8</v>
      </c>
      <c r="AD48" s="107">
        <v>8</v>
      </c>
      <c r="AE48" s="107">
        <v>7</v>
      </c>
      <c r="AF48" s="107">
        <v>7</v>
      </c>
      <c r="AG48" s="107">
        <v>7</v>
      </c>
      <c r="AH48" s="107">
        <v>7</v>
      </c>
      <c r="AI48" s="107">
        <v>7</v>
      </c>
      <c r="AJ48" s="107">
        <v>7</v>
      </c>
      <c r="AK48" s="107">
        <v>8</v>
      </c>
      <c r="AL48" s="107">
        <v>8</v>
      </c>
      <c r="AM48" s="107">
        <v>8</v>
      </c>
      <c r="AN48" s="107">
        <v>7</v>
      </c>
      <c r="AO48" s="107">
        <v>8</v>
      </c>
      <c r="AP48" s="107">
        <v>7</v>
      </c>
      <c r="AQ48" s="107">
        <v>7</v>
      </c>
      <c r="AR48" s="107">
        <v>7</v>
      </c>
      <c r="AS48" s="107">
        <v>7</v>
      </c>
      <c r="AT48" s="107">
        <v>7</v>
      </c>
      <c r="AU48" s="107">
        <v>8</v>
      </c>
      <c r="AV48" s="107">
        <v>8</v>
      </c>
      <c r="AW48" s="107">
        <v>7</v>
      </c>
      <c r="AX48" s="107">
        <v>7</v>
      </c>
      <c r="AY48" s="107">
        <v>8</v>
      </c>
      <c r="AZ48" s="107">
        <v>7</v>
      </c>
      <c r="BA48" s="106">
        <v>7</v>
      </c>
      <c r="BB48" s="106">
        <v>7</v>
      </c>
      <c r="BC48" s="106"/>
      <c r="BD48" s="106"/>
      <c r="BE48" s="106"/>
      <c r="BF48" s="106"/>
      <c r="BG48" s="106"/>
      <c r="BH48" s="106"/>
      <c r="BI48" s="106"/>
      <c r="BJ48" s="106"/>
      <c r="BK48" s="106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58">
        <f t="shared" si="1"/>
        <v>379</v>
      </c>
    </row>
    <row r="49" spans="1:78" x14ac:dyDescent="0.35">
      <c r="A49" s="147" t="str">
        <f>'[8]Set Up'!E53</f>
        <v>Payzone 845, gal</v>
      </c>
      <c r="B49" s="148">
        <f t="shared" si="2"/>
        <v>91.480769230769226</v>
      </c>
      <c r="C49" s="159">
        <v>91</v>
      </c>
      <c r="D49" s="160">
        <v>92</v>
      </c>
      <c r="E49" s="160">
        <v>91</v>
      </c>
      <c r="F49" s="160">
        <v>115</v>
      </c>
      <c r="G49" s="160">
        <v>92</v>
      </c>
      <c r="H49" s="160">
        <v>90</v>
      </c>
      <c r="I49" s="160">
        <v>92</v>
      </c>
      <c r="J49" s="160">
        <v>93</v>
      </c>
      <c r="K49" s="160">
        <v>97</v>
      </c>
      <c r="L49" s="161">
        <v>93</v>
      </c>
      <c r="M49" s="161">
        <v>92</v>
      </c>
      <c r="N49" s="161">
        <v>90</v>
      </c>
      <c r="O49" s="161">
        <v>88</v>
      </c>
      <c r="P49" s="161">
        <v>89</v>
      </c>
      <c r="Q49" s="161">
        <v>90</v>
      </c>
      <c r="R49" s="161">
        <v>94</v>
      </c>
      <c r="S49" s="161">
        <v>91</v>
      </c>
      <c r="T49" s="161">
        <v>91</v>
      </c>
      <c r="U49" s="161">
        <v>90</v>
      </c>
      <c r="V49" s="161">
        <v>91</v>
      </c>
      <c r="W49" s="161">
        <v>90</v>
      </c>
      <c r="X49" s="161">
        <v>90</v>
      </c>
      <c r="Y49" s="161">
        <v>95</v>
      </c>
      <c r="Z49" s="161">
        <v>90</v>
      </c>
      <c r="AA49" s="161">
        <v>91</v>
      </c>
      <c r="AB49" s="161">
        <v>91</v>
      </c>
      <c r="AC49" s="161">
        <v>91</v>
      </c>
      <c r="AD49" s="161">
        <v>90</v>
      </c>
      <c r="AE49" s="161">
        <v>91</v>
      </c>
      <c r="AF49" s="161">
        <v>91</v>
      </c>
      <c r="AG49" s="161">
        <v>91</v>
      </c>
      <c r="AH49" s="161">
        <v>100</v>
      </c>
      <c r="AI49" s="161">
        <v>91</v>
      </c>
      <c r="AJ49" s="161">
        <v>90</v>
      </c>
      <c r="AK49" s="161">
        <v>93</v>
      </c>
      <c r="AL49" s="161">
        <v>91</v>
      </c>
      <c r="AM49" s="161">
        <v>90</v>
      </c>
      <c r="AN49" s="161">
        <v>91</v>
      </c>
      <c r="AO49" s="161">
        <v>90</v>
      </c>
      <c r="AP49" s="161">
        <v>88</v>
      </c>
      <c r="AQ49" s="161">
        <v>91</v>
      </c>
      <c r="AR49" s="161">
        <v>91</v>
      </c>
      <c r="AS49" s="161">
        <v>91</v>
      </c>
      <c r="AT49" s="161">
        <v>90</v>
      </c>
      <c r="AU49" s="161">
        <v>91</v>
      </c>
      <c r="AV49" s="161">
        <v>90</v>
      </c>
      <c r="AW49" s="161">
        <v>89</v>
      </c>
      <c r="AX49" s="161">
        <v>88</v>
      </c>
      <c r="AY49" s="161">
        <v>92</v>
      </c>
      <c r="AZ49" s="161">
        <v>90</v>
      </c>
      <c r="BA49" s="162">
        <v>88</v>
      </c>
      <c r="BB49" s="162">
        <v>89</v>
      </c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3">
        <f t="shared" si="1"/>
        <v>4757</v>
      </c>
    </row>
    <row r="50" spans="1:78" x14ac:dyDescent="0.35">
      <c r="A50" s="154" t="str">
        <f>'[8]Set Up'!E54</f>
        <v>Payzone 850, gal</v>
      </c>
      <c r="B50" s="155">
        <f t="shared" si="2"/>
        <v>34.42307692307692</v>
      </c>
      <c r="C50" s="156">
        <v>35</v>
      </c>
      <c r="D50" s="157">
        <v>35</v>
      </c>
      <c r="E50" s="157">
        <v>34</v>
      </c>
      <c r="F50" s="157">
        <v>43</v>
      </c>
      <c r="G50" s="157">
        <v>34</v>
      </c>
      <c r="H50" s="157">
        <v>34</v>
      </c>
      <c r="I50" s="157">
        <v>34</v>
      </c>
      <c r="J50" s="157">
        <v>35</v>
      </c>
      <c r="K50" s="157">
        <v>35</v>
      </c>
      <c r="L50" s="157">
        <v>34</v>
      </c>
      <c r="M50" s="157">
        <v>34</v>
      </c>
      <c r="N50" s="157">
        <v>34</v>
      </c>
      <c r="O50" s="157">
        <v>33</v>
      </c>
      <c r="P50" s="157">
        <v>33</v>
      </c>
      <c r="Q50" s="157">
        <v>34</v>
      </c>
      <c r="R50" s="157">
        <v>35</v>
      </c>
      <c r="S50" s="157">
        <v>34</v>
      </c>
      <c r="T50" s="107">
        <v>34</v>
      </c>
      <c r="U50" s="107">
        <v>34</v>
      </c>
      <c r="V50" s="107">
        <v>35</v>
      </c>
      <c r="W50" s="107">
        <v>33</v>
      </c>
      <c r="X50" s="107">
        <v>34</v>
      </c>
      <c r="Y50" s="107">
        <v>37</v>
      </c>
      <c r="Z50" s="107">
        <v>33</v>
      </c>
      <c r="AA50" s="107">
        <v>34</v>
      </c>
      <c r="AB50" s="107">
        <v>34</v>
      </c>
      <c r="AC50" s="107">
        <v>34</v>
      </c>
      <c r="AD50" s="107">
        <v>34</v>
      </c>
      <c r="AE50" s="107">
        <v>34</v>
      </c>
      <c r="AF50" s="107">
        <v>34</v>
      </c>
      <c r="AG50" s="107">
        <v>34</v>
      </c>
      <c r="AH50" s="107">
        <v>38</v>
      </c>
      <c r="AI50" s="107">
        <v>34</v>
      </c>
      <c r="AJ50" s="107">
        <v>34</v>
      </c>
      <c r="AK50" s="107">
        <v>35</v>
      </c>
      <c r="AL50" s="107">
        <v>34</v>
      </c>
      <c r="AM50" s="107">
        <v>34</v>
      </c>
      <c r="AN50" s="107">
        <v>35</v>
      </c>
      <c r="AO50" s="107">
        <v>34</v>
      </c>
      <c r="AP50" s="107">
        <v>33</v>
      </c>
      <c r="AQ50" s="107">
        <v>34</v>
      </c>
      <c r="AR50" s="107">
        <v>35</v>
      </c>
      <c r="AS50" s="107">
        <v>34</v>
      </c>
      <c r="AT50" s="107">
        <v>35</v>
      </c>
      <c r="AU50" s="107">
        <v>35</v>
      </c>
      <c r="AV50" s="107">
        <v>35</v>
      </c>
      <c r="AW50" s="107">
        <v>33</v>
      </c>
      <c r="AX50" s="107">
        <v>34</v>
      </c>
      <c r="AY50" s="107">
        <v>35</v>
      </c>
      <c r="AZ50" s="107">
        <v>34</v>
      </c>
      <c r="BA50" s="106">
        <v>33</v>
      </c>
      <c r="BB50" s="106">
        <v>34</v>
      </c>
      <c r="BC50" s="106"/>
      <c r="BD50" s="106"/>
      <c r="BE50" s="106"/>
      <c r="BF50" s="106"/>
      <c r="BG50" s="106"/>
      <c r="BH50" s="106"/>
      <c r="BI50" s="106"/>
      <c r="BJ50" s="106"/>
      <c r="BK50" s="106"/>
      <c r="BL50" s="106"/>
      <c r="BM50" s="106"/>
      <c r="BN50" s="106"/>
      <c r="BO50" s="106"/>
      <c r="BP50" s="106"/>
      <c r="BQ50" s="106"/>
      <c r="BR50" s="106"/>
      <c r="BS50" s="106"/>
      <c r="BT50" s="106"/>
      <c r="BU50" s="106"/>
      <c r="BV50" s="106"/>
      <c r="BW50" s="106"/>
      <c r="BX50" s="106"/>
      <c r="BY50" s="106"/>
      <c r="BZ50" s="158">
        <f t="shared" si="1"/>
        <v>1790</v>
      </c>
    </row>
    <row r="51" spans="1:78" x14ac:dyDescent="0.35">
      <c r="A51" s="147" t="str">
        <f>'[8]Set Up'!E55</f>
        <v>Payzone 217, gal</v>
      </c>
      <c r="B51" s="148">
        <f t="shared" si="2"/>
        <v>91.480769230769226</v>
      </c>
      <c r="C51" s="159">
        <v>91</v>
      </c>
      <c r="D51" s="160">
        <v>92</v>
      </c>
      <c r="E51" s="160">
        <v>91</v>
      </c>
      <c r="F51" s="160">
        <v>115</v>
      </c>
      <c r="G51" s="160">
        <v>92</v>
      </c>
      <c r="H51" s="160">
        <v>90</v>
      </c>
      <c r="I51" s="160">
        <v>92</v>
      </c>
      <c r="J51" s="160">
        <v>93</v>
      </c>
      <c r="K51" s="160">
        <v>97</v>
      </c>
      <c r="L51" s="161">
        <v>93</v>
      </c>
      <c r="M51" s="161">
        <v>92</v>
      </c>
      <c r="N51" s="161">
        <v>90</v>
      </c>
      <c r="O51" s="161">
        <v>88</v>
      </c>
      <c r="P51" s="161">
        <v>89</v>
      </c>
      <c r="Q51" s="161">
        <v>90</v>
      </c>
      <c r="R51" s="161">
        <v>94</v>
      </c>
      <c r="S51" s="161">
        <v>91</v>
      </c>
      <c r="T51" s="161">
        <v>91</v>
      </c>
      <c r="U51" s="161">
        <v>90</v>
      </c>
      <c r="V51" s="161">
        <v>91</v>
      </c>
      <c r="W51" s="161">
        <v>90</v>
      </c>
      <c r="X51" s="161">
        <v>90</v>
      </c>
      <c r="Y51" s="161">
        <v>95</v>
      </c>
      <c r="Z51" s="161">
        <v>90</v>
      </c>
      <c r="AA51" s="161">
        <v>91</v>
      </c>
      <c r="AB51" s="161">
        <v>91</v>
      </c>
      <c r="AC51" s="161">
        <v>91</v>
      </c>
      <c r="AD51" s="161">
        <v>90</v>
      </c>
      <c r="AE51" s="161">
        <v>91</v>
      </c>
      <c r="AF51" s="161">
        <v>91</v>
      </c>
      <c r="AG51" s="161">
        <v>91</v>
      </c>
      <c r="AH51" s="161">
        <v>100</v>
      </c>
      <c r="AI51" s="161">
        <v>91</v>
      </c>
      <c r="AJ51" s="161">
        <v>90</v>
      </c>
      <c r="AK51" s="161">
        <v>93</v>
      </c>
      <c r="AL51" s="161">
        <v>91</v>
      </c>
      <c r="AM51" s="161">
        <v>90</v>
      </c>
      <c r="AN51" s="161">
        <v>91</v>
      </c>
      <c r="AO51" s="161">
        <v>90</v>
      </c>
      <c r="AP51" s="161">
        <v>88</v>
      </c>
      <c r="AQ51" s="161">
        <v>91</v>
      </c>
      <c r="AR51" s="161">
        <v>91</v>
      </c>
      <c r="AS51" s="161">
        <v>91</v>
      </c>
      <c r="AT51" s="161">
        <v>90</v>
      </c>
      <c r="AU51" s="161">
        <v>91</v>
      </c>
      <c r="AV51" s="161">
        <v>90</v>
      </c>
      <c r="AW51" s="161">
        <v>89</v>
      </c>
      <c r="AX51" s="161">
        <v>88</v>
      </c>
      <c r="AY51" s="161">
        <v>92</v>
      </c>
      <c r="AZ51" s="161">
        <v>90</v>
      </c>
      <c r="BA51" s="162">
        <v>88</v>
      </c>
      <c r="BB51" s="162">
        <v>89</v>
      </c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3">
        <f t="shared" si="1"/>
        <v>4757</v>
      </c>
    </row>
    <row r="52" spans="1:78" x14ac:dyDescent="0.35">
      <c r="A52" s="154" t="str">
        <f>'[8]Set Up'!E56</f>
        <v>Stim741 Gel, gal</v>
      </c>
      <c r="B52" s="155">
        <f t="shared" si="2"/>
        <v>10</v>
      </c>
      <c r="C52" s="156">
        <v>10</v>
      </c>
      <c r="D52" s="157">
        <v>10</v>
      </c>
      <c r="E52" s="157">
        <v>10</v>
      </c>
      <c r="F52" s="157">
        <v>10</v>
      </c>
      <c r="G52" s="157">
        <v>10</v>
      </c>
      <c r="H52" s="157">
        <v>10</v>
      </c>
      <c r="I52" s="157">
        <v>10</v>
      </c>
      <c r="J52" s="157">
        <v>10</v>
      </c>
      <c r="K52" s="157">
        <v>10</v>
      </c>
      <c r="L52" s="107">
        <v>10</v>
      </c>
      <c r="M52" s="107">
        <v>10</v>
      </c>
      <c r="N52" s="107">
        <v>10</v>
      </c>
      <c r="O52" s="107">
        <v>10</v>
      </c>
      <c r="P52" s="107">
        <v>10</v>
      </c>
      <c r="Q52" s="107">
        <v>10</v>
      </c>
      <c r="R52" s="107">
        <v>10</v>
      </c>
      <c r="S52" s="107">
        <v>10</v>
      </c>
      <c r="T52" s="107">
        <v>10</v>
      </c>
      <c r="U52" s="107">
        <v>10</v>
      </c>
      <c r="V52" s="107">
        <v>10</v>
      </c>
      <c r="W52" s="107">
        <v>10</v>
      </c>
      <c r="X52" s="107">
        <v>10</v>
      </c>
      <c r="Y52" s="107">
        <v>10</v>
      </c>
      <c r="Z52" s="107">
        <v>10</v>
      </c>
      <c r="AA52" s="107">
        <v>10</v>
      </c>
      <c r="AB52" s="107">
        <v>10</v>
      </c>
      <c r="AC52" s="107">
        <v>10</v>
      </c>
      <c r="AD52" s="107">
        <v>10</v>
      </c>
      <c r="AE52" s="107">
        <v>10</v>
      </c>
      <c r="AF52" s="107">
        <v>10</v>
      </c>
      <c r="AG52" s="107">
        <v>10</v>
      </c>
      <c r="AH52" s="107">
        <v>10</v>
      </c>
      <c r="AI52" s="107">
        <v>10</v>
      </c>
      <c r="AJ52" s="107">
        <v>10</v>
      </c>
      <c r="AK52" s="107">
        <v>10</v>
      </c>
      <c r="AL52" s="107">
        <v>10</v>
      </c>
      <c r="AM52" s="107">
        <v>10</v>
      </c>
      <c r="AN52" s="107">
        <v>10</v>
      </c>
      <c r="AO52" s="107">
        <v>10</v>
      </c>
      <c r="AP52" s="107">
        <v>10</v>
      </c>
      <c r="AQ52" s="107">
        <v>10</v>
      </c>
      <c r="AR52" s="107">
        <v>10</v>
      </c>
      <c r="AS52" s="107">
        <v>10</v>
      </c>
      <c r="AT52" s="107">
        <v>10</v>
      </c>
      <c r="AU52" s="107">
        <v>10</v>
      </c>
      <c r="AV52" s="107">
        <v>10</v>
      </c>
      <c r="AW52" s="107">
        <v>10</v>
      </c>
      <c r="AX52" s="107">
        <v>10</v>
      </c>
      <c r="AY52" s="107">
        <v>10</v>
      </c>
      <c r="AZ52" s="107">
        <v>10</v>
      </c>
      <c r="BA52" s="106">
        <v>10</v>
      </c>
      <c r="BB52" s="106"/>
      <c r="BC52" s="106"/>
      <c r="BD52" s="106"/>
      <c r="BE52" s="106"/>
      <c r="BF52" s="106"/>
      <c r="BG52" s="106"/>
      <c r="BH52" s="106"/>
      <c r="BI52" s="106"/>
      <c r="BJ52" s="106"/>
      <c r="BK52" s="106"/>
      <c r="BL52" s="106"/>
      <c r="BM52" s="106"/>
      <c r="BN52" s="106"/>
      <c r="BO52" s="106"/>
      <c r="BP52" s="106"/>
      <c r="BQ52" s="106"/>
      <c r="BR52" s="106"/>
      <c r="BS52" s="106"/>
      <c r="BT52" s="106"/>
      <c r="BU52" s="106"/>
      <c r="BV52" s="106"/>
      <c r="BW52" s="106"/>
      <c r="BX52" s="106"/>
      <c r="BY52" s="106"/>
      <c r="BZ52" s="158">
        <f t="shared" si="1"/>
        <v>510</v>
      </c>
    </row>
    <row r="53" spans="1:78" x14ac:dyDescent="0.35">
      <c r="A53" s="147" t="str">
        <f>'[8]Set Up'!E57</f>
        <v>Diesel</v>
      </c>
      <c r="B53" s="148" t="str">
        <f t="shared" si="2"/>
        <v/>
      </c>
      <c r="C53" s="159"/>
      <c r="D53" s="160">
        <v>4130</v>
      </c>
      <c r="E53" s="160">
        <v>3354.3</v>
      </c>
      <c r="F53" s="160">
        <v>4272.3999999999996</v>
      </c>
      <c r="G53" s="160">
        <v>3348.8</v>
      </c>
      <c r="H53" s="160">
        <v>4129.3999999999996</v>
      </c>
      <c r="I53" s="160">
        <v>3473</v>
      </c>
      <c r="J53" s="160">
        <v>3955.68</v>
      </c>
      <c r="K53" s="160">
        <v>3891.8</v>
      </c>
      <c r="L53" s="161">
        <v>3943</v>
      </c>
      <c r="M53" s="161">
        <v>3906</v>
      </c>
      <c r="N53" s="161">
        <v>3823</v>
      </c>
      <c r="O53" s="161">
        <v>3379</v>
      </c>
      <c r="P53" s="161">
        <v>3395</v>
      </c>
      <c r="Q53" s="161">
        <v>3226.8</v>
      </c>
      <c r="R53" s="161">
        <v>3475.3</v>
      </c>
      <c r="S53" s="161">
        <v>3344</v>
      </c>
      <c r="T53" s="161">
        <v>4552.6000000000004</v>
      </c>
      <c r="U53" s="161">
        <v>3724.6</v>
      </c>
      <c r="V53" s="161">
        <v>3477.9</v>
      </c>
      <c r="W53" s="161">
        <v>3508</v>
      </c>
      <c r="X53" s="161">
        <v>4052</v>
      </c>
      <c r="Y53" s="161">
        <v>3671</v>
      </c>
      <c r="Z53" s="161">
        <v>3747</v>
      </c>
      <c r="AA53" s="161">
        <v>4052</v>
      </c>
      <c r="AB53" s="161">
        <v>3467.3</v>
      </c>
      <c r="AC53" s="161">
        <v>3648</v>
      </c>
      <c r="AD53" s="161">
        <v>3700</v>
      </c>
      <c r="AE53" s="161">
        <v>3825.7</v>
      </c>
      <c r="AF53" s="161">
        <v>3818.8</v>
      </c>
      <c r="AG53" s="161">
        <v>3495.1</v>
      </c>
      <c r="AH53" s="161">
        <v>3979</v>
      </c>
      <c r="AI53" s="161">
        <v>3300</v>
      </c>
      <c r="AJ53" s="161">
        <v>4032.1</v>
      </c>
      <c r="AK53" s="161">
        <v>3289</v>
      </c>
      <c r="AL53" s="161">
        <v>3569</v>
      </c>
      <c r="AM53" s="161">
        <v>3431.2</v>
      </c>
      <c r="AN53" s="161">
        <v>1321.1</v>
      </c>
      <c r="AO53" s="161">
        <v>3596</v>
      </c>
      <c r="AP53" s="161">
        <v>3303</v>
      </c>
      <c r="AQ53" s="161">
        <v>3552</v>
      </c>
      <c r="AR53" s="161">
        <v>2347</v>
      </c>
      <c r="AS53" s="161">
        <v>3226</v>
      </c>
      <c r="AT53" s="161">
        <v>3225</v>
      </c>
      <c r="AU53" s="161">
        <v>3703</v>
      </c>
      <c r="AV53" s="161">
        <v>2965</v>
      </c>
      <c r="AW53" s="161">
        <v>2899</v>
      </c>
      <c r="AX53" s="161">
        <v>3408</v>
      </c>
      <c r="AY53" s="161">
        <v>3265</v>
      </c>
      <c r="AZ53" s="161">
        <v>3143.7</v>
      </c>
      <c r="BA53" s="162">
        <v>3209.5</v>
      </c>
      <c r="BB53" s="162">
        <v>3771</v>
      </c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3">
        <f t="shared" si="1"/>
        <v>180322.08000000005</v>
      </c>
    </row>
    <row r="54" spans="1:78" x14ac:dyDescent="0.35">
      <c r="A54" s="154">
        <f>'[8]Set Up'!E58</f>
        <v>0</v>
      </c>
      <c r="B54" s="155" t="str">
        <f t="shared" si="2"/>
        <v/>
      </c>
      <c r="C54" s="156"/>
      <c r="D54" s="157"/>
      <c r="E54" s="157"/>
      <c r="F54" s="157"/>
      <c r="G54" s="157"/>
      <c r="H54" s="157"/>
      <c r="I54" s="157"/>
      <c r="J54" s="157"/>
      <c r="K54" s="15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6"/>
      <c r="BB54" s="106"/>
      <c r="BC54" s="106"/>
      <c r="BD54" s="106"/>
      <c r="BE54" s="106"/>
      <c r="BF54" s="106"/>
      <c r="BG54" s="106"/>
      <c r="BH54" s="106"/>
      <c r="BI54" s="106"/>
      <c r="BJ54" s="106"/>
      <c r="BK54" s="106"/>
      <c r="BL54" s="106"/>
      <c r="BM54" s="106"/>
      <c r="BN54" s="106"/>
      <c r="BO54" s="106"/>
      <c r="BP54" s="106"/>
      <c r="BQ54" s="106"/>
      <c r="BR54" s="106"/>
      <c r="BS54" s="106"/>
      <c r="BT54" s="106"/>
      <c r="BU54" s="106"/>
      <c r="BV54" s="106"/>
      <c r="BW54" s="106"/>
      <c r="BX54" s="106"/>
      <c r="BY54" s="106"/>
      <c r="BZ54" s="158">
        <f t="shared" si="1"/>
        <v>0</v>
      </c>
    </row>
    <row r="55" spans="1:78" x14ac:dyDescent="0.35">
      <c r="A55" s="147">
        <f>'[8]Set Up'!E59</f>
        <v>0</v>
      </c>
      <c r="B55" s="148" t="str">
        <f t="shared" si="2"/>
        <v/>
      </c>
      <c r="C55" s="159"/>
      <c r="D55" s="160"/>
      <c r="E55" s="160"/>
      <c r="F55" s="160"/>
      <c r="G55" s="160"/>
      <c r="H55" s="160"/>
      <c r="I55" s="160"/>
      <c r="J55" s="160"/>
      <c r="K55" s="160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1"/>
      <c r="AU55" s="161"/>
      <c r="AV55" s="161"/>
      <c r="AW55" s="161"/>
      <c r="AX55" s="161"/>
      <c r="AY55" s="161"/>
      <c r="AZ55" s="161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3">
        <f t="shared" si="1"/>
        <v>0</v>
      </c>
    </row>
    <row r="56" spans="1:78" x14ac:dyDescent="0.35">
      <c r="A56" s="154">
        <f>'[8]Set Up'!E60</f>
        <v>0</v>
      </c>
      <c r="B56" s="155" t="str">
        <f t="shared" si="2"/>
        <v/>
      </c>
      <c r="C56" s="156"/>
      <c r="D56" s="157"/>
      <c r="E56" s="157"/>
      <c r="F56" s="157"/>
      <c r="G56" s="157"/>
      <c r="H56" s="157"/>
      <c r="I56" s="157"/>
      <c r="J56" s="157"/>
      <c r="K56" s="15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6"/>
      <c r="BB56" s="106"/>
      <c r="BC56" s="106"/>
      <c r="BD56" s="106"/>
      <c r="BE56" s="106"/>
      <c r="BF56" s="106"/>
      <c r="BG56" s="106"/>
      <c r="BH56" s="106"/>
      <c r="BI56" s="106"/>
      <c r="BJ56" s="106"/>
      <c r="BK56" s="106"/>
      <c r="BL56" s="106"/>
      <c r="BM56" s="106"/>
      <c r="BN56" s="106"/>
      <c r="BO56" s="106"/>
      <c r="BP56" s="106"/>
      <c r="BQ56" s="106"/>
      <c r="BR56" s="106"/>
      <c r="BS56" s="106"/>
      <c r="BT56" s="106"/>
      <c r="BU56" s="106"/>
      <c r="BV56" s="106"/>
      <c r="BW56" s="106"/>
      <c r="BX56" s="106"/>
      <c r="BY56" s="106"/>
      <c r="BZ56" s="158">
        <f t="shared" si="1"/>
        <v>0</v>
      </c>
    </row>
    <row r="57" spans="1:78" x14ac:dyDescent="0.35">
      <c r="A57" s="164">
        <f>'[8]Set Up'!E61</f>
        <v>0</v>
      </c>
      <c r="B57" s="165" t="str">
        <f t="shared" si="2"/>
        <v/>
      </c>
      <c r="C57" s="159"/>
      <c r="D57" s="160"/>
      <c r="E57" s="160"/>
      <c r="F57" s="160"/>
      <c r="G57" s="160"/>
      <c r="H57" s="160"/>
      <c r="I57" s="160"/>
      <c r="J57" s="160"/>
      <c r="K57" s="160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3">
        <f t="shared" si="1"/>
        <v>0</v>
      </c>
    </row>
    <row r="58" spans="1:78" x14ac:dyDescent="0.35">
      <c r="A58" s="166" t="str">
        <f>'[8]Set Up'!E62</f>
        <v>15% HCl Acid, gal</v>
      </c>
      <c r="B58" s="167">
        <f t="shared" si="2"/>
        <v>1222.2692307692307</v>
      </c>
      <c r="C58" s="156">
        <v>1269</v>
      </c>
      <c r="D58" s="157">
        <v>1245</v>
      </c>
      <c r="E58" s="157">
        <v>1197</v>
      </c>
      <c r="F58" s="157">
        <v>1251</v>
      </c>
      <c r="G58" s="157">
        <v>1206</v>
      </c>
      <c r="H58" s="157">
        <v>1163</v>
      </c>
      <c r="I58" s="157">
        <v>1172</v>
      </c>
      <c r="J58" s="157">
        <v>1150</v>
      </c>
      <c r="K58" s="157">
        <v>1219</v>
      </c>
      <c r="L58" s="107">
        <v>1269</v>
      </c>
      <c r="M58" s="107">
        <v>1264</v>
      </c>
      <c r="N58" s="107">
        <v>1229</v>
      </c>
      <c r="O58" s="107">
        <v>1172</v>
      </c>
      <c r="P58" s="107">
        <v>1285</v>
      </c>
      <c r="Q58" s="107">
        <v>1190</v>
      </c>
      <c r="R58" s="107">
        <v>1160</v>
      </c>
      <c r="S58" s="107">
        <v>1224</v>
      </c>
      <c r="T58" s="107">
        <v>1261</v>
      </c>
      <c r="U58" s="107">
        <v>1269</v>
      </c>
      <c r="V58" s="107">
        <v>1256</v>
      </c>
      <c r="W58" s="107">
        <v>1211</v>
      </c>
      <c r="X58" s="107">
        <v>1140</v>
      </c>
      <c r="Y58" s="107">
        <v>1156</v>
      </c>
      <c r="Z58" s="107">
        <v>1288</v>
      </c>
      <c r="AA58" s="107">
        <v>1219</v>
      </c>
      <c r="AB58" s="107">
        <v>1259</v>
      </c>
      <c r="AC58" s="107">
        <v>1269</v>
      </c>
      <c r="AD58" s="107">
        <v>1259</v>
      </c>
      <c r="AE58" s="107">
        <v>1219</v>
      </c>
      <c r="AF58" s="107">
        <v>1150</v>
      </c>
      <c r="AG58" s="107">
        <v>1227</v>
      </c>
      <c r="AH58" s="107">
        <v>1206</v>
      </c>
      <c r="AI58" s="107">
        <v>1172</v>
      </c>
      <c r="AJ58" s="107">
        <v>1230</v>
      </c>
      <c r="AK58" s="107">
        <v>1264</v>
      </c>
      <c r="AL58" s="107">
        <v>1269</v>
      </c>
      <c r="AM58" s="107">
        <v>1251</v>
      </c>
      <c r="AN58" s="107">
        <v>1206</v>
      </c>
      <c r="AO58" s="107">
        <v>1261</v>
      </c>
      <c r="AP58" s="107">
        <v>1230</v>
      </c>
      <c r="AQ58" s="107">
        <v>1156</v>
      </c>
      <c r="AR58" s="107">
        <v>1222</v>
      </c>
      <c r="AS58" s="107">
        <v>1179</v>
      </c>
      <c r="AT58" s="107">
        <v>1237</v>
      </c>
      <c r="AU58" s="107">
        <v>1264</v>
      </c>
      <c r="AV58" s="107">
        <v>1269</v>
      </c>
      <c r="AW58" s="107">
        <v>1245</v>
      </c>
      <c r="AX58" s="107">
        <v>1178</v>
      </c>
      <c r="AY58" s="107">
        <v>1251</v>
      </c>
      <c r="AZ58" s="107">
        <v>1206</v>
      </c>
      <c r="BA58" s="107">
        <v>1179</v>
      </c>
      <c r="BB58" s="107">
        <v>1235</v>
      </c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90">
        <f t="shared" si="1"/>
        <v>63558</v>
      </c>
    </row>
  </sheetData>
  <mergeCells count="17">
    <mergeCell ref="A1:D1"/>
    <mergeCell ref="E1:K1"/>
    <mergeCell ref="L1:V6"/>
    <mergeCell ref="B2:D2"/>
    <mergeCell ref="F2:G2"/>
    <mergeCell ref="B3:D3"/>
    <mergeCell ref="F3:G3"/>
    <mergeCell ref="B4:D4"/>
    <mergeCell ref="F4:G4"/>
    <mergeCell ref="B5:D5"/>
    <mergeCell ref="C16:I16"/>
    <mergeCell ref="F5:G5"/>
    <mergeCell ref="B6:E6"/>
    <mergeCell ref="F6:H6"/>
    <mergeCell ref="I6:K6"/>
    <mergeCell ref="B8:B12"/>
    <mergeCell ref="B13:B15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Z57"/>
  <sheetViews>
    <sheetView topLeftCell="A16" workbookViewId="0">
      <selection activeCell="A31" sqref="A31:A57"/>
    </sheetView>
  </sheetViews>
  <sheetFormatPr defaultRowHeight="14.5" x14ac:dyDescent="0.35"/>
  <cols>
    <col min="1" max="1" width="21.1796875" bestFit="1" customWidth="1"/>
    <col min="2" max="2" width="17.81640625" bestFit="1" customWidth="1"/>
    <col min="3" max="4" width="7.453125" bestFit="1" customWidth="1"/>
    <col min="5" max="5" width="9.54296875" bestFit="1" customWidth="1"/>
    <col min="6" max="7" width="7.453125" bestFit="1" customWidth="1"/>
    <col min="8" max="8" width="8.1796875" bestFit="1" customWidth="1"/>
    <col min="9" max="9" width="7.453125" bestFit="1" customWidth="1"/>
    <col min="10" max="10" width="8" bestFit="1" customWidth="1"/>
    <col min="11" max="55" width="7.453125" bestFit="1" customWidth="1"/>
    <col min="56" max="56" width="5.7265625" bestFit="1" customWidth="1"/>
    <col min="57" max="77" width="3.1796875" bestFit="1" customWidth="1"/>
    <col min="78" max="78" width="9.81640625" bestFit="1" customWidth="1"/>
  </cols>
  <sheetData>
    <row r="1" spans="1:78" x14ac:dyDescent="0.35">
      <c r="A1" s="3" t="s">
        <v>1</v>
      </c>
      <c r="B1" s="188">
        <f>'[9]Set Up'!E4</f>
        <v>0</v>
      </c>
      <c r="C1" s="207"/>
      <c r="D1" s="208"/>
      <c r="E1" s="4" t="s">
        <v>2</v>
      </c>
      <c r="F1" s="209" t="str">
        <f>'[9]Set Up'!E8</f>
        <v>Reeves County, TX</v>
      </c>
      <c r="G1" s="210"/>
      <c r="H1" s="5" t="str">
        <f>'[9]Set Up'!K14</f>
        <v>Length</v>
      </c>
      <c r="I1" s="6" t="str">
        <f>'[9]Set Up'!E14</f>
        <v>OD</v>
      </c>
      <c r="J1" s="7" t="str">
        <f>'[9]Set Up'!F14</f>
        <v>Weight</v>
      </c>
      <c r="K1" s="6" t="str">
        <f>'[9]Set Up'!H14</f>
        <v>Grade</v>
      </c>
      <c r="L1" s="177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8"/>
    </row>
    <row r="2" spans="1:78" x14ac:dyDescent="0.35">
      <c r="A2" s="3" t="s">
        <v>3</v>
      </c>
      <c r="B2" s="188" t="str">
        <f>'[9]Set Up'!E6</f>
        <v>Matt Jones</v>
      </c>
      <c r="C2" s="207"/>
      <c r="D2" s="208"/>
      <c r="E2" s="4" t="s">
        <v>4</v>
      </c>
      <c r="F2" s="209" t="str">
        <f>'[9]Set Up'!J6</f>
        <v>Hot</v>
      </c>
      <c r="G2" s="210"/>
      <c r="H2" s="5">
        <f>'[9]Set Up'!K15</f>
        <v>12228</v>
      </c>
      <c r="I2" s="6" t="str">
        <f>'[9]Set Up'!E15</f>
        <v>5-1/2"</v>
      </c>
      <c r="J2" s="7">
        <f>'[9]Set Up'!F15</f>
        <v>23</v>
      </c>
      <c r="K2" s="6" t="str">
        <f>'[9]Set Up'!H15</f>
        <v>L-80</v>
      </c>
      <c r="L2" s="177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8"/>
    </row>
    <row r="3" spans="1:78" x14ac:dyDescent="0.35">
      <c r="A3" s="3" t="s">
        <v>5</v>
      </c>
      <c r="B3" s="188" t="str">
        <f>'[9]Set Up'!E5</f>
        <v>Anadarko Petroleum Corporation</v>
      </c>
      <c r="C3" s="207"/>
      <c r="D3" s="208"/>
      <c r="E3" s="4" t="s">
        <v>6</v>
      </c>
      <c r="F3" s="211" t="str">
        <f>'[9]Set Up'!R1</f>
        <v>Max Pressure, psi</v>
      </c>
      <c r="G3" s="212"/>
      <c r="H3" s="5">
        <f>'[9]Set Up'!K16</f>
        <v>11476</v>
      </c>
      <c r="I3" s="6" t="str">
        <f>'[9]Set Up'!E16</f>
        <v>4-1/2"</v>
      </c>
      <c r="J3" s="7">
        <f>'[9]Set Up'!F16</f>
        <v>13.5</v>
      </c>
      <c r="K3" s="6" t="str">
        <f>'[9]Set Up'!H16</f>
        <v>P-110</v>
      </c>
      <c r="L3" s="177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9"/>
    </row>
    <row r="4" spans="1:78" x14ac:dyDescent="0.35">
      <c r="A4" s="3" t="s">
        <v>7</v>
      </c>
      <c r="B4" s="188" t="str">
        <f>'[9]Set Up'!E7</f>
        <v>Silvertip 76-7 Unit A 9H</v>
      </c>
      <c r="C4" s="207"/>
      <c r="D4" s="208"/>
      <c r="E4" s="10" t="s">
        <v>8</v>
      </c>
      <c r="F4" s="186" t="str">
        <f>'[9]Set Up'!R10</f>
        <v>Job Type</v>
      </c>
      <c r="G4" s="187"/>
      <c r="H4" s="5" t="str">
        <f>'[9]Set Up'!K17</f>
        <v/>
      </c>
      <c r="I4" s="6" t="str">
        <f>'[9]Set Up'!E17</f>
        <v/>
      </c>
      <c r="J4" s="7" t="str">
        <f>'[9]Set Up'!F17</f>
        <v/>
      </c>
      <c r="K4" s="6" t="str">
        <f>'[9]Set Up'!H17</f>
        <v/>
      </c>
      <c r="L4" s="177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8"/>
    </row>
    <row r="5" spans="1:78" x14ac:dyDescent="0.35">
      <c r="A5" s="3" t="s">
        <v>9</v>
      </c>
      <c r="B5" s="188" t="str">
        <f>'[9]Set Up'!E9</f>
        <v>Wolfcamp Upper Delta</v>
      </c>
      <c r="C5" s="189"/>
      <c r="D5" s="189"/>
      <c r="E5" s="190"/>
      <c r="F5" s="191" t="str">
        <f>'[9]Set Up'!E10</f>
        <v>PumpCo 3</v>
      </c>
      <c r="G5" s="192"/>
      <c r="H5" s="193"/>
      <c r="I5" s="191" t="str">
        <f>'[9]Set Up'!E11</f>
        <v>Odessa</v>
      </c>
      <c r="J5" s="192"/>
      <c r="K5" s="193"/>
      <c r="L5" s="179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3"/>
    </row>
    <row r="6" spans="1:78" ht="15" thickBot="1" x14ac:dyDescent="0.4">
      <c r="A6" s="14" t="s">
        <v>10</v>
      </c>
      <c r="B6" s="15" t="s">
        <v>11</v>
      </c>
      <c r="C6" s="15">
        <v>1</v>
      </c>
      <c r="D6" s="15">
        <v>2</v>
      </c>
      <c r="E6" s="15">
        <v>3</v>
      </c>
      <c r="F6" s="16">
        <v>4</v>
      </c>
      <c r="G6" s="15">
        <v>5</v>
      </c>
      <c r="H6" s="15">
        <v>6</v>
      </c>
      <c r="I6" s="15">
        <v>7</v>
      </c>
      <c r="J6" s="15">
        <v>8</v>
      </c>
      <c r="K6" s="15">
        <v>9</v>
      </c>
      <c r="L6" s="15">
        <v>10</v>
      </c>
      <c r="M6" s="15">
        <v>11</v>
      </c>
      <c r="N6" s="15">
        <v>12</v>
      </c>
      <c r="O6" s="15">
        <v>13</v>
      </c>
      <c r="P6" s="15">
        <v>14</v>
      </c>
      <c r="Q6" s="15">
        <v>15</v>
      </c>
      <c r="R6" s="15">
        <v>16</v>
      </c>
      <c r="S6" s="15">
        <v>17</v>
      </c>
      <c r="T6" s="15">
        <v>18</v>
      </c>
      <c r="U6" s="15">
        <v>19</v>
      </c>
      <c r="V6" s="15">
        <v>20</v>
      </c>
      <c r="W6" s="15">
        <v>21</v>
      </c>
      <c r="X6" s="15">
        <v>22</v>
      </c>
      <c r="Y6" s="15">
        <v>23</v>
      </c>
      <c r="Z6" s="15">
        <v>24</v>
      </c>
      <c r="AA6" s="15">
        <v>25</v>
      </c>
      <c r="AB6" s="15">
        <v>26</v>
      </c>
      <c r="AC6" s="15">
        <v>27</v>
      </c>
      <c r="AD6" s="15">
        <v>28</v>
      </c>
      <c r="AE6" s="15">
        <v>29</v>
      </c>
      <c r="AF6" s="15">
        <v>30</v>
      </c>
      <c r="AG6" s="15">
        <v>31</v>
      </c>
      <c r="AH6" s="15">
        <v>32</v>
      </c>
      <c r="AI6" s="15">
        <v>33</v>
      </c>
      <c r="AJ6" s="15">
        <v>34</v>
      </c>
      <c r="AK6" s="15">
        <v>35</v>
      </c>
      <c r="AL6" s="15">
        <v>36</v>
      </c>
      <c r="AM6" s="15">
        <v>37</v>
      </c>
      <c r="AN6" s="15">
        <v>38</v>
      </c>
      <c r="AO6" s="15">
        <v>39</v>
      </c>
      <c r="AP6" s="15">
        <v>40</v>
      </c>
      <c r="AQ6" s="15">
        <v>41</v>
      </c>
      <c r="AR6" s="15">
        <v>42</v>
      </c>
      <c r="AS6" s="15">
        <v>43</v>
      </c>
      <c r="AT6" s="15">
        <v>44</v>
      </c>
      <c r="AU6" s="15">
        <v>45</v>
      </c>
      <c r="AV6" s="15">
        <v>46</v>
      </c>
      <c r="AW6" s="15">
        <v>47</v>
      </c>
      <c r="AX6" s="15">
        <v>48</v>
      </c>
      <c r="AY6" s="15">
        <v>49</v>
      </c>
      <c r="AZ6" s="15">
        <v>50</v>
      </c>
      <c r="BA6" s="15">
        <v>51</v>
      </c>
      <c r="BB6" s="15">
        <v>52</v>
      </c>
      <c r="BC6" s="15">
        <v>53</v>
      </c>
      <c r="BD6" s="15">
        <v>54</v>
      </c>
      <c r="BE6" s="15">
        <v>55</v>
      </c>
      <c r="BF6" s="15">
        <v>56</v>
      </c>
      <c r="BG6" s="15">
        <v>57</v>
      </c>
      <c r="BH6" s="15">
        <v>58</v>
      </c>
      <c r="BI6" s="15">
        <v>59</v>
      </c>
      <c r="BJ6" s="15">
        <v>60</v>
      </c>
      <c r="BK6" s="15">
        <v>61</v>
      </c>
      <c r="BL6" s="15">
        <v>62</v>
      </c>
      <c r="BM6" s="15">
        <v>63</v>
      </c>
      <c r="BN6" s="15">
        <v>64</v>
      </c>
      <c r="BO6" s="15">
        <v>65</v>
      </c>
      <c r="BP6" s="15">
        <v>66</v>
      </c>
      <c r="BQ6" s="15">
        <v>67</v>
      </c>
      <c r="BR6" s="15">
        <v>68</v>
      </c>
      <c r="BS6" s="15">
        <v>69</v>
      </c>
      <c r="BT6" s="15">
        <v>70</v>
      </c>
      <c r="BU6" s="15">
        <v>71</v>
      </c>
      <c r="BV6" s="15">
        <v>72</v>
      </c>
      <c r="BW6" s="15">
        <v>73</v>
      </c>
      <c r="BX6" s="15">
        <v>74</v>
      </c>
      <c r="BY6" s="15">
        <v>75</v>
      </c>
      <c r="BZ6" s="17" t="s">
        <v>12</v>
      </c>
    </row>
    <row r="7" spans="1:78" x14ac:dyDescent="0.35">
      <c r="A7" s="18" t="s">
        <v>13</v>
      </c>
      <c r="B7" s="194" t="s">
        <v>14</v>
      </c>
      <c r="C7" s="19">
        <f>'[9]Set Up'!$U$2</f>
        <v>23490</v>
      </c>
      <c r="D7" s="19">
        <f>'[9]Set Up'!$U$3</f>
        <v>23289</v>
      </c>
      <c r="E7" s="19">
        <f>'[9]Set Up'!$U$4</f>
        <v>23088</v>
      </c>
      <c r="F7" s="19">
        <f>'[9]Set Up'!$U$5</f>
        <v>22887</v>
      </c>
      <c r="G7" s="19">
        <f>'[9]Set Up'!$U$6</f>
        <v>22686</v>
      </c>
      <c r="H7" s="19">
        <f>'[9]Set Up'!$U$7</f>
        <v>22484</v>
      </c>
      <c r="I7" s="19">
        <f>'[9]Set Up'!$U$8</f>
        <v>22283</v>
      </c>
      <c r="J7" s="19">
        <f>'[9]Set Up'!$U$9</f>
        <v>22082</v>
      </c>
      <c r="K7" s="19">
        <f>'[9]Set Up'!$U$10</f>
        <v>21881</v>
      </c>
      <c r="L7" s="19">
        <f>'[9]Set Up'!$U$11</f>
        <v>21680</v>
      </c>
      <c r="M7" s="19">
        <f>'[9]Set Up'!$U$12</f>
        <v>21479</v>
      </c>
      <c r="N7" s="19">
        <f>'[9]Set Up'!$U$13</f>
        <v>21227</v>
      </c>
      <c r="O7" s="19">
        <f>'[9]Set Up'!$U$14</f>
        <v>21076</v>
      </c>
      <c r="P7" s="19">
        <f>'[9]Set Up'!$U$15</f>
        <v>20875</v>
      </c>
      <c r="Q7" s="19">
        <f>'[9]Set Up'!$U$16</f>
        <v>20674</v>
      </c>
      <c r="R7" s="19">
        <f>'[9]Set Up'!$U$17</f>
        <v>20473</v>
      </c>
      <c r="S7" s="19">
        <f>'[9]Set Up'!$U$18</f>
        <v>20272</v>
      </c>
      <c r="T7" s="19">
        <f>'[9]Set Up'!$U$19</f>
        <v>20071</v>
      </c>
      <c r="U7" s="19">
        <f>'[9]Set Up'!$U$20</f>
        <v>19869</v>
      </c>
      <c r="V7" s="19">
        <f>'[9]Set Up'!$U$21</f>
        <v>19668</v>
      </c>
      <c r="W7" s="19">
        <f>'[9]Set Up'!$U$22</f>
        <v>19467</v>
      </c>
      <c r="X7" s="19">
        <f>'[9]Set Up'!$U$23</f>
        <v>19266</v>
      </c>
      <c r="Y7" s="19">
        <f>'[9]Set Up'!$U$24</f>
        <v>19065</v>
      </c>
      <c r="Z7" s="19">
        <f>'[9]Set Up'!$U$25</f>
        <v>18864</v>
      </c>
      <c r="AA7" s="19">
        <f>'[9]Set Up'!$U$26</f>
        <v>18662</v>
      </c>
      <c r="AB7" s="19">
        <f>'[9]Set Up'!$U$27</f>
        <v>18461</v>
      </c>
      <c r="AC7" s="19">
        <f>'[9]Set Up'!$U$28</f>
        <v>18260</v>
      </c>
      <c r="AD7" s="19">
        <f>'[9]Set Up'!$U$29</f>
        <v>18059</v>
      </c>
      <c r="AE7" s="19">
        <f>'[9]Set Up'!$U$30</f>
        <v>17858</v>
      </c>
      <c r="AF7" s="19">
        <f>'[9]Set Up'!$U$31</f>
        <v>17657</v>
      </c>
      <c r="AG7" s="19">
        <f>'[9]Set Up'!$U$32</f>
        <v>17455</v>
      </c>
      <c r="AH7" s="19">
        <f>'[9]Set Up'!$U$33</f>
        <v>17254</v>
      </c>
      <c r="AI7" s="19">
        <f>'[9]Set Up'!$U$34</f>
        <v>17053</v>
      </c>
      <c r="AJ7" s="19">
        <f>'[9]Set Up'!$U$35</f>
        <v>16852</v>
      </c>
      <c r="AK7" s="19">
        <f>'[9]Set Up'!$U$36</f>
        <v>16651</v>
      </c>
      <c r="AL7" s="19">
        <f>'[9]Set Up'!$U$37</f>
        <v>16450</v>
      </c>
      <c r="AM7" s="19">
        <f>'[9]Set Up'!$U$38</f>
        <v>16249</v>
      </c>
      <c r="AN7" s="19">
        <f>'[9]Set Up'!$U$39</f>
        <v>16047</v>
      </c>
      <c r="AO7" s="19">
        <f>'[9]Set Up'!$U$40</f>
        <v>15846</v>
      </c>
      <c r="AP7" s="19">
        <f>'[9]Set Up'!$U$41</f>
        <v>15645</v>
      </c>
      <c r="AQ7" s="19">
        <f>'[9]Set Up'!$U$42</f>
        <v>15444</v>
      </c>
      <c r="AR7" s="19">
        <f>'[9]Set Up'!$U$43</f>
        <v>15243</v>
      </c>
      <c r="AS7" s="19">
        <f>'[9]Set Up'!$U$44</f>
        <v>15042</v>
      </c>
      <c r="AT7" s="19">
        <f>'[9]Set Up'!$U$45</f>
        <v>14840</v>
      </c>
      <c r="AU7" s="19">
        <f>'[9]Set Up'!$U$46</f>
        <v>14639</v>
      </c>
      <c r="AV7" s="19">
        <f>'[9]Set Up'!$U$47</f>
        <v>14438</v>
      </c>
      <c r="AW7" s="19">
        <f>'[9]Set Up'!$U$48</f>
        <v>14237</v>
      </c>
      <c r="AX7" s="19">
        <f>'[9]Set Up'!$U$49</f>
        <v>14036</v>
      </c>
      <c r="AY7" s="19">
        <f>'[9]Set Up'!$U$50</f>
        <v>13835</v>
      </c>
      <c r="AZ7" s="19">
        <f>'[9]Set Up'!$U$51</f>
        <v>13633</v>
      </c>
      <c r="BA7" s="19">
        <f>'[9]Set Up'!$U$52</f>
        <v>13432</v>
      </c>
      <c r="BB7" s="19">
        <f>'[9]Set Up'!$U$53</f>
        <v>13231</v>
      </c>
      <c r="BC7" s="19">
        <f>'[9]Set Up'!$U$54</f>
        <v>13030</v>
      </c>
      <c r="BD7" s="19">
        <f>'[9]Set Up'!$U$55</f>
        <v>0</v>
      </c>
      <c r="BE7" s="19">
        <f>'[9]Set Up'!$U$56</f>
        <v>0</v>
      </c>
      <c r="BF7" s="19">
        <f>'[9]Set Up'!$U$57</f>
        <v>0</v>
      </c>
      <c r="BG7" s="19">
        <f>'[9]Set Up'!$U$58</f>
        <v>0</v>
      </c>
      <c r="BH7" s="19">
        <f>'[9]Set Up'!$U$59</f>
        <v>0</v>
      </c>
      <c r="BI7" s="19">
        <f>'[9]Set Up'!$U$60</f>
        <v>0</v>
      </c>
      <c r="BJ7" s="19">
        <f>'[9]Set Up'!$U$61</f>
        <v>0</v>
      </c>
      <c r="BK7" s="19">
        <f>'[9]Set Up'!$U$62</f>
        <v>0</v>
      </c>
      <c r="BL7" s="19">
        <f>'[9]Set Up'!$U$63</f>
        <v>0</v>
      </c>
      <c r="BM7" s="19">
        <f>'[9]Set Up'!$U$64</f>
        <v>0</v>
      </c>
      <c r="BN7" s="19">
        <f>'[9]Set Up'!$U$65</f>
        <v>0</v>
      </c>
      <c r="BO7" s="19">
        <f>'[9]Set Up'!$U$66</f>
        <v>0</v>
      </c>
      <c r="BP7" s="19">
        <f>'[9]Set Up'!$U$67</f>
        <v>0</v>
      </c>
      <c r="BQ7" s="19">
        <f>'[9]Set Up'!$U$68</f>
        <v>0</v>
      </c>
      <c r="BR7" s="19">
        <f>'[9]Set Up'!$U$69</f>
        <v>0</v>
      </c>
      <c r="BS7" s="19">
        <f>'[9]Set Up'!$U$70</f>
        <v>0</v>
      </c>
      <c r="BT7" s="19">
        <f>'[9]Set Up'!$U$71</f>
        <v>0</v>
      </c>
      <c r="BU7" s="19">
        <f>'[9]Set Up'!$U$72</f>
        <v>0</v>
      </c>
      <c r="BV7" s="19">
        <f>'[9]Set Up'!$U$73</f>
        <v>0</v>
      </c>
      <c r="BW7" s="19">
        <f>'[9]Set Up'!$U$74</f>
        <v>0</v>
      </c>
      <c r="BX7" s="19">
        <f>'[9]Set Up'!$U$75</f>
        <v>0</v>
      </c>
      <c r="BY7" s="19">
        <f>'[9]Set Up'!$U$76</f>
        <v>0</v>
      </c>
      <c r="BZ7" s="8"/>
    </row>
    <row r="8" spans="1:78" x14ac:dyDescent="0.35">
      <c r="A8" s="20" t="s">
        <v>15</v>
      </c>
      <c r="B8" s="195"/>
      <c r="C8" s="21" t="str">
        <f>'[9]Set Up'!$V1</f>
        <v>Bot Perf</v>
      </c>
      <c r="D8" s="21">
        <f>'[9]Set Up'!$V2</f>
        <v>23652</v>
      </c>
      <c r="E8" s="21">
        <f>'[9]Set Up'!$V3</f>
        <v>23451</v>
      </c>
      <c r="F8" s="21">
        <f>'[9]Set Up'!$V4</f>
        <v>23250</v>
      </c>
      <c r="G8" s="21">
        <f>'[9]Set Up'!$V5</f>
        <v>23049</v>
      </c>
      <c r="H8" s="21">
        <f>'[9]Set Up'!$V6</f>
        <v>22848</v>
      </c>
      <c r="I8" s="21">
        <f>'[9]Set Up'!$V7</f>
        <v>22647</v>
      </c>
      <c r="J8" s="21">
        <f>'[9]Set Up'!$V8</f>
        <v>22445</v>
      </c>
      <c r="K8" s="21">
        <f>'[9]Set Up'!$V9</f>
        <v>22244</v>
      </c>
      <c r="L8" s="21">
        <f>'[9]Set Up'!$V10</f>
        <v>22043</v>
      </c>
      <c r="M8" s="21">
        <f>'[9]Set Up'!$V11</f>
        <v>21842</v>
      </c>
      <c r="N8" s="21">
        <f>'[9]Set Up'!$V12</f>
        <v>21641</v>
      </c>
      <c r="O8" s="21">
        <f>'[9]Set Up'!$V13</f>
        <v>21440</v>
      </c>
      <c r="P8" s="21">
        <f>'[9]Set Up'!$V14</f>
        <v>21238</v>
      </c>
      <c r="Q8" s="21">
        <f>'[9]Set Up'!$V15</f>
        <v>21037</v>
      </c>
      <c r="R8" s="21">
        <f>'[9]Set Up'!$V16</f>
        <v>20836</v>
      </c>
      <c r="S8" s="21">
        <f>'[9]Set Up'!$V17</f>
        <v>20635</v>
      </c>
      <c r="T8" s="21">
        <f>'[9]Set Up'!$V18</f>
        <v>20434</v>
      </c>
      <c r="U8" s="21">
        <f>'[9]Set Up'!$V19</f>
        <v>20233</v>
      </c>
      <c r="V8" s="21">
        <f>'[9]Set Up'!$V20</f>
        <v>20032</v>
      </c>
      <c r="W8" s="21">
        <f>'[9]Set Up'!$V21</f>
        <v>19830</v>
      </c>
      <c r="X8" s="21">
        <f>'[9]Set Up'!$V22</f>
        <v>19629</v>
      </c>
      <c r="Y8" s="21">
        <f>'[9]Set Up'!$V23</f>
        <v>19428</v>
      </c>
      <c r="Z8" s="21">
        <f>'[9]Set Up'!$V24</f>
        <v>19227</v>
      </c>
      <c r="AA8" s="21">
        <f>'[9]Set Up'!$V25</f>
        <v>19026</v>
      </c>
      <c r="AB8" s="21">
        <f>'[9]Set Up'!$V26</f>
        <v>18825</v>
      </c>
      <c r="AC8" s="21">
        <f>'[9]Set Up'!$V27</f>
        <v>18623</v>
      </c>
      <c r="AD8" s="21">
        <f>'[9]Set Up'!$V28</f>
        <v>18422</v>
      </c>
      <c r="AE8" s="21">
        <f>'[9]Set Up'!$V29</f>
        <v>18221</v>
      </c>
      <c r="AF8" s="21">
        <f>'[9]Set Up'!$V30</f>
        <v>18020</v>
      </c>
      <c r="AG8" s="21">
        <f>'[9]Set Up'!$V31</f>
        <v>17819</v>
      </c>
      <c r="AH8" s="21">
        <f>'[9]Set Up'!$V32</f>
        <v>17618</v>
      </c>
      <c r="AI8" s="21">
        <f>'[9]Set Up'!$V33</f>
        <v>17416</v>
      </c>
      <c r="AJ8" s="21">
        <f>'[9]Set Up'!$V34</f>
        <v>17215</v>
      </c>
      <c r="AK8" s="21">
        <f>'[9]Set Up'!$V35</f>
        <v>17014</v>
      </c>
      <c r="AL8" s="21">
        <f>'[9]Set Up'!$V36</f>
        <v>16813</v>
      </c>
      <c r="AM8" s="21">
        <f>'[9]Set Up'!$V37</f>
        <v>16612</v>
      </c>
      <c r="AN8" s="21">
        <f>'[9]Set Up'!$V38</f>
        <v>16411</v>
      </c>
      <c r="AO8" s="21">
        <f>'[9]Set Up'!$V39</f>
        <v>16210</v>
      </c>
      <c r="AP8" s="21">
        <f>'[9]Set Up'!$V40</f>
        <v>16008</v>
      </c>
      <c r="AQ8" s="21">
        <f>'[9]Set Up'!$V41</f>
        <v>15807</v>
      </c>
      <c r="AR8" s="21">
        <f>'[9]Set Up'!$V42</f>
        <v>15606</v>
      </c>
      <c r="AS8" s="21">
        <f>'[9]Set Up'!$V43</f>
        <v>15405</v>
      </c>
      <c r="AT8" s="21">
        <f>'[9]Set Up'!$V44</f>
        <v>15204</v>
      </c>
      <c r="AU8" s="21">
        <f>'[9]Set Up'!$V45</f>
        <v>15003</v>
      </c>
      <c r="AV8" s="21">
        <f>'[9]Set Up'!$V46</f>
        <v>14801</v>
      </c>
      <c r="AW8" s="21">
        <f>'[9]Set Up'!$V47</f>
        <v>14600</v>
      </c>
      <c r="AX8" s="21">
        <f>'[9]Set Up'!$V48</f>
        <v>14399</v>
      </c>
      <c r="AY8" s="21">
        <f>'[9]Set Up'!$V49</f>
        <v>14198</v>
      </c>
      <c r="AZ8" s="21">
        <f>'[9]Set Up'!$V50</f>
        <v>13997</v>
      </c>
      <c r="BA8" s="21">
        <f>'[9]Set Up'!$V51</f>
        <v>13796</v>
      </c>
      <c r="BB8" s="21">
        <f>'[9]Set Up'!$V52</f>
        <v>13594</v>
      </c>
      <c r="BC8" s="21">
        <f>'[9]Set Up'!$V53</f>
        <v>13393</v>
      </c>
      <c r="BD8" s="21">
        <f>'[9]Set Up'!$V54</f>
        <v>13192</v>
      </c>
      <c r="BE8" s="21">
        <f>'[9]Set Up'!$V55</f>
        <v>0</v>
      </c>
      <c r="BF8" s="21">
        <f>'[9]Set Up'!$V56</f>
        <v>0</v>
      </c>
      <c r="BG8" s="21">
        <f>'[9]Set Up'!$V57</f>
        <v>0</v>
      </c>
      <c r="BH8" s="21">
        <f>'[9]Set Up'!$V58</f>
        <v>0</v>
      </c>
      <c r="BI8" s="21">
        <f>'[9]Set Up'!$V59</f>
        <v>0</v>
      </c>
      <c r="BJ8" s="21">
        <f>'[9]Set Up'!$V60</f>
        <v>0</v>
      </c>
      <c r="BK8" s="21">
        <f>'[9]Set Up'!$V61</f>
        <v>0</v>
      </c>
      <c r="BL8" s="21">
        <f>'[9]Set Up'!$V62</f>
        <v>0</v>
      </c>
      <c r="BM8" s="21">
        <f>'[9]Set Up'!$V63</f>
        <v>0</v>
      </c>
      <c r="BN8" s="21">
        <f>'[9]Set Up'!$V64</f>
        <v>0</v>
      </c>
      <c r="BO8" s="21">
        <f>'[9]Set Up'!$V65</f>
        <v>0</v>
      </c>
      <c r="BP8" s="21">
        <f>'[9]Set Up'!$V66</f>
        <v>0</v>
      </c>
      <c r="BQ8" s="21">
        <f>'[9]Set Up'!$V67</f>
        <v>0</v>
      </c>
      <c r="BR8" s="21">
        <f>'[9]Set Up'!$V68</f>
        <v>0</v>
      </c>
      <c r="BS8" s="21">
        <f>'[9]Set Up'!$V69</f>
        <v>0</v>
      </c>
      <c r="BT8" s="21">
        <f>'[9]Set Up'!$V70</f>
        <v>0</v>
      </c>
      <c r="BU8" s="21">
        <f>'[9]Set Up'!$V71</f>
        <v>0</v>
      </c>
      <c r="BV8" s="21">
        <f>'[9]Set Up'!$V72</f>
        <v>0</v>
      </c>
      <c r="BW8" s="21">
        <f>'[9]Set Up'!$V73</f>
        <v>0</v>
      </c>
      <c r="BX8" s="21">
        <f>'[9]Set Up'!$V74</f>
        <v>0</v>
      </c>
      <c r="BY8" s="21">
        <f>'[9]Set Up'!$V75</f>
        <v>0</v>
      </c>
      <c r="BZ8" s="8"/>
    </row>
    <row r="9" spans="1:78" ht="15" thickBot="1" x14ac:dyDescent="0.4">
      <c r="A9" s="22" t="s">
        <v>16</v>
      </c>
      <c r="B9" s="195"/>
      <c r="C9" s="23" t="str">
        <f>'[9]Set Up'!$W1</f>
        <v>No. Perfs</v>
      </c>
      <c r="D9" s="23">
        <f>'[9]Set Up'!$W2</f>
        <v>24</v>
      </c>
      <c r="E9" s="23">
        <f>'[9]Set Up'!$W3</f>
        <v>24</v>
      </c>
      <c r="F9" s="23">
        <f>'[9]Set Up'!$W4</f>
        <v>24</v>
      </c>
      <c r="G9" s="23">
        <f>'[9]Set Up'!$W5</f>
        <v>24</v>
      </c>
      <c r="H9" s="23">
        <f>'[9]Set Up'!$W6</f>
        <v>24</v>
      </c>
      <c r="I9" s="23">
        <f>'[9]Set Up'!$W7</f>
        <v>24</v>
      </c>
      <c r="J9" s="23">
        <f>'[9]Set Up'!$W8</f>
        <v>24</v>
      </c>
      <c r="K9" s="23">
        <f>'[9]Set Up'!$W9</f>
        <v>24</v>
      </c>
      <c r="L9" s="23">
        <f>'[9]Set Up'!$W10</f>
        <v>24</v>
      </c>
      <c r="M9" s="23">
        <f>'[9]Set Up'!$W11</f>
        <v>24</v>
      </c>
      <c r="N9" s="23">
        <f>'[9]Set Up'!$W12</f>
        <v>24</v>
      </c>
      <c r="O9" s="23">
        <f>'[9]Set Up'!$W13</f>
        <v>24</v>
      </c>
      <c r="P9" s="23">
        <f>'[9]Set Up'!$W14</f>
        <v>24</v>
      </c>
      <c r="Q9" s="23">
        <f>'[9]Set Up'!$W15</f>
        <v>24</v>
      </c>
      <c r="R9" s="23">
        <f>'[9]Set Up'!$W16</f>
        <v>24</v>
      </c>
      <c r="S9" s="23">
        <f>'[9]Set Up'!$W17</f>
        <v>24</v>
      </c>
      <c r="T9" s="23">
        <f>'[9]Set Up'!$W18</f>
        <v>24</v>
      </c>
      <c r="U9" s="23">
        <f>'[9]Set Up'!$W19</f>
        <v>24</v>
      </c>
      <c r="V9" s="23">
        <f>'[9]Set Up'!$W20</f>
        <v>24</v>
      </c>
      <c r="W9" s="23">
        <f>'[9]Set Up'!$W21</f>
        <v>24</v>
      </c>
      <c r="X9" s="23">
        <f>'[9]Set Up'!$W22</f>
        <v>24</v>
      </c>
      <c r="Y9" s="23">
        <f>'[9]Set Up'!$W23</f>
        <v>24</v>
      </c>
      <c r="Z9" s="23">
        <f>'[9]Set Up'!$W24</f>
        <v>24</v>
      </c>
      <c r="AA9" s="23">
        <f>'[9]Set Up'!$W25</f>
        <v>24</v>
      </c>
      <c r="AB9" s="23">
        <f>'[9]Set Up'!$W26</f>
        <v>24</v>
      </c>
      <c r="AC9" s="23">
        <f>'[9]Set Up'!$W27</f>
        <v>24</v>
      </c>
      <c r="AD9" s="23">
        <f>'[9]Set Up'!$W28</f>
        <v>24</v>
      </c>
      <c r="AE9" s="23">
        <f>'[9]Set Up'!$W29</f>
        <v>24</v>
      </c>
      <c r="AF9" s="23">
        <f>'[9]Set Up'!$W30</f>
        <v>24</v>
      </c>
      <c r="AG9" s="23">
        <f>'[9]Set Up'!$W31</f>
        <v>24</v>
      </c>
      <c r="AH9" s="23">
        <f>'[9]Set Up'!$W32</f>
        <v>24</v>
      </c>
      <c r="AI9" s="23">
        <f>'[9]Set Up'!$W33</f>
        <v>24</v>
      </c>
      <c r="AJ9" s="23">
        <f>'[9]Set Up'!$W34</f>
        <v>24</v>
      </c>
      <c r="AK9" s="23">
        <f>'[9]Set Up'!$W35</f>
        <v>24</v>
      </c>
      <c r="AL9" s="23">
        <f>'[9]Set Up'!$W36</f>
        <v>24</v>
      </c>
      <c r="AM9" s="23">
        <f>'[9]Set Up'!$W37</f>
        <v>24</v>
      </c>
      <c r="AN9" s="23">
        <f>'[9]Set Up'!$W38</f>
        <v>24</v>
      </c>
      <c r="AO9" s="23">
        <f>'[9]Set Up'!$W39</f>
        <v>24</v>
      </c>
      <c r="AP9" s="23">
        <f>'[9]Set Up'!$W40</f>
        <v>24</v>
      </c>
      <c r="AQ9" s="23">
        <f>'[9]Set Up'!$W41</f>
        <v>24</v>
      </c>
      <c r="AR9" s="23">
        <f>'[9]Set Up'!$W42</f>
        <v>24</v>
      </c>
      <c r="AS9" s="23">
        <f>'[9]Set Up'!$W43</f>
        <v>24</v>
      </c>
      <c r="AT9" s="23">
        <f>'[9]Set Up'!$W44</f>
        <v>24</v>
      </c>
      <c r="AU9" s="23">
        <f>'[9]Set Up'!$W45</f>
        <v>24</v>
      </c>
      <c r="AV9" s="23">
        <f>'[9]Set Up'!$W46</f>
        <v>24</v>
      </c>
      <c r="AW9" s="23">
        <f>'[9]Set Up'!$W47</f>
        <v>24</v>
      </c>
      <c r="AX9" s="23">
        <f>'[9]Set Up'!$W48</f>
        <v>24</v>
      </c>
      <c r="AY9" s="23">
        <f>'[9]Set Up'!$W49</f>
        <v>24</v>
      </c>
      <c r="AZ9" s="23">
        <f>'[9]Set Up'!$W50</f>
        <v>24</v>
      </c>
      <c r="BA9" s="23">
        <f>'[9]Set Up'!$W51</f>
        <v>24</v>
      </c>
      <c r="BB9" s="23">
        <f>'[9]Set Up'!$W52</f>
        <v>24</v>
      </c>
      <c r="BC9" s="23">
        <f>'[9]Set Up'!$W53</f>
        <v>24</v>
      </c>
      <c r="BD9" s="23">
        <f>'[9]Set Up'!$W54</f>
        <v>24</v>
      </c>
      <c r="BE9" s="23">
        <f>'[9]Set Up'!$W55</f>
        <v>0</v>
      </c>
      <c r="BF9" s="23">
        <f>'[9]Set Up'!$W56</f>
        <v>0</v>
      </c>
      <c r="BG9" s="23">
        <f>'[9]Set Up'!$W57</f>
        <v>0</v>
      </c>
      <c r="BH9" s="23">
        <f>'[9]Set Up'!$W58</f>
        <v>0</v>
      </c>
      <c r="BI9" s="23">
        <f>'[9]Set Up'!$W59</f>
        <v>0</v>
      </c>
      <c r="BJ9" s="23">
        <f>'[9]Set Up'!$W60</f>
        <v>0</v>
      </c>
      <c r="BK9" s="23">
        <f>'[9]Set Up'!$W61</f>
        <v>0</v>
      </c>
      <c r="BL9" s="23">
        <f>'[9]Set Up'!$W62</f>
        <v>0</v>
      </c>
      <c r="BM9" s="23">
        <f>'[9]Set Up'!$W63</f>
        <v>0</v>
      </c>
      <c r="BN9" s="23">
        <f>'[9]Set Up'!$W64</f>
        <v>0</v>
      </c>
      <c r="BO9" s="23">
        <f>'[9]Set Up'!$W65</f>
        <v>0</v>
      </c>
      <c r="BP9" s="23">
        <f>'[9]Set Up'!$W66</f>
        <v>0</v>
      </c>
      <c r="BQ9" s="23">
        <f>'[9]Set Up'!$W67</f>
        <v>0</v>
      </c>
      <c r="BR9" s="23">
        <f>'[9]Set Up'!$W68</f>
        <v>0</v>
      </c>
      <c r="BS9" s="23">
        <f>'[9]Set Up'!$W69</f>
        <v>0</v>
      </c>
      <c r="BT9" s="23">
        <f>'[9]Set Up'!$W70</f>
        <v>0</v>
      </c>
      <c r="BU9" s="23">
        <f>'[9]Set Up'!$W71</f>
        <v>0</v>
      </c>
      <c r="BV9" s="23">
        <f>'[9]Set Up'!$W72</f>
        <v>0</v>
      </c>
      <c r="BW9" s="23">
        <f>'[9]Set Up'!$W73</f>
        <v>0</v>
      </c>
      <c r="BX9" s="23">
        <f>'[9]Set Up'!$W74</f>
        <v>0</v>
      </c>
      <c r="BY9" s="23">
        <f>'[9]Set Up'!$W75</f>
        <v>0</v>
      </c>
      <c r="BZ9" s="8"/>
    </row>
    <row r="10" spans="1:78" x14ac:dyDescent="0.35">
      <c r="A10" s="18" t="s">
        <v>17</v>
      </c>
      <c r="B10" s="195"/>
      <c r="C10" s="19" t="str">
        <f>'[9]Set Up'!$X1</f>
        <v>Plug</v>
      </c>
      <c r="D10" s="19">
        <f>'[9]Set Up'!$X2</f>
        <v>23671</v>
      </c>
      <c r="E10" s="19">
        <f>'[9]Set Up'!$X3</f>
        <v>23470</v>
      </c>
      <c r="F10" s="19">
        <f>'[9]Set Up'!$X4</f>
        <v>23269</v>
      </c>
      <c r="G10" s="19">
        <f>'[9]Set Up'!$X5</f>
        <v>23068</v>
      </c>
      <c r="H10" s="19">
        <f>'[9]Set Up'!$X6</f>
        <v>22867</v>
      </c>
      <c r="I10" s="19">
        <f>'[9]Set Up'!$X7</f>
        <v>22666</v>
      </c>
      <c r="J10" s="19">
        <f>'[9]Set Up'!$X8</f>
        <v>22464</v>
      </c>
      <c r="K10" s="19">
        <f>'[9]Set Up'!$X9</f>
        <v>22263</v>
      </c>
      <c r="L10" s="19">
        <f>'[9]Set Up'!$X10</f>
        <v>22062</v>
      </c>
      <c r="M10" s="19">
        <f>'[9]Set Up'!$X11</f>
        <v>21861</v>
      </c>
      <c r="N10" s="19">
        <f>'[9]Set Up'!$X12</f>
        <v>21660</v>
      </c>
      <c r="O10" s="19">
        <f>'[9]Set Up'!$X13</f>
        <v>21459</v>
      </c>
      <c r="P10" s="19">
        <f>'[9]Set Up'!$X14</f>
        <v>21257</v>
      </c>
      <c r="Q10" s="19">
        <f>'[9]Set Up'!$X15</f>
        <v>21056</v>
      </c>
      <c r="R10" s="19">
        <f>'[9]Set Up'!$X16</f>
        <v>20855</v>
      </c>
      <c r="S10" s="19">
        <f>'[9]Set Up'!$X17</f>
        <v>20654</v>
      </c>
      <c r="T10" s="19">
        <f>'[9]Set Up'!$X18</f>
        <v>20453</v>
      </c>
      <c r="U10" s="19">
        <f>'[9]Set Up'!$X19</f>
        <v>20252</v>
      </c>
      <c r="V10" s="19">
        <f>'[9]Set Up'!$X20</f>
        <v>20051</v>
      </c>
      <c r="W10" s="19">
        <f>'[9]Set Up'!$X21</f>
        <v>19849</v>
      </c>
      <c r="X10" s="19">
        <f>'[9]Set Up'!$X22</f>
        <v>19648</v>
      </c>
      <c r="Y10" s="19">
        <f>'[9]Set Up'!$X23</f>
        <v>19447</v>
      </c>
      <c r="Z10" s="19">
        <f>'[9]Set Up'!$X24</f>
        <v>19246</v>
      </c>
      <c r="AA10" s="19">
        <f>'[9]Set Up'!$X25</f>
        <v>19045</v>
      </c>
      <c r="AB10" s="19">
        <f>'[9]Set Up'!$X26</f>
        <v>18844</v>
      </c>
      <c r="AC10" s="19">
        <f>'[9]Set Up'!$X27</f>
        <v>18642</v>
      </c>
      <c r="AD10" s="19">
        <f>'[9]Set Up'!$X28</f>
        <v>18441</v>
      </c>
      <c r="AE10" s="19">
        <f>'[9]Set Up'!$X29</f>
        <v>18240</v>
      </c>
      <c r="AF10" s="19">
        <f>'[9]Set Up'!$X30</f>
        <v>18039</v>
      </c>
      <c r="AG10" s="19">
        <f>'[9]Set Up'!$X31</f>
        <v>17838</v>
      </c>
      <c r="AH10" s="19">
        <f>'[9]Set Up'!$X32</f>
        <v>17637</v>
      </c>
      <c r="AI10" s="19">
        <f>'[9]Set Up'!$X33</f>
        <v>17435</v>
      </c>
      <c r="AJ10" s="19">
        <f>'[9]Set Up'!$X34</f>
        <v>17234</v>
      </c>
      <c r="AK10" s="19">
        <f>'[9]Set Up'!$X35</f>
        <v>17033</v>
      </c>
      <c r="AL10" s="19">
        <f>'[9]Set Up'!$X36</f>
        <v>16832</v>
      </c>
      <c r="AM10" s="19">
        <f>'[9]Set Up'!$X37</f>
        <v>16631</v>
      </c>
      <c r="AN10" s="19">
        <f>'[9]Set Up'!$X38</f>
        <v>16430</v>
      </c>
      <c r="AO10" s="19">
        <f>'[9]Set Up'!$X39</f>
        <v>16229</v>
      </c>
      <c r="AP10" s="19">
        <f>'[9]Set Up'!$X40</f>
        <v>16027</v>
      </c>
      <c r="AQ10" s="19">
        <f>'[9]Set Up'!$X41</f>
        <v>15826</v>
      </c>
      <c r="AR10" s="19">
        <f>'[9]Set Up'!$X42</f>
        <v>15625</v>
      </c>
      <c r="AS10" s="19">
        <f>'[9]Set Up'!$X43</f>
        <v>15424</v>
      </c>
      <c r="AT10" s="19">
        <f>'[9]Set Up'!$X44</f>
        <v>15223</v>
      </c>
      <c r="AU10" s="19">
        <f>'[9]Set Up'!$X45</f>
        <v>15022</v>
      </c>
      <c r="AV10" s="19">
        <f>'[9]Set Up'!$X46</f>
        <v>14820</v>
      </c>
      <c r="AW10" s="19">
        <f>'[9]Set Up'!$X47</f>
        <v>14619</v>
      </c>
      <c r="AX10" s="19">
        <f>'[9]Set Up'!$X48</f>
        <v>14418</v>
      </c>
      <c r="AY10" s="19">
        <f>'[9]Set Up'!$X49</f>
        <v>14217</v>
      </c>
      <c r="AZ10" s="19">
        <f>'[9]Set Up'!$X50</f>
        <v>14016</v>
      </c>
      <c r="BA10" s="19">
        <f>'[9]Set Up'!$X51</f>
        <v>13815</v>
      </c>
      <c r="BB10" s="19">
        <f>'[9]Set Up'!$X52</f>
        <v>13613</v>
      </c>
      <c r="BC10" s="19">
        <f>'[9]Set Up'!$X53</f>
        <v>13412</v>
      </c>
      <c r="BD10" s="19">
        <f>'[9]Set Up'!$X54</f>
        <v>13211</v>
      </c>
      <c r="BE10" s="19">
        <f>'[9]Set Up'!$X55</f>
        <v>0</v>
      </c>
      <c r="BF10" s="19">
        <f>'[9]Set Up'!$X56</f>
        <v>0</v>
      </c>
      <c r="BG10" s="19">
        <f>'[9]Set Up'!$X57</f>
        <v>0</v>
      </c>
      <c r="BH10" s="19">
        <f>'[9]Set Up'!$X58</f>
        <v>0</v>
      </c>
      <c r="BI10" s="19">
        <f>'[9]Set Up'!$X59</f>
        <v>0</v>
      </c>
      <c r="BJ10" s="19">
        <f>'[9]Set Up'!$X60</f>
        <v>0</v>
      </c>
      <c r="BK10" s="19">
        <f>'[9]Set Up'!$X61</f>
        <v>0</v>
      </c>
      <c r="BL10" s="19">
        <f>'[9]Set Up'!$X62</f>
        <v>0</v>
      </c>
      <c r="BM10" s="19">
        <f>'[9]Set Up'!$X63</f>
        <v>0</v>
      </c>
      <c r="BN10" s="19">
        <f>'[9]Set Up'!$X64</f>
        <v>0</v>
      </c>
      <c r="BO10" s="19">
        <f>'[9]Set Up'!$X65</f>
        <v>0</v>
      </c>
      <c r="BP10" s="19">
        <f>'[9]Set Up'!$X66</f>
        <v>0</v>
      </c>
      <c r="BQ10" s="19">
        <f>'[9]Set Up'!$X67</f>
        <v>0</v>
      </c>
      <c r="BR10" s="19">
        <f>'[9]Set Up'!$X68</f>
        <v>0</v>
      </c>
      <c r="BS10" s="19">
        <f>'[9]Set Up'!$X69</f>
        <v>0</v>
      </c>
      <c r="BT10" s="19">
        <f>'[9]Set Up'!$X70</f>
        <v>0</v>
      </c>
      <c r="BU10" s="19">
        <f>'[9]Set Up'!$X71</f>
        <v>0</v>
      </c>
      <c r="BV10" s="19">
        <f>'[9]Set Up'!$X72</f>
        <v>0</v>
      </c>
      <c r="BW10" s="19">
        <f>'[9]Set Up'!$X73</f>
        <v>0</v>
      </c>
      <c r="BX10" s="19">
        <f>'[9]Set Up'!$X74</f>
        <v>0</v>
      </c>
      <c r="BY10" s="19">
        <f>'[9]Set Up'!$X75</f>
        <v>0</v>
      </c>
      <c r="BZ10" s="8"/>
    </row>
    <row r="11" spans="1:78" ht="15" thickBot="1" x14ac:dyDescent="0.4">
      <c r="A11" s="20" t="s">
        <v>18</v>
      </c>
      <c r="B11" s="195"/>
      <c r="C11" s="24" t="str">
        <f>'[9]Set Up'!$AA1</f>
        <v>TVD</v>
      </c>
      <c r="D11" s="24">
        <f>'[9]Set Up'!$AA2</f>
        <v>12662</v>
      </c>
      <c r="E11" s="24">
        <f>'[9]Set Up'!$AA3</f>
        <v>12661</v>
      </c>
      <c r="F11" s="24">
        <f>'[9]Set Up'!$AA4</f>
        <v>12648</v>
      </c>
      <c r="G11" s="24">
        <f>'[9]Set Up'!$AA5</f>
        <v>12640</v>
      </c>
      <c r="H11" s="24">
        <f>'[9]Set Up'!$AA6</f>
        <v>12619</v>
      </c>
      <c r="I11" s="24">
        <f>'[9]Set Up'!$AA7</f>
        <v>12620</v>
      </c>
      <c r="J11" s="24">
        <f>'[9]Set Up'!$AA8</f>
        <v>12631</v>
      </c>
      <c r="K11" s="24">
        <f>'[9]Set Up'!$AA9</f>
        <v>12635</v>
      </c>
      <c r="L11" s="24">
        <f>'[9]Set Up'!$AA10</f>
        <v>12635</v>
      </c>
      <c r="M11" s="24">
        <f>'[9]Set Up'!$AA11</f>
        <v>12636</v>
      </c>
      <c r="N11" s="24">
        <f>'[9]Set Up'!$AA12</f>
        <v>12645</v>
      </c>
      <c r="O11" s="24">
        <f>'[9]Set Up'!$AA13</f>
        <v>12638</v>
      </c>
      <c r="P11" s="24">
        <f>'[9]Set Up'!$AA14</f>
        <v>12623</v>
      </c>
      <c r="Q11" s="24">
        <f>'[9]Set Up'!$AA15</f>
        <v>12622</v>
      </c>
      <c r="R11" s="24">
        <f>'[9]Set Up'!$AA16</f>
        <v>12619</v>
      </c>
      <c r="S11" s="24">
        <f>'[9]Set Up'!$AA17</f>
        <v>12618</v>
      </c>
      <c r="T11" s="24">
        <f>'[9]Set Up'!$AA18</f>
        <v>12619</v>
      </c>
      <c r="U11" s="24">
        <f>'[9]Set Up'!$AA19</f>
        <v>12622</v>
      </c>
      <c r="V11" s="24">
        <f>'[9]Set Up'!$AA20</f>
        <v>12616</v>
      </c>
      <c r="W11" s="24">
        <f>'[9]Set Up'!$AA21</f>
        <v>12602</v>
      </c>
      <c r="X11" s="24">
        <f>'[9]Set Up'!$AA22</f>
        <v>12600</v>
      </c>
      <c r="Y11" s="24">
        <f>'[9]Set Up'!$AA23</f>
        <v>12604</v>
      </c>
      <c r="Z11" s="24">
        <f>'[9]Set Up'!$AA24</f>
        <v>12604</v>
      </c>
      <c r="AA11" s="24">
        <f>'[9]Set Up'!$AA25</f>
        <v>12605</v>
      </c>
      <c r="AB11" s="24">
        <f>'[9]Set Up'!$AA26</f>
        <v>12604</v>
      </c>
      <c r="AC11" s="24">
        <f>'[9]Set Up'!$AA27</f>
        <v>12605</v>
      </c>
      <c r="AD11" s="24">
        <f>'[9]Set Up'!$AA28</f>
        <v>12607</v>
      </c>
      <c r="AE11" s="24">
        <f>'[9]Set Up'!$AA29</f>
        <v>12614</v>
      </c>
      <c r="AF11" s="24">
        <f>'[9]Set Up'!$AA30</f>
        <v>12613</v>
      </c>
      <c r="AG11" s="24">
        <f>'[9]Set Up'!$AA31</f>
        <v>12607</v>
      </c>
      <c r="AH11" s="24">
        <f>'[9]Set Up'!$AA32</f>
        <v>12607</v>
      </c>
      <c r="AI11" s="24">
        <f>'[9]Set Up'!$AA33</f>
        <v>12602</v>
      </c>
      <c r="AJ11" s="24">
        <f>'[9]Set Up'!$AA34</f>
        <v>12599</v>
      </c>
      <c r="AK11" s="24">
        <f>'[9]Set Up'!$AA35</f>
        <v>12596</v>
      </c>
      <c r="AL11" s="24">
        <f>'[9]Set Up'!$AA36</f>
        <v>12592</v>
      </c>
      <c r="AM11" s="24">
        <f>'[9]Set Up'!$AA37</f>
        <v>12588</v>
      </c>
      <c r="AN11" s="24">
        <f>'[9]Set Up'!$AA38</f>
        <v>12580</v>
      </c>
      <c r="AO11" s="24">
        <f>'[9]Set Up'!$AA39</f>
        <v>12575</v>
      </c>
      <c r="AP11" s="24">
        <f>'[9]Set Up'!$AA40</f>
        <v>12568</v>
      </c>
      <c r="AQ11" s="24">
        <f>'[9]Set Up'!$AA41</f>
        <v>12563</v>
      </c>
      <c r="AR11" s="24">
        <f>'[9]Set Up'!$AA42</f>
        <v>12560</v>
      </c>
      <c r="AS11" s="24">
        <f>'[9]Set Up'!$AA43</f>
        <v>12549</v>
      </c>
      <c r="AT11" s="24">
        <f>'[9]Set Up'!$AA44</f>
        <v>12546</v>
      </c>
      <c r="AU11" s="24">
        <f>'[9]Set Up'!$AA45</f>
        <v>12546</v>
      </c>
      <c r="AV11" s="24">
        <f>'[9]Set Up'!$AA46</f>
        <v>12561</v>
      </c>
      <c r="AW11" s="24">
        <f>'[9]Set Up'!$AA47</f>
        <v>12559</v>
      </c>
      <c r="AX11" s="24">
        <f>'[9]Set Up'!$AA48</f>
        <v>12554</v>
      </c>
      <c r="AY11" s="24">
        <f>'[9]Set Up'!$AA49</f>
        <v>12543</v>
      </c>
      <c r="AZ11" s="24">
        <f>'[9]Set Up'!$AA50</f>
        <v>12540</v>
      </c>
      <c r="BA11" s="24">
        <f>'[9]Set Up'!$AA51</f>
        <v>12538</v>
      </c>
      <c r="BB11" s="24">
        <f>'[9]Set Up'!$AA52</f>
        <v>12531</v>
      </c>
      <c r="BC11" s="24">
        <f>'[9]Set Up'!$AA53</f>
        <v>12534</v>
      </c>
      <c r="BD11" s="24">
        <f>'[9]Set Up'!$AA54</f>
        <v>12528</v>
      </c>
      <c r="BE11" s="24">
        <f>'[9]Set Up'!$AA55</f>
        <v>0</v>
      </c>
      <c r="BF11" s="24">
        <f>'[9]Set Up'!$AA56</f>
        <v>0</v>
      </c>
      <c r="BG11" s="24">
        <f>'[9]Set Up'!$AA57</f>
        <v>0</v>
      </c>
      <c r="BH11" s="24">
        <f>'[9]Set Up'!$AA58</f>
        <v>0</v>
      </c>
      <c r="BI11" s="24">
        <f>'[9]Set Up'!$AA59</f>
        <v>0</v>
      </c>
      <c r="BJ11" s="24">
        <f>'[9]Set Up'!$AA60</f>
        <v>0</v>
      </c>
      <c r="BK11" s="24">
        <f>'[9]Set Up'!$AA61</f>
        <v>0</v>
      </c>
      <c r="BL11" s="24">
        <f>'[9]Set Up'!$AA62</f>
        <v>0</v>
      </c>
      <c r="BM11" s="24">
        <f>'[9]Set Up'!$AA63</f>
        <v>0</v>
      </c>
      <c r="BN11" s="24">
        <f>'[9]Set Up'!$AA64</f>
        <v>0</v>
      </c>
      <c r="BO11" s="24">
        <f>'[9]Set Up'!$AA65</f>
        <v>0</v>
      </c>
      <c r="BP11" s="24">
        <f>'[9]Set Up'!$AA66</f>
        <v>0</v>
      </c>
      <c r="BQ11" s="24">
        <f>'[9]Set Up'!$AA67</f>
        <v>0</v>
      </c>
      <c r="BR11" s="24">
        <f>'[9]Set Up'!$AA68</f>
        <v>0</v>
      </c>
      <c r="BS11" s="24">
        <f>'[9]Set Up'!$AA69</f>
        <v>0</v>
      </c>
      <c r="BT11" s="24">
        <f>'[9]Set Up'!$AA70</f>
        <v>0</v>
      </c>
      <c r="BU11" s="24">
        <f>'[9]Set Up'!$AA71</f>
        <v>0</v>
      </c>
      <c r="BV11" s="24">
        <f>'[9]Set Up'!$AA72</f>
        <v>0</v>
      </c>
      <c r="BW11" s="24">
        <f>'[9]Set Up'!$AA73</f>
        <v>0</v>
      </c>
      <c r="BX11" s="24">
        <f>'[9]Set Up'!$AA74</f>
        <v>0</v>
      </c>
      <c r="BY11" s="24">
        <f>'[9]Set Up'!$AA75</f>
        <v>0</v>
      </c>
      <c r="BZ11" s="8"/>
    </row>
    <row r="12" spans="1:78" x14ac:dyDescent="0.35">
      <c r="A12" s="25" t="s">
        <v>19</v>
      </c>
      <c r="B12" s="196" t="s">
        <v>20</v>
      </c>
      <c r="C12" s="26">
        <f>IF(C7="","",IF(C7&lt;'[9]Set Up'!$J$15,C7*'[9]Set Up'!$N$15,IF(C7&lt;'[9]Set Up'!$J$16,(C7-'[9]Set Up'!$J$15)*'[9]Set Up'!$N$16+'[9]Set Up'!$O$15,IF(C7&lt;'[9]Set Up'!$J$17,(C7-'[9]Set Up'!$J$16)*'[9]Set Up'!$N$17+'[9]Set Up'!$O$15+'[9]Set Up'!$O$16,(C7-'[9]Set Up'!$J$17)*'[9]Set Up'!$N$18 + SUM('[9]Set Up'!$O$15:'[9]Set Up'!$O$17)))))</f>
        <v>427.2887366221114</v>
      </c>
      <c r="D12" s="26">
        <f>IF(D7="","",IF(D7&lt;'[9]Set Up'!$J$15,D7*'[9]Set Up'!$N$15,IF(D7&lt;'[9]Set Up'!$J$16,(D7-'[9]Set Up'!$J$15)*'[9]Set Up'!$N$16+'[9]Set Up'!$O$15,IF(D7&lt;'[9]Set Up'!$J$17,(D7-'[9]Set Up'!$J$16)*'[9]Set Up'!$N$17+'[9]Set Up'!$O$15+'[9]Set Up'!$O$16,(D7-'[9]Set Up'!$J$17)*'[9]Set Up'!$N$18 + SUM('[9]Set Up'!$O$15:'[9]Set Up'!$O$17)))))</f>
        <v>424.28751556996849</v>
      </c>
      <c r="E12" s="26">
        <f>IF(E7="","",IF(E7&lt;'[9]Set Up'!$J$15,E7*'[9]Set Up'!$N$15,IF(E7&lt;'[9]Set Up'!$J$16,(E7-'[9]Set Up'!$J$15)*'[9]Set Up'!$N$16+'[9]Set Up'!$O$15,IF(E7&lt;'[9]Set Up'!$J$17,(E7-'[9]Set Up'!$J$16)*'[9]Set Up'!$N$17+'[9]Set Up'!$O$15+'[9]Set Up'!$O$16,(E7-'[9]Set Up'!$J$17)*'[9]Set Up'!$N$18 + SUM('[9]Set Up'!$O$15:'[9]Set Up'!$O$17)))))</f>
        <v>421.28629451782558</v>
      </c>
      <c r="F12" s="26">
        <f>IF(F7="","",IF(F7&lt;'[9]Set Up'!$J$15,F7*'[9]Set Up'!$N$15,IF(F7&lt;'[9]Set Up'!$J$16,(F7-'[9]Set Up'!$J$15)*'[9]Set Up'!$N$16+'[9]Set Up'!$O$15,IF(F7&lt;'[9]Set Up'!$J$17,(F7-'[9]Set Up'!$J$16)*'[9]Set Up'!$N$17+'[9]Set Up'!$O$15+'[9]Set Up'!$O$16,(F7-'[9]Set Up'!$J$17)*'[9]Set Up'!$N$18 + SUM('[9]Set Up'!$O$15:'[9]Set Up'!$O$17)))))</f>
        <v>418.28507346568267</v>
      </c>
      <c r="G12" s="26">
        <f>IF(G7="","",IF(G7&lt;'[9]Set Up'!$J$15,G7*'[9]Set Up'!$N$15,IF(G7&lt;'[9]Set Up'!$J$16,(G7-'[9]Set Up'!$J$15)*'[9]Set Up'!$N$16+'[9]Set Up'!$O$15,IF(G7&lt;'[9]Set Up'!$J$17,(G7-'[9]Set Up'!$J$16)*'[9]Set Up'!$N$17+'[9]Set Up'!$O$15+'[9]Set Up'!$O$16,(G7-'[9]Set Up'!$J$17)*'[9]Set Up'!$N$18 + SUM('[9]Set Up'!$O$15:'[9]Set Up'!$O$17)))))</f>
        <v>415.28385241353982</v>
      </c>
      <c r="H12" s="26">
        <f>IF(H7="","",IF(H7&lt;'[9]Set Up'!$J$15,H7*'[9]Set Up'!$N$15,IF(H7&lt;'[9]Set Up'!$J$16,(H7-'[9]Set Up'!$J$15)*'[9]Set Up'!$N$16+'[9]Set Up'!$O$15,IF(H7&lt;'[9]Set Up'!$J$17,(H7-'[9]Set Up'!$J$16)*'[9]Set Up'!$N$17+'[9]Set Up'!$O$15+'[9]Set Up'!$O$16,(H7-'[9]Set Up'!$J$17)*'[9]Set Up'!$N$18 + SUM('[9]Set Up'!$O$15:'[9]Set Up'!$O$17)))))</f>
        <v>412.2676999133763</v>
      </c>
      <c r="I12" s="26">
        <f>IF(I7="","",IF(I7&lt;'[9]Set Up'!$J$15,I7*'[9]Set Up'!$N$15,IF(I7&lt;'[9]Set Up'!$J$16,(I7-'[9]Set Up'!$J$15)*'[9]Set Up'!$N$16+'[9]Set Up'!$O$15,IF(I7&lt;'[9]Set Up'!$J$17,(I7-'[9]Set Up'!$J$16)*'[9]Set Up'!$N$17+'[9]Set Up'!$O$15+'[9]Set Up'!$O$16,(I7-'[9]Set Up'!$J$17)*'[9]Set Up'!$N$18 + SUM('[9]Set Up'!$O$15:'[9]Set Up'!$O$17)))))</f>
        <v>409.2664788612334</v>
      </c>
      <c r="J12" s="26">
        <f>IF(J7="","",IF(J7&lt;'[9]Set Up'!$J$15,J7*'[9]Set Up'!$N$15,IF(J7&lt;'[9]Set Up'!$J$16,(J7-'[9]Set Up'!$J$15)*'[9]Set Up'!$N$16+'[9]Set Up'!$O$15,IF(J7&lt;'[9]Set Up'!$J$17,(J7-'[9]Set Up'!$J$16)*'[9]Set Up'!$N$17+'[9]Set Up'!$O$15+'[9]Set Up'!$O$16,(J7-'[9]Set Up'!$J$17)*'[9]Set Up'!$N$18 + SUM('[9]Set Up'!$O$15:'[9]Set Up'!$O$17)))))</f>
        <v>406.26525780909054</v>
      </c>
      <c r="K12" s="26">
        <f>IF(K7="","",IF(K7&lt;'[9]Set Up'!$J$15,K7*'[9]Set Up'!$N$15,IF(K7&lt;'[9]Set Up'!$J$16,(K7-'[9]Set Up'!$J$15)*'[9]Set Up'!$N$16+'[9]Set Up'!$O$15,IF(K7&lt;'[9]Set Up'!$J$17,(K7-'[9]Set Up'!$J$16)*'[9]Set Up'!$N$17+'[9]Set Up'!$O$15+'[9]Set Up'!$O$16,(K7-'[9]Set Up'!$J$17)*'[9]Set Up'!$N$18 + SUM('[9]Set Up'!$O$15:'[9]Set Up'!$O$17)))))</f>
        <v>403.26403675694763</v>
      </c>
      <c r="L12" s="26">
        <f>IF(L7="","",IF(L7&lt;'[9]Set Up'!$J$15,L7*'[9]Set Up'!$N$15,IF(L7&lt;'[9]Set Up'!$J$16,(L7-'[9]Set Up'!$J$15)*'[9]Set Up'!$N$16+'[9]Set Up'!$O$15,IF(L7&lt;'[9]Set Up'!$J$17,(L7-'[9]Set Up'!$J$16)*'[9]Set Up'!$N$17+'[9]Set Up'!$O$15+'[9]Set Up'!$O$16,(L7-'[9]Set Up'!$J$17)*'[9]Set Up'!$N$18 + SUM('[9]Set Up'!$O$15:'[9]Set Up'!$O$17)))))</f>
        <v>400.26281570480478</v>
      </c>
      <c r="M12" s="26">
        <f>IF(M7="","",IF(M7&lt;'[9]Set Up'!$J$15,M7*'[9]Set Up'!$N$15,IF(M7&lt;'[9]Set Up'!$J$16,(M7-'[9]Set Up'!$J$15)*'[9]Set Up'!$N$16+'[9]Set Up'!$O$15,IF(M7&lt;'[9]Set Up'!$J$17,(M7-'[9]Set Up'!$J$16)*'[9]Set Up'!$N$17+'[9]Set Up'!$O$15+'[9]Set Up'!$O$16,(M7-'[9]Set Up'!$J$17)*'[9]Set Up'!$N$18 + SUM('[9]Set Up'!$O$15:'[9]Set Up'!$O$17)))))</f>
        <v>397.26159465266187</v>
      </c>
      <c r="N12" s="26">
        <f>IF(N7="","",IF(N7&lt;'[9]Set Up'!$J$15,N7*'[9]Set Up'!$N$15,IF(N7&lt;'[9]Set Up'!$J$16,(N7-'[9]Set Up'!$J$15)*'[9]Set Up'!$N$16+'[9]Set Up'!$O$15,IF(N7&lt;'[9]Set Up'!$J$17,(N7-'[9]Set Up'!$J$16)*'[9]Set Up'!$N$17+'[9]Set Up'!$O$15+'[9]Set Up'!$O$16,(N7-'[9]Set Up'!$J$17)*'[9]Set Up'!$N$18 + SUM('[9]Set Up'!$O$15:'[9]Set Up'!$O$17)))))</f>
        <v>393.49886975146779</v>
      </c>
      <c r="O12" s="26">
        <f>IF(O7="","",IF(O7&lt;'[9]Set Up'!$J$15,O7*'[9]Set Up'!$N$15,IF(O7&lt;'[9]Set Up'!$J$16,(O7-'[9]Set Up'!$J$15)*'[9]Set Up'!$N$16+'[9]Set Up'!$O$15,IF(O7&lt;'[9]Set Up'!$J$17,(O7-'[9]Set Up'!$J$16)*'[9]Set Up'!$N$17+'[9]Set Up'!$O$15+'[9]Set Up'!$O$16,(O7-'[9]Set Up'!$J$17)*'[9]Set Up'!$N$18 + SUM('[9]Set Up'!$O$15:'[9]Set Up'!$O$17)))))</f>
        <v>391.2442211003555</v>
      </c>
      <c r="P12" s="26">
        <f>IF(P7="","",IF(P7&lt;'[9]Set Up'!$J$15,P7*'[9]Set Up'!$N$15,IF(P7&lt;'[9]Set Up'!$J$16,(P7-'[9]Set Up'!$J$15)*'[9]Set Up'!$N$16+'[9]Set Up'!$O$15,IF(P7&lt;'[9]Set Up'!$J$17,(P7-'[9]Set Up'!$J$16)*'[9]Set Up'!$N$17+'[9]Set Up'!$O$15+'[9]Set Up'!$O$16,(P7-'[9]Set Up'!$J$17)*'[9]Set Up'!$N$18 + SUM('[9]Set Up'!$O$15:'[9]Set Up'!$O$17)))))</f>
        <v>388.24300004821259</v>
      </c>
      <c r="Q12" s="26">
        <f>IF(Q7="","",IF(Q7&lt;'[9]Set Up'!$J$15,Q7*'[9]Set Up'!$N$15,IF(Q7&lt;'[9]Set Up'!$J$16,(Q7-'[9]Set Up'!$J$15)*'[9]Set Up'!$N$16+'[9]Set Up'!$O$15,IF(Q7&lt;'[9]Set Up'!$J$17,(Q7-'[9]Set Up'!$J$16)*'[9]Set Up'!$N$17+'[9]Set Up'!$O$15+'[9]Set Up'!$O$16,(Q7-'[9]Set Up'!$J$17)*'[9]Set Up'!$N$18 + SUM('[9]Set Up'!$O$15:'[9]Set Up'!$O$17)))))</f>
        <v>385.24177899606968</v>
      </c>
      <c r="R12" s="26">
        <f>IF(R7="","",IF(R7&lt;'[9]Set Up'!$J$15,R7*'[9]Set Up'!$N$15,IF(R7&lt;'[9]Set Up'!$J$16,(R7-'[9]Set Up'!$J$15)*'[9]Set Up'!$N$16+'[9]Set Up'!$O$15,IF(R7&lt;'[9]Set Up'!$J$17,(R7-'[9]Set Up'!$J$16)*'[9]Set Up'!$N$17+'[9]Set Up'!$O$15+'[9]Set Up'!$O$16,(R7-'[9]Set Up'!$J$17)*'[9]Set Up'!$N$18 + SUM('[9]Set Up'!$O$15:'[9]Set Up'!$O$17)))))</f>
        <v>382.24055794392677</v>
      </c>
      <c r="S12" s="26">
        <f>IF(S7="","",IF(S7&lt;'[9]Set Up'!$J$15,S7*'[9]Set Up'!$N$15,IF(S7&lt;'[9]Set Up'!$J$16,(S7-'[9]Set Up'!$J$15)*'[9]Set Up'!$N$16+'[9]Set Up'!$O$15,IF(S7&lt;'[9]Set Up'!$J$17,(S7-'[9]Set Up'!$J$16)*'[9]Set Up'!$N$17+'[9]Set Up'!$O$15+'[9]Set Up'!$O$16,(S7-'[9]Set Up'!$J$17)*'[9]Set Up'!$N$18 + SUM('[9]Set Up'!$O$15:'[9]Set Up'!$O$17)))))</f>
        <v>379.23933689178392</v>
      </c>
      <c r="T12" s="26">
        <f>IF(T7="","",IF(T7&lt;'[9]Set Up'!$J$15,T7*'[9]Set Up'!$N$15,IF(T7&lt;'[9]Set Up'!$J$16,(T7-'[9]Set Up'!$J$15)*'[9]Set Up'!$N$16+'[9]Set Up'!$O$15,IF(T7&lt;'[9]Set Up'!$J$17,(T7-'[9]Set Up'!$J$16)*'[9]Set Up'!$N$17+'[9]Set Up'!$O$15+'[9]Set Up'!$O$16,(T7-'[9]Set Up'!$J$17)*'[9]Set Up'!$N$18 + SUM('[9]Set Up'!$O$15:'[9]Set Up'!$O$17)))))</f>
        <v>376.23811583964101</v>
      </c>
      <c r="U12" s="26">
        <f>IF(U7="","",IF(U7&lt;'[9]Set Up'!$J$15,U7*'[9]Set Up'!$N$15,IF(U7&lt;'[9]Set Up'!$J$16,(U7-'[9]Set Up'!$J$15)*'[9]Set Up'!$N$16+'[9]Set Up'!$O$15,IF(U7&lt;'[9]Set Up'!$J$17,(U7-'[9]Set Up'!$J$16)*'[9]Set Up'!$N$17+'[9]Set Up'!$O$15+'[9]Set Up'!$O$16,(U7-'[9]Set Up'!$J$17)*'[9]Set Up'!$N$18 + SUM('[9]Set Up'!$O$15:'[9]Set Up'!$O$17)))))</f>
        <v>373.2219633394775</v>
      </c>
      <c r="V12" s="26">
        <f>IF(V7="","",IF(V7&lt;'[9]Set Up'!$J$15,V7*'[9]Set Up'!$N$15,IF(V7&lt;'[9]Set Up'!$J$16,(V7-'[9]Set Up'!$J$15)*'[9]Set Up'!$N$16+'[9]Set Up'!$O$15,IF(V7&lt;'[9]Set Up'!$J$17,(V7-'[9]Set Up'!$J$16)*'[9]Set Up'!$N$17+'[9]Set Up'!$O$15+'[9]Set Up'!$O$16,(V7-'[9]Set Up'!$J$17)*'[9]Set Up'!$N$18 + SUM('[9]Set Up'!$O$15:'[9]Set Up'!$O$17)))))</f>
        <v>370.22074228733464</v>
      </c>
      <c r="W12" s="26">
        <f>IF(W7="","",IF(W7&lt;'[9]Set Up'!$J$15,W7*'[9]Set Up'!$N$15,IF(W7&lt;'[9]Set Up'!$J$16,(W7-'[9]Set Up'!$J$15)*'[9]Set Up'!$N$16+'[9]Set Up'!$O$15,IF(W7&lt;'[9]Set Up'!$J$17,(W7-'[9]Set Up'!$J$16)*'[9]Set Up'!$N$17+'[9]Set Up'!$O$15+'[9]Set Up'!$O$16,(W7-'[9]Set Up'!$J$17)*'[9]Set Up'!$N$18 + SUM('[9]Set Up'!$O$15:'[9]Set Up'!$O$17)))))</f>
        <v>367.21952123519173</v>
      </c>
      <c r="X12" s="26">
        <f>IF(X7="","",IF(X7&lt;'[9]Set Up'!$J$15,X7*'[9]Set Up'!$N$15,IF(X7&lt;'[9]Set Up'!$J$16,(X7-'[9]Set Up'!$J$15)*'[9]Set Up'!$N$16+'[9]Set Up'!$O$15,IF(X7&lt;'[9]Set Up'!$J$17,(X7-'[9]Set Up'!$J$16)*'[9]Set Up'!$N$17+'[9]Set Up'!$O$15+'[9]Set Up'!$O$16,(X7-'[9]Set Up'!$J$17)*'[9]Set Up'!$N$18 + SUM('[9]Set Up'!$O$15:'[9]Set Up'!$O$17)))))</f>
        <v>364.21830018304888</v>
      </c>
      <c r="Y12" s="26">
        <f>IF(Y7="","",IF(Y7&lt;'[9]Set Up'!$J$15,Y7*'[9]Set Up'!$N$15,IF(Y7&lt;'[9]Set Up'!$J$16,(Y7-'[9]Set Up'!$J$15)*'[9]Set Up'!$N$16+'[9]Set Up'!$O$15,IF(Y7&lt;'[9]Set Up'!$J$17,(Y7-'[9]Set Up'!$J$16)*'[9]Set Up'!$N$17+'[9]Set Up'!$O$15+'[9]Set Up'!$O$16,(Y7-'[9]Set Up'!$J$17)*'[9]Set Up'!$N$18 + SUM('[9]Set Up'!$O$15:'[9]Set Up'!$O$17)))))</f>
        <v>361.21707913090597</v>
      </c>
      <c r="Z12" s="26">
        <f>IF(Z7="","",IF(Z7&lt;'[9]Set Up'!$J$15,Z7*'[9]Set Up'!$N$15,IF(Z7&lt;'[9]Set Up'!$J$16,(Z7-'[9]Set Up'!$J$15)*'[9]Set Up'!$N$16+'[9]Set Up'!$O$15,IF(Z7&lt;'[9]Set Up'!$J$17,(Z7-'[9]Set Up'!$J$16)*'[9]Set Up'!$N$17+'[9]Set Up'!$O$15+'[9]Set Up'!$O$16,(Z7-'[9]Set Up'!$J$17)*'[9]Set Up'!$N$18 + SUM('[9]Set Up'!$O$15:'[9]Set Up'!$O$17)))))</f>
        <v>358.21585807876306</v>
      </c>
      <c r="AA12" s="26">
        <f>IF(AA7="","",IF(AA7&lt;'[9]Set Up'!$J$15,AA7*'[9]Set Up'!$N$15,IF(AA7&lt;'[9]Set Up'!$J$16,(AA7-'[9]Set Up'!$J$15)*'[9]Set Up'!$N$16+'[9]Set Up'!$O$15,IF(AA7&lt;'[9]Set Up'!$J$17,(AA7-'[9]Set Up'!$J$16)*'[9]Set Up'!$N$17+'[9]Set Up'!$O$15+'[9]Set Up'!$O$16,(AA7-'[9]Set Up'!$J$17)*'[9]Set Up'!$N$18 + SUM('[9]Set Up'!$O$15:'[9]Set Up'!$O$17)))))</f>
        <v>355.19970557859955</v>
      </c>
      <c r="AB12" s="26">
        <f>IF(AB7="","",IF(AB7&lt;'[9]Set Up'!$J$15,AB7*'[9]Set Up'!$N$15,IF(AB7&lt;'[9]Set Up'!$J$16,(AB7-'[9]Set Up'!$J$15)*'[9]Set Up'!$N$16+'[9]Set Up'!$O$15,IF(AB7&lt;'[9]Set Up'!$J$17,(AB7-'[9]Set Up'!$J$16)*'[9]Set Up'!$N$17+'[9]Set Up'!$O$15+'[9]Set Up'!$O$16,(AB7-'[9]Set Up'!$J$17)*'[9]Set Up'!$N$18 + SUM('[9]Set Up'!$O$15:'[9]Set Up'!$O$17)))))</f>
        <v>352.1984845264567</v>
      </c>
      <c r="AC12" s="26">
        <f>IF(AC7="","",IF(AC7&lt;'[9]Set Up'!$J$15,AC7*'[9]Set Up'!$N$15,IF(AC7&lt;'[9]Set Up'!$J$16,(AC7-'[9]Set Up'!$J$15)*'[9]Set Up'!$N$16+'[9]Set Up'!$O$15,IF(AC7&lt;'[9]Set Up'!$J$17,(AC7-'[9]Set Up'!$J$16)*'[9]Set Up'!$N$17+'[9]Set Up'!$O$15+'[9]Set Up'!$O$16,(AC7-'[9]Set Up'!$J$17)*'[9]Set Up'!$N$18 + SUM('[9]Set Up'!$O$15:'[9]Set Up'!$O$17)))))</f>
        <v>349.19726347431379</v>
      </c>
      <c r="AD12" s="26">
        <f>IF(AD7="","",IF(AD7&lt;'[9]Set Up'!$J$15,AD7*'[9]Set Up'!$N$15,IF(AD7&lt;'[9]Set Up'!$J$16,(AD7-'[9]Set Up'!$J$15)*'[9]Set Up'!$N$16+'[9]Set Up'!$O$15,IF(AD7&lt;'[9]Set Up'!$J$17,(AD7-'[9]Set Up'!$J$16)*'[9]Set Up'!$N$17+'[9]Set Up'!$O$15+'[9]Set Up'!$O$16,(AD7-'[9]Set Up'!$J$17)*'[9]Set Up'!$N$18 + SUM('[9]Set Up'!$O$15:'[9]Set Up'!$O$17)))))</f>
        <v>346.19604242217088</v>
      </c>
      <c r="AE12" s="26">
        <f>IF(AE7="","",IF(AE7&lt;'[9]Set Up'!$J$15,AE7*'[9]Set Up'!$N$15,IF(AE7&lt;'[9]Set Up'!$J$16,(AE7-'[9]Set Up'!$J$15)*'[9]Set Up'!$N$16+'[9]Set Up'!$O$15,IF(AE7&lt;'[9]Set Up'!$J$17,(AE7-'[9]Set Up'!$J$16)*'[9]Set Up'!$N$17+'[9]Set Up'!$O$15+'[9]Set Up'!$O$16,(AE7-'[9]Set Up'!$J$17)*'[9]Set Up'!$N$18 + SUM('[9]Set Up'!$O$15:'[9]Set Up'!$O$17)))))</f>
        <v>343.19482137002802</v>
      </c>
      <c r="AF12" s="26">
        <f>IF(AF7="","",IF(AF7&lt;'[9]Set Up'!$J$15,AF7*'[9]Set Up'!$N$15,IF(AF7&lt;'[9]Set Up'!$J$16,(AF7-'[9]Set Up'!$J$15)*'[9]Set Up'!$N$16+'[9]Set Up'!$O$15,IF(AF7&lt;'[9]Set Up'!$J$17,(AF7-'[9]Set Up'!$J$16)*'[9]Set Up'!$N$17+'[9]Set Up'!$O$15+'[9]Set Up'!$O$16,(AF7-'[9]Set Up'!$J$17)*'[9]Set Up'!$N$18 + SUM('[9]Set Up'!$O$15:'[9]Set Up'!$O$17)))))</f>
        <v>340.19360031788511</v>
      </c>
      <c r="AG12" s="26">
        <f>IF(AG7="","",IF(AG7&lt;'[9]Set Up'!$J$15,AG7*'[9]Set Up'!$N$15,IF(AG7&lt;'[9]Set Up'!$J$16,(AG7-'[9]Set Up'!$J$15)*'[9]Set Up'!$N$16+'[9]Set Up'!$O$15,IF(AG7&lt;'[9]Set Up'!$J$17,(AG7-'[9]Set Up'!$J$16)*'[9]Set Up'!$N$17+'[9]Set Up'!$O$15+'[9]Set Up'!$O$16,(AG7-'[9]Set Up'!$J$17)*'[9]Set Up'!$N$18 + SUM('[9]Set Up'!$O$15:'[9]Set Up'!$O$17)))))</f>
        <v>337.1774478177216</v>
      </c>
      <c r="AH12" s="26">
        <f>IF(AH7="","",IF(AH7&lt;'[9]Set Up'!$J$15,AH7*'[9]Set Up'!$N$15,IF(AH7&lt;'[9]Set Up'!$J$16,(AH7-'[9]Set Up'!$J$15)*'[9]Set Up'!$N$16+'[9]Set Up'!$O$15,IF(AH7&lt;'[9]Set Up'!$J$17,(AH7-'[9]Set Up'!$J$16)*'[9]Set Up'!$N$17+'[9]Set Up'!$O$15+'[9]Set Up'!$O$16,(AH7-'[9]Set Up'!$J$17)*'[9]Set Up'!$N$18 + SUM('[9]Set Up'!$O$15:'[9]Set Up'!$O$17)))))</f>
        <v>334.17622676557869</v>
      </c>
      <c r="AI12" s="26">
        <f>IF(AI7="","",IF(AI7&lt;'[9]Set Up'!$J$15,AI7*'[9]Set Up'!$N$15,IF(AI7&lt;'[9]Set Up'!$J$16,(AI7-'[9]Set Up'!$J$15)*'[9]Set Up'!$N$16+'[9]Set Up'!$O$15,IF(AI7&lt;'[9]Set Up'!$J$17,(AI7-'[9]Set Up'!$J$16)*'[9]Set Up'!$N$17+'[9]Set Up'!$O$15+'[9]Set Up'!$O$16,(AI7-'[9]Set Up'!$J$17)*'[9]Set Up'!$N$18 + SUM('[9]Set Up'!$O$15:'[9]Set Up'!$O$17)))))</f>
        <v>331.17500571343584</v>
      </c>
      <c r="AJ12" s="26">
        <f>IF(AJ7="","",IF(AJ7&lt;'[9]Set Up'!$J$15,AJ7*'[9]Set Up'!$N$15,IF(AJ7&lt;'[9]Set Up'!$J$16,(AJ7-'[9]Set Up'!$J$15)*'[9]Set Up'!$N$16+'[9]Set Up'!$O$15,IF(AJ7&lt;'[9]Set Up'!$J$17,(AJ7-'[9]Set Up'!$J$16)*'[9]Set Up'!$N$17+'[9]Set Up'!$O$15+'[9]Set Up'!$O$16,(AJ7-'[9]Set Up'!$J$17)*'[9]Set Up'!$N$18 + SUM('[9]Set Up'!$O$15:'[9]Set Up'!$O$17)))))</f>
        <v>328.17378466129293</v>
      </c>
      <c r="AK12" s="26">
        <f>IF(AK7="","",IF(AK7&lt;'[9]Set Up'!$J$15,AK7*'[9]Set Up'!$N$15,IF(AK7&lt;'[9]Set Up'!$J$16,(AK7-'[9]Set Up'!$J$15)*'[9]Set Up'!$N$16+'[9]Set Up'!$O$15,IF(AK7&lt;'[9]Set Up'!$J$17,(AK7-'[9]Set Up'!$J$16)*'[9]Set Up'!$N$17+'[9]Set Up'!$O$15+'[9]Set Up'!$O$16,(AK7-'[9]Set Up'!$J$17)*'[9]Set Up'!$N$18 + SUM('[9]Set Up'!$O$15:'[9]Set Up'!$O$17)))))</f>
        <v>325.17256360915007</v>
      </c>
      <c r="AL12" s="26">
        <f>IF(AL7="","",IF(AL7&lt;'[9]Set Up'!$J$15,AL7*'[9]Set Up'!$N$15,IF(AL7&lt;'[9]Set Up'!$J$16,(AL7-'[9]Set Up'!$J$15)*'[9]Set Up'!$N$16+'[9]Set Up'!$O$15,IF(AL7&lt;'[9]Set Up'!$J$17,(AL7-'[9]Set Up'!$J$16)*'[9]Set Up'!$N$17+'[9]Set Up'!$O$15+'[9]Set Up'!$O$16,(AL7-'[9]Set Up'!$J$17)*'[9]Set Up'!$N$18 + SUM('[9]Set Up'!$O$15:'[9]Set Up'!$O$17)))))</f>
        <v>322.17134255700716</v>
      </c>
      <c r="AM12" s="26">
        <f>IF(AM7="","",IF(AM7&lt;'[9]Set Up'!$J$15,AM7*'[9]Set Up'!$N$15,IF(AM7&lt;'[9]Set Up'!$J$16,(AM7-'[9]Set Up'!$J$15)*'[9]Set Up'!$N$16+'[9]Set Up'!$O$15,IF(AM7&lt;'[9]Set Up'!$J$17,(AM7-'[9]Set Up'!$J$16)*'[9]Set Up'!$N$17+'[9]Set Up'!$O$15+'[9]Set Up'!$O$16,(AM7-'[9]Set Up'!$J$17)*'[9]Set Up'!$N$18 + SUM('[9]Set Up'!$O$15:'[9]Set Up'!$O$17)))))</f>
        <v>319.17012150486426</v>
      </c>
      <c r="AN12" s="26">
        <f>IF(AN7="","",IF(AN7&lt;'[9]Set Up'!$J$15,AN7*'[9]Set Up'!$N$15,IF(AN7&lt;'[9]Set Up'!$J$16,(AN7-'[9]Set Up'!$J$15)*'[9]Set Up'!$N$16+'[9]Set Up'!$O$15,IF(AN7&lt;'[9]Set Up'!$J$17,(AN7-'[9]Set Up'!$J$16)*'[9]Set Up'!$N$17+'[9]Set Up'!$O$15+'[9]Set Up'!$O$16,(AN7-'[9]Set Up'!$J$17)*'[9]Set Up'!$N$18 + SUM('[9]Set Up'!$O$15:'[9]Set Up'!$O$17)))))</f>
        <v>316.1539690047008</v>
      </c>
      <c r="AO12" s="26">
        <f>IF(AO7="","",IF(AO7&lt;'[9]Set Up'!$J$15,AO7*'[9]Set Up'!$N$15,IF(AO7&lt;'[9]Set Up'!$J$16,(AO7-'[9]Set Up'!$J$15)*'[9]Set Up'!$N$16+'[9]Set Up'!$O$15,IF(AO7&lt;'[9]Set Up'!$J$17,(AO7-'[9]Set Up'!$J$16)*'[9]Set Up'!$N$17+'[9]Set Up'!$O$15+'[9]Set Up'!$O$16,(AO7-'[9]Set Up'!$J$17)*'[9]Set Up'!$N$18 + SUM('[9]Set Up'!$O$15:'[9]Set Up'!$O$17)))))</f>
        <v>313.15274795255789</v>
      </c>
      <c r="AP12" s="26">
        <f>IF(AP7="","",IF(AP7&lt;'[9]Set Up'!$J$15,AP7*'[9]Set Up'!$N$15,IF(AP7&lt;'[9]Set Up'!$J$16,(AP7-'[9]Set Up'!$J$15)*'[9]Set Up'!$N$16+'[9]Set Up'!$O$15,IF(AP7&lt;'[9]Set Up'!$J$17,(AP7-'[9]Set Up'!$J$16)*'[9]Set Up'!$N$17+'[9]Set Up'!$O$15+'[9]Set Up'!$O$16,(AP7-'[9]Set Up'!$J$17)*'[9]Set Up'!$N$18 + SUM('[9]Set Up'!$O$15:'[9]Set Up'!$O$17)))))</f>
        <v>310.15152690041498</v>
      </c>
      <c r="AQ12" s="26">
        <f>IF(AQ7="","",IF(AQ7&lt;'[9]Set Up'!$J$15,AQ7*'[9]Set Up'!$N$15,IF(AQ7&lt;'[9]Set Up'!$J$16,(AQ7-'[9]Set Up'!$J$15)*'[9]Set Up'!$N$16+'[9]Set Up'!$O$15,IF(AQ7&lt;'[9]Set Up'!$J$17,(AQ7-'[9]Set Up'!$J$16)*'[9]Set Up'!$N$17+'[9]Set Up'!$O$15+'[9]Set Up'!$O$16,(AQ7-'[9]Set Up'!$J$17)*'[9]Set Up'!$N$18 + SUM('[9]Set Up'!$O$15:'[9]Set Up'!$O$17)))))</f>
        <v>307.15030584827207</v>
      </c>
      <c r="AR12" s="26">
        <f>IF(AR7="","",IF(AR7&lt;'[9]Set Up'!$J$15,AR7*'[9]Set Up'!$N$15,IF(AR7&lt;'[9]Set Up'!$J$16,(AR7-'[9]Set Up'!$J$15)*'[9]Set Up'!$N$16+'[9]Set Up'!$O$15,IF(AR7&lt;'[9]Set Up'!$J$17,(AR7-'[9]Set Up'!$J$16)*'[9]Set Up'!$N$17+'[9]Set Up'!$O$15+'[9]Set Up'!$O$16,(AR7-'[9]Set Up'!$J$17)*'[9]Set Up'!$N$18 + SUM('[9]Set Up'!$O$15:'[9]Set Up'!$O$17)))))</f>
        <v>304.14908479612922</v>
      </c>
      <c r="AS12" s="26">
        <f>IF(AS7="","",IF(AS7&lt;'[9]Set Up'!$J$15,AS7*'[9]Set Up'!$N$15,IF(AS7&lt;'[9]Set Up'!$J$16,(AS7-'[9]Set Up'!$J$15)*'[9]Set Up'!$N$16+'[9]Set Up'!$O$15,IF(AS7&lt;'[9]Set Up'!$J$17,(AS7-'[9]Set Up'!$J$16)*'[9]Set Up'!$N$17+'[9]Set Up'!$O$15+'[9]Set Up'!$O$16,(AS7-'[9]Set Up'!$J$17)*'[9]Set Up'!$N$18 + SUM('[9]Set Up'!$O$15:'[9]Set Up'!$O$17)))))</f>
        <v>301.14786374398631</v>
      </c>
      <c r="AT12" s="26">
        <f>IF(AT7="","",IF(AT7&lt;'[9]Set Up'!$J$15,AT7*'[9]Set Up'!$N$15,IF(AT7&lt;'[9]Set Up'!$J$16,(AT7-'[9]Set Up'!$J$15)*'[9]Set Up'!$N$16+'[9]Set Up'!$O$15,IF(AT7&lt;'[9]Set Up'!$J$17,(AT7-'[9]Set Up'!$J$16)*'[9]Set Up'!$N$17+'[9]Set Up'!$O$15+'[9]Set Up'!$O$16,(AT7-'[9]Set Up'!$J$17)*'[9]Set Up'!$N$18 + SUM('[9]Set Up'!$O$15:'[9]Set Up'!$O$17)))))</f>
        <v>298.13171124382279</v>
      </c>
      <c r="AU12" s="26">
        <f>IF(AU7="","",IF(AU7&lt;'[9]Set Up'!$J$15,AU7*'[9]Set Up'!$N$15,IF(AU7&lt;'[9]Set Up'!$J$16,(AU7-'[9]Set Up'!$J$15)*'[9]Set Up'!$N$16+'[9]Set Up'!$O$15,IF(AU7&lt;'[9]Set Up'!$J$17,(AU7-'[9]Set Up'!$J$16)*'[9]Set Up'!$N$17+'[9]Set Up'!$O$15+'[9]Set Up'!$O$16,(AU7-'[9]Set Up'!$J$17)*'[9]Set Up'!$N$18 + SUM('[9]Set Up'!$O$15:'[9]Set Up'!$O$17)))))</f>
        <v>295.13049019167994</v>
      </c>
      <c r="AV12" s="26">
        <f>IF(AV7="","",IF(AV7&lt;'[9]Set Up'!$J$15,AV7*'[9]Set Up'!$N$15,IF(AV7&lt;'[9]Set Up'!$J$16,(AV7-'[9]Set Up'!$J$15)*'[9]Set Up'!$N$16+'[9]Set Up'!$O$15,IF(AV7&lt;'[9]Set Up'!$J$17,(AV7-'[9]Set Up'!$J$16)*'[9]Set Up'!$N$17+'[9]Set Up'!$O$15+'[9]Set Up'!$O$16,(AV7-'[9]Set Up'!$J$17)*'[9]Set Up'!$N$18 + SUM('[9]Set Up'!$O$15:'[9]Set Up'!$O$17)))))</f>
        <v>292.12926913953703</v>
      </c>
      <c r="AW12" s="26">
        <f>IF(AW7="","",IF(AW7&lt;'[9]Set Up'!$J$15,AW7*'[9]Set Up'!$N$15,IF(AW7&lt;'[9]Set Up'!$J$16,(AW7-'[9]Set Up'!$J$15)*'[9]Set Up'!$N$16+'[9]Set Up'!$O$15,IF(AW7&lt;'[9]Set Up'!$J$17,(AW7-'[9]Set Up'!$J$16)*'[9]Set Up'!$N$17+'[9]Set Up'!$O$15+'[9]Set Up'!$O$16,(AW7-'[9]Set Up'!$J$17)*'[9]Set Up'!$N$18 + SUM('[9]Set Up'!$O$15:'[9]Set Up'!$O$17)))))</f>
        <v>289.12804808739412</v>
      </c>
      <c r="AX12" s="26">
        <f>IF(AX7="","",IF(AX7&lt;'[9]Set Up'!$J$15,AX7*'[9]Set Up'!$N$15,IF(AX7&lt;'[9]Set Up'!$J$16,(AX7-'[9]Set Up'!$J$15)*'[9]Set Up'!$N$16+'[9]Set Up'!$O$15,IF(AX7&lt;'[9]Set Up'!$J$17,(AX7-'[9]Set Up'!$J$16)*'[9]Set Up'!$N$17+'[9]Set Up'!$O$15+'[9]Set Up'!$O$16,(AX7-'[9]Set Up'!$J$17)*'[9]Set Up'!$N$18 + SUM('[9]Set Up'!$O$15:'[9]Set Up'!$O$17)))))</f>
        <v>286.12682703525127</v>
      </c>
      <c r="AY12" s="26">
        <f>IF(AY7="","",IF(AY7&lt;'[9]Set Up'!$J$15,AY7*'[9]Set Up'!$N$15,IF(AY7&lt;'[9]Set Up'!$J$16,(AY7-'[9]Set Up'!$J$15)*'[9]Set Up'!$N$16+'[9]Set Up'!$O$15,IF(AY7&lt;'[9]Set Up'!$J$17,(AY7-'[9]Set Up'!$J$16)*'[9]Set Up'!$N$17+'[9]Set Up'!$O$15+'[9]Set Up'!$O$16,(AY7-'[9]Set Up'!$J$17)*'[9]Set Up'!$N$18 + SUM('[9]Set Up'!$O$15:'[9]Set Up'!$O$17)))))</f>
        <v>283.12560598310836</v>
      </c>
      <c r="AZ12" s="26">
        <f>IF(AZ7="","",IF(AZ7&lt;'[9]Set Up'!$J$15,AZ7*'[9]Set Up'!$N$15,IF(AZ7&lt;'[9]Set Up'!$J$16,(AZ7-'[9]Set Up'!$J$15)*'[9]Set Up'!$N$16+'[9]Set Up'!$O$15,IF(AZ7&lt;'[9]Set Up'!$J$17,(AZ7-'[9]Set Up'!$J$16)*'[9]Set Up'!$N$17+'[9]Set Up'!$O$15+'[9]Set Up'!$O$16,(AZ7-'[9]Set Up'!$J$17)*'[9]Set Up'!$N$18 + SUM('[9]Set Up'!$O$15:'[9]Set Up'!$O$17)))))</f>
        <v>280.10945348294484</v>
      </c>
      <c r="BA12" s="26">
        <f>IF(BA7="","",IF(BA7&lt;'[9]Set Up'!$J$15,BA7*'[9]Set Up'!$N$15,IF(BA7&lt;'[9]Set Up'!$J$16,(BA7-'[9]Set Up'!$J$15)*'[9]Set Up'!$N$16+'[9]Set Up'!$O$15,IF(BA7&lt;'[9]Set Up'!$J$17,(BA7-'[9]Set Up'!$J$16)*'[9]Set Up'!$N$17+'[9]Set Up'!$O$15+'[9]Set Up'!$O$16,(BA7-'[9]Set Up'!$J$17)*'[9]Set Up'!$N$18 + SUM('[9]Set Up'!$O$15:'[9]Set Up'!$O$17)))))</f>
        <v>277.10823243080199</v>
      </c>
      <c r="BB12" s="26">
        <f>IF(BB7="","",IF(BB7&lt;'[9]Set Up'!$J$15,BB7*'[9]Set Up'!$N$15,IF(BB7&lt;'[9]Set Up'!$J$16,(BB7-'[9]Set Up'!$J$15)*'[9]Set Up'!$N$16+'[9]Set Up'!$O$15,IF(BB7&lt;'[9]Set Up'!$J$17,(BB7-'[9]Set Up'!$J$16)*'[9]Set Up'!$N$17+'[9]Set Up'!$O$15+'[9]Set Up'!$O$16,(BB7-'[9]Set Up'!$J$17)*'[9]Set Up'!$N$18 + SUM('[9]Set Up'!$O$15:'[9]Set Up'!$O$17)))))</f>
        <v>274.10701137865908</v>
      </c>
      <c r="BC12" s="26">
        <f>IF(BC7="","",IF(BC7&lt;'[9]Set Up'!$J$15,BC7*'[9]Set Up'!$N$15,IF(BC7&lt;'[9]Set Up'!$J$16,(BC7-'[9]Set Up'!$J$15)*'[9]Set Up'!$N$16+'[9]Set Up'!$O$15,IF(BC7&lt;'[9]Set Up'!$J$17,(BC7-'[9]Set Up'!$J$16)*'[9]Set Up'!$N$17+'[9]Set Up'!$O$15+'[9]Set Up'!$O$16,(BC7-'[9]Set Up'!$J$17)*'[9]Set Up'!$N$18 + SUM('[9]Set Up'!$O$15:'[9]Set Up'!$O$17)))))</f>
        <v>271.10579032651617</v>
      </c>
      <c r="BD12" s="26">
        <f>IF(BD7="","",IF(BD7&lt;'[9]Set Up'!$J$15,BD7*'[9]Set Up'!$N$15,IF(BD7&lt;'[9]Set Up'!$J$16,(BD7-'[9]Set Up'!$J$15)*'[9]Set Up'!$N$16+'[9]Set Up'!$O$15,IF(BD7&lt;'[9]Set Up'!$J$17,(BD7-'[9]Set Up'!$J$16)*'[9]Set Up'!$N$17+'[9]Set Up'!$O$15+'[9]Set Up'!$O$16,(BD7-'[9]Set Up'!$J$17)*'[9]Set Up'!$N$18 + SUM('[9]Set Up'!$O$15:'[9]Set Up'!$O$17)))))</f>
        <v>0</v>
      </c>
      <c r="BE12" s="26">
        <f>IF(BE7="","",IF(BE7&lt;'[9]Set Up'!$J$15,BE7*'[9]Set Up'!$N$15,IF(BE7&lt;'[9]Set Up'!$J$16,(BE7-'[9]Set Up'!$J$15)*'[9]Set Up'!$N$16+'[9]Set Up'!$O$15,IF(BE7&lt;'[9]Set Up'!$J$17,(BE7-'[9]Set Up'!$J$16)*'[9]Set Up'!$N$17+'[9]Set Up'!$O$15+'[9]Set Up'!$O$16,(BE7-'[9]Set Up'!$J$17)*'[9]Set Up'!$N$18 + SUM('[9]Set Up'!$O$15:'[9]Set Up'!$O$17)))))</f>
        <v>0</v>
      </c>
      <c r="BF12" s="26">
        <f>IF(BF7="","",IF(BF7&lt;'[9]Set Up'!$J$15,BF7*'[9]Set Up'!$N$15,IF(BF7&lt;'[9]Set Up'!$J$16,(BF7-'[9]Set Up'!$J$15)*'[9]Set Up'!$N$16+'[9]Set Up'!$O$15,IF(BF7&lt;'[9]Set Up'!$J$17,(BF7-'[9]Set Up'!$J$16)*'[9]Set Up'!$N$17+'[9]Set Up'!$O$15+'[9]Set Up'!$O$16,(BF7-'[9]Set Up'!$J$17)*'[9]Set Up'!$N$18 + SUM('[9]Set Up'!$O$15:'[9]Set Up'!$O$17)))))</f>
        <v>0</v>
      </c>
      <c r="BG12" s="26">
        <f>IF(BG7="","",IF(BG7&lt;'[9]Set Up'!$J$15,BG7*'[9]Set Up'!$N$15,IF(BG7&lt;'[9]Set Up'!$J$16,(BG7-'[9]Set Up'!$J$15)*'[9]Set Up'!$N$16+'[9]Set Up'!$O$15,IF(BG7&lt;'[9]Set Up'!$J$17,(BG7-'[9]Set Up'!$J$16)*'[9]Set Up'!$N$17+'[9]Set Up'!$O$15+'[9]Set Up'!$O$16,(BG7-'[9]Set Up'!$J$17)*'[9]Set Up'!$N$18 + SUM('[9]Set Up'!$O$15:'[9]Set Up'!$O$17)))))</f>
        <v>0</v>
      </c>
      <c r="BH12" s="26">
        <f>IF(BH7="","",IF(BH7&lt;'[9]Set Up'!$J$15,BH7*'[9]Set Up'!$N$15,IF(BH7&lt;'[9]Set Up'!$J$16,(BH7-'[9]Set Up'!$J$15)*'[9]Set Up'!$N$16+'[9]Set Up'!$O$15,IF(BH7&lt;'[9]Set Up'!$J$17,(BH7-'[9]Set Up'!$J$16)*'[9]Set Up'!$N$17+'[9]Set Up'!$O$15+'[9]Set Up'!$O$16,(BH7-'[9]Set Up'!$J$17)*'[9]Set Up'!$N$18 + SUM('[9]Set Up'!$O$15:'[9]Set Up'!$O$17)))))</f>
        <v>0</v>
      </c>
      <c r="BI12" s="26">
        <f>IF(BI7="","",IF(BI7&lt;'[9]Set Up'!$J$15,BI7*'[9]Set Up'!$N$15,IF(BI7&lt;'[9]Set Up'!$J$16,(BI7-'[9]Set Up'!$J$15)*'[9]Set Up'!$N$16+'[9]Set Up'!$O$15,IF(BI7&lt;'[9]Set Up'!$J$17,(BI7-'[9]Set Up'!$J$16)*'[9]Set Up'!$N$17+'[9]Set Up'!$O$15+'[9]Set Up'!$O$16,(BI7-'[9]Set Up'!$J$17)*'[9]Set Up'!$N$18 + SUM('[9]Set Up'!$O$15:'[9]Set Up'!$O$17)))))</f>
        <v>0</v>
      </c>
      <c r="BJ12" s="26">
        <f>IF(BJ7="","",IF(BJ7&lt;'[9]Set Up'!$J$15,BJ7*'[9]Set Up'!$N$15,IF(BJ7&lt;'[9]Set Up'!$J$16,(BJ7-'[9]Set Up'!$J$15)*'[9]Set Up'!$N$16+'[9]Set Up'!$O$15,IF(BJ7&lt;'[9]Set Up'!$J$17,(BJ7-'[9]Set Up'!$J$16)*'[9]Set Up'!$N$17+'[9]Set Up'!$O$15+'[9]Set Up'!$O$16,(BJ7-'[9]Set Up'!$J$17)*'[9]Set Up'!$N$18 + SUM('[9]Set Up'!$O$15:'[9]Set Up'!$O$17)))))</f>
        <v>0</v>
      </c>
      <c r="BK12" s="26">
        <f>IF(BK7="","",IF(BK7&lt;'[9]Set Up'!$J$15,BK7*'[9]Set Up'!$N$15,IF(BK7&lt;'[9]Set Up'!$J$16,(BK7-'[9]Set Up'!$J$15)*'[9]Set Up'!$N$16+'[9]Set Up'!$O$15,IF(BK7&lt;'[9]Set Up'!$J$17,(BK7-'[9]Set Up'!$J$16)*'[9]Set Up'!$N$17+'[9]Set Up'!$O$15+'[9]Set Up'!$O$16,(BK7-'[9]Set Up'!$J$17)*'[9]Set Up'!$N$18 + SUM('[9]Set Up'!$O$15:'[9]Set Up'!$O$17)))))</f>
        <v>0</v>
      </c>
      <c r="BL12" s="26">
        <f>IF(BL7="","",IF(BL7&lt;'[9]Set Up'!$J$15,BL7*'[9]Set Up'!$N$15,IF(BL7&lt;'[9]Set Up'!$J$16,(BL7-'[9]Set Up'!$J$15)*'[9]Set Up'!$N$16+'[9]Set Up'!$O$15,IF(BL7&lt;'[9]Set Up'!$J$17,(BL7-'[9]Set Up'!$J$16)*'[9]Set Up'!$N$17+'[9]Set Up'!$O$15+'[9]Set Up'!$O$16,(BL7-'[9]Set Up'!$J$17)*'[9]Set Up'!$N$18 + SUM('[9]Set Up'!$O$15:'[9]Set Up'!$O$17)))))</f>
        <v>0</v>
      </c>
      <c r="BM12" s="26">
        <f>IF(BM7="","",IF(BM7&lt;'[9]Set Up'!$J$15,BM7*'[9]Set Up'!$N$15,IF(BM7&lt;'[9]Set Up'!$J$16,(BM7-'[9]Set Up'!$J$15)*'[9]Set Up'!$N$16+'[9]Set Up'!$O$15,IF(BM7&lt;'[9]Set Up'!$J$17,(BM7-'[9]Set Up'!$J$16)*'[9]Set Up'!$N$17+'[9]Set Up'!$O$15+'[9]Set Up'!$O$16,(BM7-'[9]Set Up'!$J$17)*'[9]Set Up'!$N$18 + SUM('[9]Set Up'!$O$15:'[9]Set Up'!$O$17)))))</f>
        <v>0</v>
      </c>
      <c r="BN12" s="26">
        <f>IF(BN7="","",IF(BN7&lt;'[9]Set Up'!$J$15,BN7*'[9]Set Up'!$N$15,IF(BN7&lt;'[9]Set Up'!$J$16,(BN7-'[9]Set Up'!$J$15)*'[9]Set Up'!$N$16+'[9]Set Up'!$O$15,IF(BN7&lt;'[9]Set Up'!$J$17,(BN7-'[9]Set Up'!$J$16)*'[9]Set Up'!$N$17+'[9]Set Up'!$O$15+'[9]Set Up'!$O$16,(BN7-'[9]Set Up'!$J$17)*'[9]Set Up'!$N$18 + SUM('[9]Set Up'!$O$15:'[9]Set Up'!$O$17)))))</f>
        <v>0</v>
      </c>
      <c r="BO12" s="26">
        <f>IF(BO7="","",IF(BO7&lt;'[9]Set Up'!$J$15,BO7*'[9]Set Up'!$N$15,IF(BO7&lt;'[9]Set Up'!$J$16,(BO7-'[9]Set Up'!$J$15)*'[9]Set Up'!$N$16+'[9]Set Up'!$O$15,IF(BO7&lt;'[9]Set Up'!$J$17,(BO7-'[9]Set Up'!$J$16)*'[9]Set Up'!$N$17+'[9]Set Up'!$O$15+'[9]Set Up'!$O$16,(BO7-'[9]Set Up'!$J$17)*'[9]Set Up'!$N$18 + SUM('[9]Set Up'!$O$15:'[9]Set Up'!$O$17)))))</f>
        <v>0</v>
      </c>
      <c r="BP12" s="26">
        <f>IF(BP7="","",IF(BP7&lt;'[9]Set Up'!$J$15,BP7*'[9]Set Up'!$N$15,IF(BP7&lt;'[9]Set Up'!$J$16,(BP7-'[9]Set Up'!$J$15)*'[9]Set Up'!$N$16+'[9]Set Up'!$O$15,IF(BP7&lt;'[9]Set Up'!$J$17,(BP7-'[9]Set Up'!$J$16)*'[9]Set Up'!$N$17+'[9]Set Up'!$O$15+'[9]Set Up'!$O$16,(BP7-'[9]Set Up'!$J$17)*'[9]Set Up'!$N$18 + SUM('[9]Set Up'!$O$15:'[9]Set Up'!$O$17)))))</f>
        <v>0</v>
      </c>
      <c r="BQ12" s="26">
        <f>IF(BQ7="","",IF(BQ7&lt;'[9]Set Up'!$J$15,BQ7*'[9]Set Up'!$N$15,IF(BQ7&lt;'[9]Set Up'!$J$16,(BQ7-'[9]Set Up'!$J$15)*'[9]Set Up'!$N$16+'[9]Set Up'!$O$15,IF(BQ7&lt;'[9]Set Up'!$J$17,(BQ7-'[9]Set Up'!$J$16)*'[9]Set Up'!$N$17+'[9]Set Up'!$O$15+'[9]Set Up'!$O$16,(BQ7-'[9]Set Up'!$J$17)*'[9]Set Up'!$N$18 + SUM('[9]Set Up'!$O$15:'[9]Set Up'!$O$17)))))</f>
        <v>0</v>
      </c>
      <c r="BR12" s="26">
        <f>IF(BR7="","",IF(BR7&lt;'[9]Set Up'!$J$15,BR7*'[9]Set Up'!$N$15,IF(BR7&lt;'[9]Set Up'!$J$16,(BR7-'[9]Set Up'!$J$15)*'[9]Set Up'!$N$16+'[9]Set Up'!$O$15,IF(BR7&lt;'[9]Set Up'!$J$17,(BR7-'[9]Set Up'!$J$16)*'[9]Set Up'!$N$17+'[9]Set Up'!$O$15+'[9]Set Up'!$O$16,(BR7-'[9]Set Up'!$J$17)*'[9]Set Up'!$N$18 + SUM('[9]Set Up'!$O$15:'[9]Set Up'!$O$17)))))</f>
        <v>0</v>
      </c>
      <c r="BS12" s="26">
        <f>IF(BS7="","",IF(BS7&lt;'[9]Set Up'!$J$15,BS7*'[9]Set Up'!$N$15,IF(BS7&lt;'[9]Set Up'!$J$16,(BS7-'[9]Set Up'!$J$15)*'[9]Set Up'!$N$16+'[9]Set Up'!$O$15,IF(BS7&lt;'[9]Set Up'!$J$17,(BS7-'[9]Set Up'!$J$16)*'[9]Set Up'!$N$17+'[9]Set Up'!$O$15+'[9]Set Up'!$O$16,(BS7-'[9]Set Up'!$J$17)*'[9]Set Up'!$N$18 + SUM('[9]Set Up'!$O$15:'[9]Set Up'!$O$17)))))</f>
        <v>0</v>
      </c>
      <c r="BT12" s="26">
        <f>IF(BT7="","",IF(BT7&lt;'[9]Set Up'!$J$15,BT7*'[9]Set Up'!$N$15,IF(BT7&lt;'[9]Set Up'!$J$16,(BT7-'[9]Set Up'!$J$15)*'[9]Set Up'!$N$16+'[9]Set Up'!$O$15,IF(BT7&lt;'[9]Set Up'!$J$17,(BT7-'[9]Set Up'!$J$16)*'[9]Set Up'!$N$17+'[9]Set Up'!$O$15+'[9]Set Up'!$O$16,(BT7-'[9]Set Up'!$J$17)*'[9]Set Up'!$N$18 + SUM('[9]Set Up'!$O$15:'[9]Set Up'!$O$17)))))</f>
        <v>0</v>
      </c>
      <c r="BU12" s="26">
        <f>IF(BU7="","",IF(BU7&lt;'[9]Set Up'!$J$15,BU7*'[9]Set Up'!$N$15,IF(BU7&lt;'[9]Set Up'!$J$16,(BU7-'[9]Set Up'!$J$15)*'[9]Set Up'!$N$16+'[9]Set Up'!$O$15,IF(BU7&lt;'[9]Set Up'!$J$17,(BU7-'[9]Set Up'!$J$16)*'[9]Set Up'!$N$17+'[9]Set Up'!$O$15+'[9]Set Up'!$O$16,(BU7-'[9]Set Up'!$J$17)*'[9]Set Up'!$N$18 + SUM('[9]Set Up'!$O$15:'[9]Set Up'!$O$17)))))</f>
        <v>0</v>
      </c>
      <c r="BV12" s="26">
        <f>IF(BV7="","",IF(BV7&lt;'[9]Set Up'!$J$15,BV7*'[9]Set Up'!$N$15,IF(BV7&lt;'[9]Set Up'!$J$16,(BV7-'[9]Set Up'!$J$15)*'[9]Set Up'!$N$16+'[9]Set Up'!$O$15,IF(BV7&lt;'[9]Set Up'!$J$17,(BV7-'[9]Set Up'!$J$16)*'[9]Set Up'!$N$17+'[9]Set Up'!$O$15+'[9]Set Up'!$O$16,(BV7-'[9]Set Up'!$J$17)*'[9]Set Up'!$N$18 + SUM('[9]Set Up'!$O$15:'[9]Set Up'!$O$17)))))</f>
        <v>0</v>
      </c>
      <c r="BW12" s="26">
        <f>IF(BW7="","",IF(BW7&lt;'[9]Set Up'!$J$15,BW7*'[9]Set Up'!$N$15,IF(BW7&lt;'[9]Set Up'!$J$16,(BW7-'[9]Set Up'!$J$15)*'[9]Set Up'!$N$16+'[9]Set Up'!$O$15,IF(BW7&lt;'[9]Set Up'!$J$17,(BW7-'[9]Set Up'!$J$16)*'[9]Set Up'!$N$17+'[9]Set Up'!$O$15+'[9]Set Up'!$O$16,(BW7-'[9]Set Up'!$J$17)*'[9]Set Up'!$N$18 + SUM('[9]Set Up'!$O$15:'[9]Set Up'!$O$17)))))</f>
        <v>0</v>
      </c>
      <c r="BX12" s="26">
        <f>IF(BX7="","",IF(BX7&lt;'[9]Set Up'!$J$15,BX7*'[9]Set Up'!$N$15,IF(BX7&lt;'[9]Set Up'!$J$16,(BX7-'[9]Set Up'!$J$15)*'[9]Set Up'!$N$16+'[9]Set Up'!$O$15,IF(BX7&lt;'[9]Set Up'!$J$17,(BX7-'[9]Set Up'!$J$16)*'[9]Set Up'!$N$17+'[9]Set Up'!$O$15+'[9]Set Up'!$O$16,(BX7-'[9]Set Up'!$J$17)*'[9]Set Up'!$N$18 + SUM('[9]Set Up'!$O$15:'[9]Set Up'!$O$17)))))</f>
        <v>0</v>
      </c>
      <c r="BY12" s="26">
        <f>IF(BY7="","",IF(BY7&lt;'[9]Set Up'!$J$15,BY7*'[9]Set Up'!$N$15,IF(BY7&lt;'[9]Set Up'!$J$16,(BY7-'[9]Set Up'!$J$15)*'[9]Set Up'!$N$16+'[9]Set Up'!$O$15,IF(BY7&lt;'[9]Set Up'!$J$17,(BY7-'[9]Set Up'!$J$16)*'[9]Set Up'!$N$17+'[9]Set Up'!$O$15+'[9]Set Up'!$O$16,(BY7-'[9]Set Up'!$J$17)*'[9]Set Up'!$N$18 + SUM('[9]Set Up'!$O$15:'[9]Set Up'!$O$17)))))</f>
        <v>0</v>
      </c>
      <c r="BZ12" s="8"/>
    </row>
    <row r="13" spans="1:78" x14ac:dyDescent="0.35">
      <c r="A13" s="27" t="s">
        <v>21</v>
      </c>
      <c r="B13" s="195"/>
      <c r="C13" s="28" t="e">
        <f>IF(C8="","",IF(C8&lt;'[9]Set Up'!$J$15,C8*'[9]Set Up'!$N$15,IF(C8&lt;'[9]Set Up'!$J$16,(C8-'[9]Set Up'!$J$15)*'[9]Set Up'!$N$16+'[9]Set Up'!$O$15,IF(C8&lt;'[9]Set Up'!$J$17,(C8-'[9]Set Up'!$J$16)*'[9]Set Up'!$N$17+'[9]Set Up'!$O$15+'[9]Set Up'!$O$16,(C8-'[9]Set Up'!$J$17)*'[9]Set Up'!$N$18 + SUM('[9]Set Up'!$O$15:'[9]Set Up'!$O$17)))))</f>
        <v>#VALUE!</v>
      </c>
      <c r="D13" s="28">
        <f>IF(D8="","",IF(D8&lt;'[9]Set Up'!$J$15,D8*'[9]Set Up'!$N$15,IF(D8&lt;'[9]Set Up'!$J$16,(D8-'[9]Set Up'!$J$15)*'[9]Set Up'!$N$16+'[9]Set Up'!$O$15,IF(D8&lt;'[9]Set Up'!$J$17,(D8-'[9]Set Up'!$J$16)*'[9]Set Up'!$N$17+'[9]Set Up'!$O$15+'[9]Set Up'!$O$16,(D8-'[9]Set Up'!$J$17)*'[9]Set Up'!$N$18 + SUM('[9]Set Up'!$O$15:'[9]Set Up'!$O$17)))))</f>
        <v>429.70763120145045</v>
      </c>
      <c r="E13" s="28">
        <f>IF(E8="","",IF(E8&lt;'[9]Set Up'!$J$15,E8*'[9]Set Up'!$N$15,IF(E8&lt;'[9]Set Up'!$J$16,(E8-'[9]Set Up'!$J$15)*'[9]Set Up'!$N$16+'[9]Set Up'!$O$15,IF(E8&lt;'[9]Set Up'!$J$17,(E8-'[9]Set Up'!$J$16)*'[9]Set Up'!$N$17+'[9]Set Up'!$O$15+'[9]Set Up'!$O$16,(E8-'[9]Set Up'!$J$17)*'[9]Set Up'!$N$18 + SUM('[9]Set Up'!$O$15:'[9]Set Up'!$O$17)))))</f>
        <v>426.70641014930754</v>
      </c>
      <c r="F13" s="28">
        <f>IF(F8="","",IF(F8&lt;'[9]Set Up'!$J$15,F8*'[9]Set Up'!$N$15,IF(F8&lt;'[9]Set Up'!$J$16,(F8-'[9]Set Up'!$J$15)*'[9]Set Up'!$N$16+'[9]Set Up'!$O$15,IF(F8&lt;'[9]Set Up'!$J$17,(F8-'[9]Set Up'!$J$16)*'[9]Set Up'!$N$17+'[9]Set Up'!$O$15+'[9]Set Up'!$O$16,(F8-'[9]Set Up'!$J$17)*'[9]Set Up'!$N$18 + SUM('[9]Set Up'!$O$15:'[9]Set Up'!$O$17)))))</f>
        <v>423.70518909716463</v>
      </c>
      <c r="G13" s="28">
        <f>IF(G8="","",IF(G8&lt;'[9]Set Up'!$J$15,G8*'[9]Set Up'!$N$15,IF(G8&lt;'[9]Set Up'!$J$16,(G8-'[9]Set Up'!$J$15)*'[9]Set Up'!$N$16+'[9]Set Up'!$O$15,IF(G8&lt;'[9]Set Up'!$J$17,(G8-'[9]Set Up'!$J$16)*'[9]Set Up'!$N$17+'[9]Set Up'!$O$15+'[9]Set Up'!$O$16,(G8-'[9]Set Up'!$J$17)*'[9]Set Up'!$N$18 + SUM('[9]Set Up'!$O$15:'[9]Set Up'!$O$17)))))</f>
        <v>420.70396804502172</v>
      </c>
      <c r="H13" s="28">
        <f>IF(H8="","",IF(H8&lt;'[9]Set Up'!$J$15,H8*'[9]Set Up'!$N$15,IF(H8&lt;'[9]Set Up'!$J$16,(H8-'[9]Set Up'!$J$15)*'[9]Set Up'!$N$16+'[9]Set Up'!$O$15,IF(H8&lt;'[9]Set Up'!$J$17,(H8-'[9]Set Up'!$J$16)*'[9]Set Up'!$N$17+'[9]Set Up'!$O$15+'[9]Set Up'!$O$16,(H8-'[9]Set Up'!$J$17)*'[9]Set Up'!$N$18 + SUM('[9]Set Up'!$O$15:'[9]Set Up'!$O$17)))))</f>
        <v>417.70274699287887</v>
      </c>
      <c r="I13" s="28">
        <f>IF(I8="","",IF(I8&lt;'[9]Set Up'!$J$15,I8*'[9]Set Up'!$N$15,IF(I8&lt;'[9]Set Up'!$J$16,(I8-'[9]Set Up'!$J$15)*'[9]Set Up'!$N$16+'[9]Set Up'!$O$15,IF(I8&lt;'[9]Set Up'!$J$17,(I8-'[9]Set Up'!$J$16)*'[9]Set Up'!$N$17+'[9]Set Up'!$O$15+'[9]Set Up'!$O$16,(I8-'[9]Set Up'!$J$17)*'[9]Set Up'!$N$18 + SUM('[9]Set Up'!$O$15:'[9]Set Up'!$O$17)))))</f>
        <v>414.70152594073596</v>
      </c>
      <c r="J13" s="28">
        <f>IF(J8="","",IF(J8&lt;'[9]Set Up'!$J$15,J8*'[9]Set Up'!$N$15,IF(J8&lt;'[9]Set Up'!$J$16,(J8-'[9]Set Up'!$J$15)*'[9]Set Up'!$N$16+'[9]Set Up'!$O$15,IF(J8&lt;'[9]Set Up'!$J$17,(J8-'[9]Set Up'!$J$16)*'[9]Set Up'!$N$17+'[9]Set Up'!$O$15+'[9]Set Up'!$O$16,(J8-'[9]Set Up'!$J$17)*'[9]Set Up'!$N$18 + SUM('[9]Set Up'!$O$15:'[9]Set Up'!$O$17)))))</f>
        <v>411.68537344057245</v>
      </c>
      <c r="K13" s="28">
        <f>IF(K8="","",IF(K8&lt;'[9]Set Up'!$J$15,K8*'[9]Set Up'!$N$15,IF(K8&lt;'[9]Set Up'!$J$16,(K8-'[9]Set Up'!$J$15)*'[9]Set Up'!$N$16+'[9]Set Up'!$O$15,IF(K8&lt;'[9]Set Up'!$J$17,(K8-'[9]Set Up'!$J$16)*'[9]Set Up'!$N$17+'[9]Set Up'!$O$15+'[9]Set Up'!$O$16,(K8-'[9]Set Up'!$J$17)*'[9]Set Up'!$N$18 + SUM('[9]Set Up'!$O$15:'[9]Set Up'!$O$17)))))</f>
        <v>408.6841523884296</v>
      </c>
      <c r="L13" s="28">
        <f>IF(L8="","",IF(L8&lt;'[9]Set Up'!$J$15,L8*'[9]Set Up'!$N$15,IF(L8&lt;'[9]Set Up'!$J$16,(L8-'[9]Set Up'!$J$15)*'[9]Set Up'!$N$16+'[9]Set Up'!$O$15,IF(L8&lt;'[9]Set Up'!$J$17,(L8-'[9]Set Up'!$J$16)*'[9]Set Up'!$N$17+'[9]Set Up'!$O$15+'[9]Set Up'!$O$16,(L8-'[9]Set Up'!$J$17)*'[9]Set Up'!$N$18 + SUM('[9]Set Up'!$O$15:'[9]Set Up'!$O$17)))))</f>
        <v>405.68293133628669</v>
      </c>
      <c r="M13" s="28">
        <f>IF(M8="","",IF(M8&lt;'[9]Set Up'!$J$15,M8*'[9]Set Up'!$N$15,IF(M8&lt;'[9]Set Up'!$J$16,(M8-'[9]Set Up'!$J$15)*'[9]Set Up'!$N$16+'[9]Set Up'!$O$15,IF(M8&lt;'[9]Set Up'!$J$17,(M8-'[9]Set Up'!$J$16)*'[9]Set Up'!$N$17+'[9]Set Up'!$O$15+'[9]Set Up'!$O$16,(M8-'[9]Set Up'!$J$17)*'[9]Set Up'!$N$18 + SUM('[9]Set Up'!$O$15:'[9]Set Up'!$O$17)))))</f>
        <v>402.68171028414383</v>
      </c>
      <c r="N13" s="28">
        <f>IF(N8="","",IF(N8&lt;'[9]Set Up'!$J$15,N8*'[9]Set Up'!$N$15,IF(N8&lt;'[9]Set Up'!$J$16,(N8-'[9]Set Up'!$J$15)*'[9]Set Up'!$N$16+'[9]Set Up'!$O$15,IF(N8&lt;'[9]Set Up'!$J$17,(N8-'[9]Set Up'!$J$16)*'[9]Set Up'!$N$17+'[9]Set Up'!$O$15+'[9]Set Up'!$O$16,(N8-'[9]Set Up'!$J$17)*'[9]Set Up'!$N$18 + SUM('[9]Set Up'!$O$15:'[9]Set Up'!$O$17)))))</f>
        <v>399.68048923200092</v>
      </c>
      <c r="O13" s="28">
        <f>IF(O8="","",IF(O8&lt;'[9]Set Up'!$J$15,O8*'[9]Set Up'!$N$15,IF(O8&lt;'[9]Set Up'!$J$16,(O8-'[9]Set Up'!$J$15)*'[9]Set Up'!$N$16+'[9]Set Up'!$O$15,IF(O8&lt;'[9]Set Up'!$J$17,(O8-'[9]Set Up'!$J$16)*'[9]Set Up'!$N$17+'[9]Set Up'!$O$15+'[9]Set Up'!$O$16,(O8-'[9]Set Up'!$J$17)*'[9]Set Up'!$N$18 + SUM('[9]Set Up'!$O$15:'[9]Set Up'!$O$17)))))</f>
        <v>396.67926817985801</v>
      </c>
      <c r="P13" s="28">
        <f>IF(P8="","",IF(P8&lt;'[9]Set Up'!$J$15,P8*'[9]Set Up'!$N$15,IF(P8&lt;'[9]Set Up'!$J$16,(P8-'[9]Set Up'!$J$15)*'[9]Set Up'!$N$16+'[9]Set Up'!$O$15,IF(P8&lt;'[9]Set Up'!$J$17,(P8-'[9]Set Up'!$J$16)*'[9]Set Up'!$N$17+'[9]Set Up'!$O$15+'[9]Set Up'!$O$16,(P8-'[9]Set Up'!$J$17)*'[9]Set Up'!$N$18 + SUM('[9]Set Up'!$O$15:'[9]Set Up'!$O$17)))))</f>
        <v>393.66311567969456</v>
      </c>
      <c r="Q13" s="28">
        <f>IF(Q8="","",IF(Q8&lt;'[9]Set Up'!$J$15,Q8*'[9]Set Up'!$N$15,IF(Q8&lt;'[9]Set Up'!$J$16,(Q8-'[9]Set Up'!$J$15)*'[9]Set Up'!$N$16+'[9]Set Up'!$O$15,IF(Q8&lt;'[9]Set Up'!$J$17,(Q8-'[9]Set Up'!$J$16)*'[9]Set Up'!$N$17+'[9]Set Up'!$O$15+'[9]Set Up'!$O$16,(Q8-'[9]Set Up'!$J$17)*'[9]Set Up'!$N$18 + SUM('[9]Set Up'!$O$15:'[9]Set Up'!$O$17)))))</f>
        <v>390.66189462755165</v>
      </c>
      <c r="R13" s="28">
        <f>IF(R8="","",IF(R8&lt;'[9]Set Up'!$J$15,R8*'[9]Set Up'!$N$15,IF(R8&lt;'[9]Set Up'!$J$16,(R8-'[9]Set Up'!$J$15)*'[9]Set Up'!$N$16+'[9]Set Up'!$O$15,IF(R8&lt;'[9]Set Up'!$J$17,(R8-'[9]Set Up'!$J$16)*'[9]Set Up'!$N$17+'[9]Set Up'!$O$15+'[9]Set Up'!$O$16,(R8-'[9]Set Up'!$J$17)*'[9]Set Up'!$N$18 + SUM('[9]Set Up'!$O$15:'[9]Set Up'!$O$17)))))</f>
        <v>387.66067357540874</v>
      </c>
      <c r="S13" s="28">
        <f>IF(S8="","",IF(S8&lt;'[9]Set Up'!$J$15,S8*'[9]Set Up'!$N$15,IF(S8&lt;'[9]Set Up'!$J$16,(S8-'[9]Set Up'!$J$15)*'[9]Set Up'!$N$16+'[9]Set Up'!$O$15,IF(S8&lt;'[9]Set Up'!$J$17,(S8-'[9]Set Up'!$J$16)*'[9]Set Up'!$N$17+'[9]Set Up'!$O$15+'[9]Set Up'!$O$16,(S8-'[9]Set Up'!$J$17)*'[9]Set Up'!$N$18 + SUM('[9]Set Up'!$O$15:'[9]Set Up'!$O$17)))))</f>
        <v>384.65945252326583</v>
      </c>
      <c r="T13" s="28">
        <f>IF(T8="","",IF(T8&lt;'[9]Set Up'!$J$15,T8*'[9]Set Up'!$N$15,IF(T8&lt;'[9]Set Up'!$J$16,(T8-'[9]Set Up'!$J$15)*'[9]Set Up'!$N$16+'[9]Set Up'!$O$15,IF(T8&lt;'[9]Set Up'!$J$17,(T8-'[9]Set Up'!$J$16)*'[9]Set Up'!$N$17+'[9]Set Up'!$O$15+'[9]Set Up'!$O$16,(T8-'[9]Set Up'!$J$17)*'[9]Set Up'!$N$18 + SUM('[9]Set Up'!$O$15:'[9]Set Up'!$O$17)))))</f>
        <v>381.65823147112297</v>
      </c>
      <c r="U13" s="28">
        <f>IF(U8="","",IF(U8&lt;'[9]Set Up'!$J$15,U8*'[9]Set Up'!$N$15,IF(U8&lt;'[9]Set Up'!$J$16,(U8-'[9]Set Up'!$J$15)*'[9]Set Up'!$N$16+'[9]Set Up'!$O$15,IF(U8&lt;'[9]Set Up'!$J$17,(U8-'[9]Set Up'!$J$16)*'[9]Set Up'!$N$17+'[9]Set Up'!$O$15+'[9]Set Up'!$O$16,(U8-'[9]Set Up'!$J$17)*'[9]Set Up'!$N$18 + SUM('[9]Set Up'!$O$15:'[9]Set Up'!$O$17)))))</f>
        <v>378.65701041898006</v>
      </c>
      <c r="V13" s="28">
        <f>IF(V8="","",IF(V8&lt;'[9]Set Up'!$J$15,V8*'[9]Set Up'!$N$15,IF(V8&lt;'[9]Set Up'!$J$16,(V8-'[9]Set Up'!$J$15)*'[9]Set Up'!$N$16+'[9]Set Up'!$O$15,IF(V8&lt;'[9]Set Up'!$J$17,(V8-'[9]Set Up'!$J$16)*'[9]Set Up'!$N$17+'[9]Set Up'!$O$15+'[9]Set Up'!$O$16,(V8-'[9]Set Up'!$J$17)*'[9]Set Up'!$N$18 + SUM('[9]Set Up'!$O$15:'[9]Set Up'!$O$17)))))</f>
        <v>375.65578936683721</v>
      </c>
      <c r="W13" s="28">
        <f>IF(W8="","",IF(W8&lt;'[9]Set Up'!$J$15,W8*'[9]Set Up'!$N$15,IF(W8&lt;'[9]Set Up'!$J$16,(W8-'[9]Set Up'!$J$15)*'[9]Set Up'!$N$16+'[9]Set Up'!$O$15,IF(W8&lt;'[9]Set Up'!$J$17,(W8-'[9]Set Up'!$J$16)*'[9]Set Up'!$N$17+'[9]Set Up'!$O$15+'[9]Set Up'!$O$16,(W8-'[9]Set Up'!$J$17)*'[9]Set Up'!$N$18 + SUM('[9]Set Up'!$O$15:'[9]Set Up'!$O$17)))))</f>
        <v>372.63963686667364</v>
      </c>
      <c r="X13" s="28">
        <f>IF(X8="","",IF(X8&lt;'[9]Set Up'!$J$15,X8*'[9]Set Up'!$N$15,IF(X8&lt;'[9]Set Up'!$J$16,(X8-'[9]Set Up'!$J$15)*'[9]Set Up'!$N$16+'[9]Set Up'!$O$15,IF(X8&lt;'[9]Set Up'!$J$17,(X8-'[9]Set Up'!$J$16)*'[9]Set Up'!$N$17+'[9]Set Up'!$O$15+'[9]Set Up'!$O$16,(X8-'[9]Set Up'!$J$17)*'[9]Set Up'!$N$18 + SUM('[9]Set Up'!$O$15:'[9]Set Up'!$O$17)))))</f>
        <v>369.63841581453079</v>
      </c>
      <c r="Y13" s="28">
        <f>IF(Y8="","",IF(Y8&lt;'[9]Set Up'!$J$15,Y8*'[9]Set Up'!$N$15,IF(Y8&lt;'[9]Set Up'!$J$16,(Y8-'[9]Set Up'!$J$15)*'[9]Set Up'!$N$16+'[9]Set Up'!$O$15,IF(Y8&lt;'[9]Set Up'!$J$17,(Y8-'[9]Set Up'!$J$16)*'[9]Set Up'!$N$17+'[9]Set Up'!$O$15+'[9]Set Up'!$O$16,(Y8-'[9]Set Up'!$J$17)*'[9]Set Up'!$N$18 + SUM('[9]Set Up'!$O$15:'[9]Set Up'!$O$17)))))</f>
        <v>366.63719476238788</v>
      </c>
      <c r="Z13" s="28">
        <f>IF(Z8="","",IF(Z8&lt;'[9]Set Up'!$J$15,Z8*'[9]Set Up'!$N$15,IF(Z8&lt;'[9]Set Up'!$J$16,(Z8-'[9]Set Up'!$J$15)*'[9]Set Up'!$N$16+'[9]Set Up'!$O$15,IF(Z8&lt;'[9]Set Up'!$J$17,(Z8-'[9]Set Up'!$J$16)*'[9]Set Up'!$N$17+'[9]Set Up'!$O$15+'[9]Set Up'!$O$16,(Z8-'[9]Set Up'!$J$17)*'[9]Set Up'!$N$18 + SUM('[9]Set Up'!$O$15:'[9]Set Up'!$O$17)))))</f>
        <v>363.63597371024503</v>
      </c>
      <c r="AA13" s="28">
        <f>IF(AA8="","",IF(AA8&lt;'[9]Set Up'!$J$15,AA8*'[9]Set Up'!$N$15,IF(AA8&lt;'[9]Set Up'!$J$16,(AA8-'[9]Set Up'!$J$15)*'[9]Set Up'!$N$16+'[9]Set Up'!$O$15,IF(AA8&lt;'[9]Set Up'!$J$17,(AA8-'[9]Set Up'!$J$16)*'[9]Set Up'!$N$17+'[9]Set Up'!$O$15+'[9]Set Up'!$O$16,(AA8-'[9]Set Up'!$J$17)*'[9]Set Up'!$N$18 + SUM('[9]Set Up'!$O$15:'[9]Set Up'!$O$17)))))</f>
        <v>360.63475265810212</v>
      </c>
      <c r="AB13" s="28">
        <f>IF(AB8="","",IF(AB8&lt;'[9]Set Up'!$J$15,AB8*'[9]Set Up'!$N$15,IF(AB8&lt;'[9]Set Up'!$J$16,(AB8-'[9]Set Up'!$J$15)*'[9]Set Up'!$N$16+'[9]Set Up'!$O$15,IF(AB8&lt;'[9]Set Up'!$J$17,(AB8-'[9]Set Up'!$J$16)*'[9]Set Up'!$N$17+'[9]Set Up'!$O$15+'[9]Set Up'!$O$16,(AB8-'[9]Set Up'!$J$17)*'[9]Set Up'!$N$18 + SUM('[9]Set Up'!$O$15:'[9]Set Up'!$O$17)))))</f>
        <v>357.63353160595921</v>
      </c>
      <c r="AC13" s="28">
        <f>IF(AC8="","",IF(AC8&lt;'[9]Set Up'!$J$15,AC8*'[9]Set Up'!$N$15,IF(AC8&lt;'[9]Set Up'!$J$16,(AC8-'[9]Set Up'!$J$15)*'[9]Set Up'!$N$16+'[9]Set Up'!$O$15,IF(AC8&lt;'[9]Set Up'!$J$17,(AC8-'[9]Set Up'!$J$16)*'[9]Set Up'!$N$17+'[9]Set Up'!$O$15+'[9]Set Up'!$O$16,(AC8-'[9]Set Up'!$J$17)*'[9]Set Up'!$N$18 + SUM('[9]Set Up'!$O$15:'[9]Set Up'!$O$17)))))</f>
        <v>354.61737910579575</v>
      </c>
      <c r="AD13" s="28">
        <f>IF(AD8="","",IF(AD8&lt;'[9]Set Up'!$J$15,AD8*'[9]Set Up'!$N$15,IF(AD8&lt;'[9]Set Up'!$J$16,(AD8-'[9]Set Up'!$J$15)*'[9]Set Up'!$N$16+'[9]Set Up'!$O$15,IF(AD8&lt;'[9]Set Up'!$J$17,(AD8-'[9]Set Up'!$J$16)*'[9]Set Up'!$N$17+'[9]Set Up'!$O$15+'[9]Set Up'!$O$16,(AD8-'[9]Set Up'!$J$17)*'[9]Set Up'!$N$18 + SUM('[9]Set Up'!$O$15:'[9]Set Up'!$O$17)))))</f>
        <v>351.61615805365284</v>
      </c>
      <c r="AE13" s="28">
        <f>IF(AE8="","",IF(AE8&lt;'[9]Set Up'!$J$15,AE8*'[9]Set Up'!$N$15,IF(AE8&lt;'[9]Set Up'!$J$16,(AE8-'[9]Set Up'!$J$15)*'[9]Set Up'!$N$16+'[9]Set Up'!$O$15,IF(AE8&lt;'[9]Set Up'!$J$17,(AE8-'[9]Set Up'!$J$16)*'[9]Set Up'!$N$17+'[9]Set Up'!$O$15+'[9]Set Up'!$O$16,(AE8-'[9]Set Up'!$J$17)*'[9]Set Up'!$N$18 + SUM('[9]Set Up'!$O$15:'[9]Set Up'!$O$17)))))</f>
        <v>348.61493700150993</v>
      </c>
      <c r="AF13" s="28">
        <f>IF(AF8="","",IF(AF8&lt;'[9]Set Up'!$J$15,AF8*'[9]Set Up'!$N$15,IF(AF8&lt;'[9]Set Up'!$J$16,(AF8-'[9]Set Up'!$J$15)*'[9]Set Up'!$N$16+'[9]Set Up'!$O$15,IF(AF8&lt;'[9]Set Up'!$J$17,(AF8-'[9]Set Up'!$J$16)*'[9]Set Up'!$N$17+'[9]Set Up'!$O$15+'[9]Set Up'!$O$16,(AF8-'[9]Set Up'!$J$17)*'[9]Set Up'!$N$18 + SUM('[9]Set Up'!$O$15:'[9]Set Up'!$O$17)))))</f>
        <v>345.61371594936702</v>
      </c>
      <c r="AG13" s="28">
        <f>IF(AG8="","",IF(AG8&lt;'[9]Set Up'!$J$15,AG8*'[9]Set Up'!$N$15,IF(AG8&lt;'[9]Set Up'!$J$16,(AG8-'[9]Set Up'!$J$15)*'[9]Set Up'!$N$16+'[9]Set Up'!$O$15,IF(AG8&lt;'[9]Set Up'!$J$17,(AG8-'[9]Set Up'!$J$16)*'[9]Set Up'!$N$17+'[9]Set Up'!$O$15+'[9]Set Up'!$O$16,(AG8-'[9]Set Up'!$J$17)*'[9]Set Up'!$N$18 + SUM('[9]Set Up'!$O$15:'[9]Set Up'!$O$17)))))</f>
        <v>342.61249489722417</v>
      </c>
      <c r="AH13" s="28">
        <f>IF(AH8="","",IF(AH8&lt;'[9]Set Up'!$J$15,AH8*'[9]Set Up'!$N$15,IF(AH8&lt;'[9]Set Up'!$J$16,(AH8-'[9]Set Up'!$J$15)*'[9]Set Up'!$N$16+'[9]Set Up'!$O$15,IF(AH8&lt;'[9]Set Up'!$J$17,(AH8-'[9]Set Up'!$J$16)*'[9]Set Up'!$N$17+'[9]Set Up'!$O$15+'[9]Set Up'!$O$16,(AH8-'[9]Set Up'!$J$17)*'[9]Set Up'!$N$18 + SUM('[9]Set Up'!$O$15:'[9]Set Up'!$O$17)))))</f>
        <v>339.61127384508126</v>
      </c>
      <c r="AI13" s="28">
        <f>IF(AI8="","",IF(AI8&lt;'[9]Set Up'!$J$15,AI8*'[9]Set Up'!$N$15,IF(AI8&lt;'[9]Set Up'!$J$16,(AI8-'[9]Set Up'!$J$15)*'[9]Set Up'!$N$16+'[9]Set Up'!$O$15,IF(AI8&lt;'[9]Set Up'!$J$17,(AI8-'[9]Set Up'!$J$16)*'[9]Set Up'!$N$17+'[9]Set Up'!$O$15+'[9]Set Up'!$O$16,(AI8-'[9]Set Up'!$J$17)*'[9]Set Up'!$N$18 + SUM('[9]Set Up'!$O$15:'[9]Set Up'!$O$17)))))</f>
        <v>336.59512134491774</v>
      </c>
      <c r="AJ13" s="28">
        <f>IF(AJ8="","",IF(AJ8&lt;'[9]Set Up'!$J$15,AJ8*'[9]Set Up'!$N$15,IF(AJ8&lt;'[9]Set Up'!$J$16,(AJ8-'[9]Set Up'!$J$15)*'[9]Set Up'!$N$16+'[9]Set Up'!$O$15,IF(AJ8&lt;'[9]Set Up'!$J$17,(AJ8-'[9]Set Up'!$J$16)*'[9]Set Up'!$N$17+'[9]Set Up'!$O$15+'[9]Set Up'!$O$16,(AJ8-'[9]Set Up'!$J$17)*'[9]Set Up'!$N$18 + SUM('[9]Set Up'!$O$15:'[9]Set Up'!$O$17)))))</f>
        <v>333.59390029277489</v>
      </c>
      <c r="AK13" s="28">
        <f>IF(AK8="","",IF(AK8&lt;'[9]Set Up'!$J$15,AK8*'[9]Set Up'!$N$15,IF(AK8&lt;'[9]Set Up'!$J$16,(AK8-'[9]Set Up'!$J$15)*'[9]Set Up'!$N$16+'[9]Set Up'!$O$15,IF(AK8&lt;'[9]Set Up'!$J$17,(AK8-'[9]Set Up'!$J$16)*'[9]Set Up'!$N$17+'[9]Set Up'!$O$15+'[9]Set Up'!$O$16,(AK8-'[9]Set Up'!$J$17)*'[9]Set Up'!$N$18 + SUM('[9]Set Up'!$O$15:'[9]Set Up'!$O$17)))))</f>
        <v>330.59267924063198</v>
      </c>
      <c r="AL13" s="28">
        <f>IF(AL8="","",IF(AL8&lt;'[9]Set Up'!$J$15,AL8*'[9]Set Up'!$N$15,IF(AL8&lt;'[9]Set Up'!$J$16,(AL8-'[9]Set Up'!$J$15)*'[9]Set Up'!$N$16+'[9]Set Up'!$O$15,IF(AL8&lt;'[9]Set Up'!$J$17,(AL8-'[9]Set Up'!$J$16)*'[9]Set Up'!$N$17+'[9]Set Up'!$O$15+'[9]Set Up'!$O$16,(AL8-'[9]Set Up'!$J$17)*'[9]Set Up'!$N$18 + SUM('[9]Set Up'!$O$15:'[9]Set Up'!$O$17)))))</f>
        <v>327.59145818848913</v>
      </c>
      <c r="AM13" s="28">
        <f>IF(AM8="","",IF(AM8&lt;'[9]Set Up'!$J$15,AM8*'[9]Set Up'!$N$15,IF(AM8&lt;'[9]Set Up'!$J$16,(AM8-'[9]Set Up'!$J$15)*'[9]Set Up'!$N$16+'[9]Set Up'!$O$15,IF(AM8&lt;'[9]Set Up'!$J$17,(AM8-'[9]Set Up'!$J$16)*'[9]Set Up'!$N$17+'[9]Set Up'!$O$15+'[9]Set Up'!$O$16,(AM8-'[9]Set Up'!$J$17)*'[9]Set Up'!$N$18 + SUM('[9]Set Up'!$O$15:'[9]Set Up'!$O$17)))))</f>
        <v>324.59023713634622</v>
      </c>
      <c r="AN13" s="28">
        <f>IF(AN8="","",IF(AN8&lt;'[9]Set Up'!$J$15,AN8*'[9]Set Up'!$N$15,IF(AN8&lt;'[9]Set Up'!$J$16,(AN8-'[9]Set Up'!$J$15)*'[9]Set Up'!$N$16+'[9]Set Up'!$O$15,IF(AN8&lt;'[9]Set Up'!$J$17,(AN8-'[9]Set Up'!$J$16)*'[9]Set Up'!$N$17+'[9]Set Up'!$O$15+'[9]Set Up'!$O$16,(AN8-'[9]Set Up'!$J$17)*'[9]Set Up'!$N$18 + SUM('[9]Set Up'!$O$15:'[9]Set Up'!$O$17)))))</f>
        <v>321.58901608420331</v>
      </c>
      <c r="AO13" s="28">
        <f>IF(AO8="","",IF(AO8&lt;'[9]Set Up'!$J$15,AO8*'[9]Set Up'!$N$15,IF(AO8&lt;'[9]Set Up'!$J$16,(AO8-'[9]Set Up'!$J$15)*'[9]Set Up'!$N$16+'[9]Set Up'!$O$15,IF(AO8&lt;'[9]Set Up'!$J$17,(AO8-'[9]Set Up'!$J$16)*'[9]Set Up'!$N$17+'[9]Set Up'!$O$15+'[9]Set Up'!$O$16,(AO8-'[9]Set Up'!$J$17)*'[9]Set Up'!$N$18 + SUM('[9]Set Up'!$O$15:'[9]Set Up'!$O$17)))))</f>
        <v>318.5877950320604</v>
      </c>
      <c r="AP13" s="28">
        <f>IF(AP8="","",IF(AP8&lt;'[9]Set Up'!$J$15,AP8*'[9]Set Up'!$N$15,IF(AP8&lt;'[9]Set Up'!$J$16,(AP8-'[9]Set Up'!$J$15)*'[9]Set Up'!$N$16+'[9]Set Up'!$O$15,IF(AP8&lt;'[9]Set Up'!$J$17,(AP8-'[9]Set Up'!$J$16)*'[9]Set Up'!$N$17+'[9]Set Up'!$O$15+'[9]Set Up'!$O$16,(AP8-'[9]Set Up'!$J$17)*'[9]Set Up'!$N$18 + SUM('[9]Set Up'!$O$15:'[9]Set Up'!$O$17)))))</f>
        <v>315.57164253189694</v>
      </c>
      <c r="AQ13" s="28">
        <f>IF(AQ8="","",IF(AQ8&lt;'[9]Set Up'!$J$15,AQ8*'[9]Set Up'!$N$15,IF(AQ8&lt;'[9]Set Up'!$J$16,(AQ8-'[9]Set Up'!$J$15)*'[9]Set Up'!$N$16+'[9]Set Up'!$O$15,IF(AQ8&lt;'[9]Set Up'!$J$17,(AQ8-'[9]Set Up'!$J$16)*'[9]Set Up'!$N$17+'[9]Set Up'!$O$15+'[9]Set Up'!$O$16,(AQ8-'[9]Set Up'!$J$17)*'[9]Set Up'!$N$18 + SUM('[9]Set Up'!$O$15:'[9]Set Up'!$O$17)))))</f>
        <v>312.57042147975403</v>
      </c>
      <c r="AR13" s="28">
        <f>IF(AR8="","",IF(AR8&lt;'[9]Set Up'!$J$15,AR8*'[9]Set Up'!$N$15,IF(AR8&lt;'[9]Set Up'!$J$16,(AR8-'[9]Set Up'!$J$15)*'[9]Set Up'!$N$16+'[9]Set Up'!$O$15,IF(AR8&lt;'[9]Set Up'!$J$17,(AR8-'[9]Set Up'!$J$16)*'[9]Set Up'!$N$17+'[9]Set Up'!$O$15+'[9]Set Up'!$O$16,(AR8-'[9]Set Up'!$J$17)*'[9]Set Up'!$N$18 + SUM('[9]Set Up'!$O$15:'[9]Set Up'!$O$17)))))</f>
        <v>309.56920042761112</v>
      </c>
      <c r="AS13" s="28">
        <f>IF(AS8="","",IF(AS8&lt;'[9]Set Up'!$J$15,AS8*'[9]Set Up'!$N$15,IF(AS8&lt;'[9]Set Up'!$J$16,(AS8-'[9]Set Up'!$J$15)*'[9]Set Up'!$N$16+'[9]Set Up'!$O$15,IF(AS8&lt;'[9]Set Up'!$J$17,(AS8-'[9]Set Up'!$J$16)*'[9]Set Up'!$N$17+'[9]Set Up'!$O$15+'[9]Set Up'!$O$16,(AS8-'[9]Set Up'!$J$17)*'[9]Set Up'!$N$18 + SUM('[9]Set Up'!$O$15:'[9]Set Up'!$O$17)))))</f>
        <v>306.56797937546827</v>
      </c>
      <c r="AT13" s="28">
        <f>IF(AT8="","",IF(AT8&lt;'[9]Set Up'!$J$15,AT8*'[9]Set Up'!$N$15,IF(AT8&lt;'[9]Set Up'!$J$16,(AT8-'[9]Set Up'!$J$15)*'[9]Set Up'!$N$16+'[9]Set Up'!$O$15,IF(AT8&lt;'[9]Set Up'!$J$17,(AT8-'[9]Set Up'!$J$16)*'[9]Set Up'!$N$17+'[9]Set Up'!$O$15+'[9]Set Up'!$O$16,(AT8-'[9]Set Up'!$J$17)*'[9]Set Up'!$N$18 + SUM('[9]Set Up'!$O$15:'[9]Set Up'!$O$17)))))</f>
        <v>303.56675832332536</v>
      </c>
      <c r="AU13" s="28">
        <f>IF(AU8="","",IF(AU8&lt;'[9]Set Up'!$J$15,AU8*'[9]Set Up'!$N$15,IF(AU8&lt;'[9]Set Up'!$J$16,(AU8-'[9]Set Up'!$J$15)*'[9]Set Up'!$N$16+'[9]Set Up'!$O$15,IF(AU8&lt;'[9]Set Up'!$J$17,(AU8-'[9]Set Up'!$J$16)*'[9]Set Up'!$N$17+'[9]Set Up'!$O$15+'[9]Set Up'!$O$16,(AU8-'[9]Set Up'!$J$17)*'[9]Set Up'!$N$18 + SUM('[9]Set Up'!$O$15:'[9]Set Up'!$O$17)))))</f>
        <v>300.56553727118251</v>
      </c>
      <c r="AV13" s="28">
        <f>IF(AV8="","",IF(AV8&lt;'[9]Set Up'!$J$15,AV8*'[9]Set Up'!$N$15,IF(AV8&lt;'[9]Set Up'!$J$16,(AV8-'[9]Set Up'!$J$15)*'[9]Set Up'!$N$16+'[9]Set Up'!$O$15,IF(AV8&lt;'[9]Set Up'!$J$17,(AV8-'[9]Set Up'!$J$16)*'[9]Set Up'!$N$17+'[9]Set Up'!$O$15+'[9]Set Up'!$O$16,(AV8-'[9]Set Up'!$J$17)*'[9]Set Up'!$N$18 + SUM('[9]Set Up'!$O$15:'[9]Set Up'!$O$17)))))</f>
        <v>297.54938477101899</v>
      </c>
      <c r="AW13" s="28">
        <f>IF(AW8="","",IF(AW8&lt;'[9]Set Up'!$J$15,AW8*'[9]Set Up'!$N$15,IF(AW8&lt;'[9]Set Up'!$J$16,(AW8-'[9]Set Up'!$J$15)*'[9]Set Up'!$N$16+'[9]Set Up'!$O$15,IF(AW8&lt;'[9]Set Up'!$J$17,(AW8-'[9]Set Up'!$J$16)*'[9]Set Up'!$N$17+'[9]Set Up'!$O$15+'[9]Set Up'!$O$16,(AW8-'[9]Set Up'!$J$17)*'[9]Set Up'!$N$18 + SUM('[9]Set Up'!$O$15:'[9]Set Up'!$O$17)))))</f>
        <v>294.54816371887608</v>
      </c>
      <c r="AX13" s="28">
        <f>IF(AX8="","",IF(AX8&lt;'[9]Set Up'!$J$15,AX8*'[9]Set Up'!$N$15,IF(AX8&lt;'[9]Set Up'!$J$16,(AX8-'[9]Set Up'!$J$15)*'[9]Set Up'!$N$16+'[9]Set Up'!$O$15,IF(AX8&lt;'[9]Set Up'!$J$17,(AX8-'[9]Set Up'!$J$16)*'[9]Set Up'!$N$17+'[9]Set Up'!$O$15+'[9]Set Up'!$O$16,(AX8-'[9]Set Up'!$J$17)*'[9]Set Up'!$N$18 + SUM('[9]Set Up'!$O$15:'[9]Set Up'!$O$17)))))</f>
        <v>291.54694266673317</v>
      </c>
      <c r="AY13" s="28">
        <f>IF(AY8="","",IF(AY8&lt;'[9]Set Up'!$J$15,AY8*'[9]Set Up'!$N$15,IF(AY8&lt;'[9]Set Up'!$J$16,(AY8-'[9]Set Up'!$J$15)*'[9]Set Up'!$N$16+'[9]Set Up'!$O$15,IF(AY8&lt;'[9]Set Up'!$J$17,(AY8-'[9]Set Up'!$J$16)*'[9]Set Up'!$N$17+'[9]Set Up'!$O$15+'[9]Set Up'!$O$16,(AY8-'[9]Set Up'!$J$17)*'[9]Set Up'!$N$18 + SUM('[9]Set Up'!$O$15:'[9]Set Up'!$O$17)))))</f>
        <v>288.54572161459032</v>
      </c>
      <c r="AZ13" s="28">
        <f>IF(AZ8="","",IF(AZ8&lt;'[9]Set Up'!$J$15,AZ8*'[9]Set Up'!$N$15,IF(AZ8&lt;'[9]Set Up'!$J$16,(AZ8-'[9]Set Up'!$J$15)*'[9]Set Up'!$N$16+'[9]Set Up'!$O$15,IF(AZ8&lt;'[9]Set Up'!$J$17,(AZ8-'[9]Set Up'!$J$16)*'[9]Set Up'!$N$17+'[9]Set Up'!$O$15+'[9]Set Up'!$O$16,(AZ8-'[9]Set Up'!$J$17)*'[9]Set Up'!$N$18 + SUM('[9]Set Up'!$O$15:'[9]Set Up'!$O$17)))))</f>
        <v>285.54450056244741</v>
      </c>
      <c r="BA13" s="28">
        <f>IF(BA8="","",IF(BA8&lt;'[9]Set Up'!$J$15,BA8*'[9]Set Up'!$N$15,IF(BA8&lt;'[9]Set Up'!$J$16,(BA8-'[9]Set Up'!$J$15)*'[9]Set Up'!$N$16+'[9]Set Up'!$O$15,IF(BA8&lt;'[9]Set Up'!$J$17,(BA8-'[9]Set Up'!$J$16)*'[9]Set Up'!$N$17+'[9]Set Up'!$O$15+'[9]Set Up'!$O$16,(BA8-'[9]Set Up'!$J$17)*'[9]Set Up'!$N$18 + SUM('[9]Set Up'!$O$15:'[9]Set Up'!$O$17)))))</f>
        <v>282.5432795103045</v>
      </c>
      <c r="BB13" s="28">
        <f>IF(BB8="","",IF(BB8&lt;'[9]Set Up'!$J$15,BB8*'[9]Set Up'!$N$15,IF(BB8&lt;'[9]Set Up'!$J$16,(BB8-'[9]Set Up'!$J$15)*'[9]Set Up'!$N$16+'[9]Set Up'!$O$15,IF(BB8&lt;'[9]Set Up'!$J$17,(BB8-'[9]Set Up'!$J$16)*'[9]Set Up'!$N$17+'[9]Set Up'!$O$15+'[9]Set Up'!$O$16,(BB8-'[9]Set Up'!$J$17)*'[9]Set Up'!$N$18 + SUM('[9]Set Up'!$O$15:'[9]Set Up'!$O$17)))))</f>
        <v>279.52712701014104</v>
      </c>
      <c r="BC13" s="28">
        <f>IF(BC8="","",IF(BC8&lt;'[9]Set Up'!$J$15,BC8*'[9]Set Up'!$N$15,IF(BC8&lt;'[9]Set Up'!$J$16,(BC8-'[9]Set Up'!$J$15)*'[9]Set Up'!$N$16+'[9]Set Up'!$O$15,IF(BC8&lt;'[9]Set Up'!$J$17,(BC8-'[9]Set Up'!$J$16)*'[9]Set Up'!$N$17+'[9]Set Up'!$O$15+'[9]Set Up'!$O$16,(BC8-'[9]Set Up'!$J$17)*'[9]Set Up'!$N$18 + SUM('[9]Set Up'!$O$15:'[9]Set Up'!$O$17)))))</f>
        <v>276.52590595799813</v>
      </c>
      <c r="BD13" s="28">
        <f>IF(BD8="","",IF(BD8&lt;'[9]Set Up'!$J$15,BD8*'[9]Set Up'!$N$15,IF(BD8&lt;'[9]Set Up'!$J$16,(BD8-'[9]Set Up'!$J$15)*'[9]Set Up'!$N$16+'[9]Set Up'!$O$15,IF(BD8&lt;'[9]Set Up'!$J$17,(BD8-'[9]Set Up'!$J$16)*'[9]Set Up'!$N$17+'[9]Set Up'!$O$15+'[9]Set Up'!$O$16,(BD8-'[9]Set Up'!$J$17)*'[9]Set Up'!$N$18 + SUM('[9]Set Up'!$O$15:'[9]Set Up'!$O$17)))))</f>
        <v>273.52468490585522</v>
      </c>
      <c r="BE13" s="28">
        <f>IF(BE8="","",IF(BE8&lt;'[9]Set Up'!$J$15,BE8*'[9]Set Up'!$N$15,IF(BE8&lt;'[9]Set Up'!$J$16,(BE8-'[9]Set Up'!$J$15)*'[9]Set Up'!$N$16+'[9]Set Up'!$O$15,IF(BE8&lt;'[9]Set Up'!$J$17,(BE8-'[9]Set Up'!$J$16)*'[9]Set Up'!$N$17+'[9]Set Up'!$O$15+'[9]Set Up'!$O$16,(BE8-'[9]Set Up'!$J$17)*'[9]Set Up'!$N$18 + SUM('[9]Set Up'!$O$15:'[9]Set Up'!$O$17)))))</f>
        <v>0</v>
      </c>
      <c r="BF13" s="28">
        <f>IF(BF8="","",IF(BF8&lt;'[9]Set Up'!$J$15,BF8*'[9]Set Up'!$N$15,IF(BF8&lt;'[9]Set Up'!$J$16,(BF8-'[9]Set Up'!$J$15)*'[9]Set Up'!$N$16+'[9]Set Up'!$O$15,IF(BF8&lt;'[9]Set Up'!$J$17,(BF8-'[9]Set Up'!$J$16)*'[9]Set Up'!$N$17+'[9]Set Up'!$O$15+'[9]Set Up'!$O$16,(BF8-'[9]Set Up'!$J$17)*'[9]Set Up'!$N$18 + SUM('[9]Set Up'!$O$15:'[9]Set Up'!$O$17)))))</f>
        <v>0</v>
      </c>
      <c r="BG13" s="28">
        <f>IF(BG8="","",IF(BG8&lt;'[9]Set Up'!$J$15,BG8*'[9]Set Up'!$N$15,IF(BG8&lt;'[9]Set Up'!$J$16,(BG8-'[9]Set Up'!$J$15)*'[9]Set Up'!$N$16+'[9]Set Up'!$O$15,IF(BG8&lt;'[9]Set Up'!$J$17,(BG8-'[9]Set Up'!$J$16)*'[9]Set Up'!$N$17+'[9]Set Up'!$O$15+'[9]Set Up'!$O$16,(BG8-'[9]Set Up'!$J$17)*'[9]Set Up'!$N$18 + SUM('[9]Set Up'!$O$15:'[9]Set Up'!$O$17)))))</f>
        <v>0</v>
      </c>
      <c r="BH13" s="28">
        <f>IF(BH8="","",IF(BH8&lt;'[9]Set Up'!$J$15,BH8*'[9]Set Up'!$N$15,IF(BH8&lt;'[9]Set Up'!$J$16,(BH8-'[9]Set Up'!$J$15)*'[9]Set Up'!$N$16+'[9]Set Up'!$O$15,IF(BH8&lt;'[9]Set Up'!$J$17,(BH8-'[9]Set Up'!$J$16)*'[9]Set Up'!$N$17+'[9]Set Up'!$O$15+'[9]Set Up'!$O$16,(BH8-'[9]Set Up'!$J$17)*'[9]Set Up'!$N$18 + SUM('[9]Set Up'!$O$15:'[9]Set Up'!$O$17)))))</f>
        <v>0</v>
      </c>
      <c r="BI13" s="28">
        <f>IF(BI8="","",IF(BI8&lt;'[9]Set Up'!$J$15,BI8*'[9]Set Up'!$N$15,IF(BI8&lt;'[9]Set Up'!$J$16,(BI8-'[9]Set Up'!$J$15)*'[9]Set Up'!$N$16+'[9]Set Up'!$O$15,IF(BI8&lt;'[9]Set Up'!$J$17,(BI8-'[9]Set Up'!$J$16)*'[9]Set Up'!$N$17+'[9]Set Up'!$O$15+'[9]Set Up'!$O$16,(BI8-'[9]Set Up'!$J$17)*'[9]Set Up'!$N$18 + SUM('[9]Set Up'!$O$15:'[9]Set Up'!$O$17)))))</f>
        <v>0</v>
      </c>
      <c r="BJ13" s="28">
        <f>IF(BJ8="","",IF(BJ8&lt;'[9]Set Up'!$J$15,BJ8*'[9]Set Up'!$N$15,IF(BJ8&lt;'[9]Set Up'!$J$16,(BJ8-'[9]Set Up'!$J$15)*'[9]Set Up'!$N$16+'[9]Set Up'!$O$15,IF(BJ8&lt;'[9]Set Up'!$J$17,(BJ8-'[9]Set Up'!$J$16)*'[9]Set Up'!$N$17+'[9]Set Up'!$O$15+'[9]Set Up'!$O$16,(BJ8-'[9]Set Up'!$J$17)*'[9]Set Up'!$N$18 + SUM('[9]Set Up'!$O$15:'[9]Set Up'!$O$17)))))</f>
        <v>0</v>
      </c>
      <c r="BK13" s="28">
        <f>IF(BK8="","",IF(BK8&lt;'[9]Set Up'!$J$15,BK8*'[9]Set Up'!$N$15,IF(BK8&lt;'[9]Set Up'!$J$16,(BK8-'[9]Set Up'!$J$15)*'[9]Set Up'!$N$16+'[9]Set Up'!$O$15,IF(BK8&lt;'[9]Set Up'!$J$17,(BK8-'[9]Set Up'!$J$16)*'[9]Set Up'!$N$17+'[9]Set Up'!$O$15+'[9]Set Up'!$O$16,(BK8-'[9]Set Up'!$J$17)*'[9]Set Up'!$N$18 + SUM('[9]Set Up'!$O$15:'[9]Set Up'!$O$17)))))</f>
        <v>0</v>
      </c>
      <c r="BL13" s="28">
        <f>IF(BL8="","",IF(BL8&lt;'[9]Set Up'!$J$15,BL8*'[9]Set Up'!$N$15,IF(BL8&lt;'[9]Set Up'!$J$16,(BL8-'[9]Set Up'!$J$15)*'[9]Set Up'!$N$16+'[9]Set Up'!$O$15,IF(BL8&lt;'[9]Set Up'!$J$17,(BL8-'[9]Set Up'!$J$16)*'[9]Set Up'!$N$17+'[9]Set Up'!$O$15+'[9]Set Up'!$O$16,(BL8-'[9]Set Up'!$J$17)*'[9]Set Up'!$N$18 + SUM('[9]Set Up'!$O$15:'[9]Set Up'!$O$17)))))</f>
        <v>0</v>
      </c>
      <c r="BM13" s="28">
        <f>IF(BM8="","",IF(BM8&lt;'[9]Set Up'!$J$15,BM8*'[9]Set Up'!$N$15,IF(BM8&lt;'[9]Set Up'!$J$16,(BM8-'[9]Set Up'!$J$15)*'[9]Set Up'!$N$16+'[9]Set Up'!$O$15,IF(BM8&lt;'[9]Set Up'!$J$17,(BM8-'[9]Set Up'!$J$16)*'[9]Set Up'!$N$17+'[9]Set Up'!$O$15+'[9]Set Up'!$O$16,(BM8-'[9]Set Up'!$J$17)*'[9]Set Up'!$N$18 + SUM('[9]Set Up'!$O$15:'[9]Set Up'!$O$17)))))</f>
        <v>0</v>
      </c>
      <c r="BN13" s="28">
        <f>IF(BN8="","",IF(BN8&lt;'[9]Set Up'!$J$15,BN8*'[9]Set Up'!$N$15,IF(BN8&lt;'[9]Set Up'!$J$16,(BN8-'[9]Set Up'!$J$15)*'[9]Set Up'!$N$16+'[9]Set Up'!$O$15,IF(BN8&lt;'[9]Set Up'!$J$17,(BN8-'[9]Set Up'!$J$16)*'[9]Set Up'!$N$17+'[9]Set Up'!$O$15+'[9]Set Up'!$O$16,(BN8-'[9]Set Up'!$J$17)*'[9]Set Up'!$N$18 + SUM('[9]Set Up'!$O$15:'[9]Set Up'!$O$17)))))</f>
        <v>0</v>
      </c>
      <c r="BO13" s="28">
        <f>IF(BO8="","",IF(BO8&lt;'[9]Set Up'!$J$15,BO8*'[9]Set Up'!$N$15,IF(BO8&lt;'[9]Set Up'!$J$16,(BO8-'[9]Set Up'!$J$15)*'[9]Set Up'!$N$16+'[9]Set Up'!$O$15,IF(BO8&lt;'[9]Set Up'!$J$17,(BO8-'[9]Set Up'!$J$16)*'[9]Set Up'!$N$17+'[9]Set Up'!$O$15+'[9]Set Up'!$O$16,(BO8-'[9]Set Up'!$J$17)*'[9]Set Up'!$N$18 + SUM('[9]Set Up'!$O$15:'[9]Set Up'!$O$17)))))</f>
        <v>0</v>
      </c>
      <c r="BP13" s="28">
        <f>IF(BP8="","",IF(BP8&lt;'[9]Set Up'!$J$15,BP8*'[9]Set Up'!$N$15,IF(BP8&lt;'[9]Set Up'!$J$16,(BP8-'[9]Set Up'!$J$15)*'[9]Set Up'!$N$16+'[9]Set Up'!$O$15,IF(BP8&lt;'[9]Set Up'!$J$17,(BP8-'[9]Set Up'!$J$16)*'[9]Set Up'!$N$17+'[9]Set Up'!$O$15+'[9]Set Up'!$O$16,(BP8-'[9]Set Up'!$J$17)*'[9]Set Up'!$N$18 + SUM('[9]Set Up'!$O$15:'[9]Set Up'!$O$17)))))</f>
        <v>0</v>
      </c>
      <c r="BQ13" s="28">
        <f>IF(BQ8="","",IF(BQ8&lt;'[9]Set Up'!$J$15,BQ8*'[9]Set Up'!$N$15,IF(BQ8&lt;'[9]Set Up'!$J$16,(BQ8-'[9]Set Up'!$J$15)*'[9]Set Up'!$N$16+'[9]Set Up'!$O$15,IF(BQ8&lt;'[9]Set Up'!$J$17,(BQ8-'[9]Set Up'!$J$16)*'[9]Set Up'!$N$17+'[9]Set Up'!$O$15+'[9]Set Up'!$O$16,(BQ8-'[9]Set Up'!$J$17)*'[9]Set Up'!$N$18 + SUM('[9]Set Up'!$O$15:'[9]Set Up'!$O$17)))))</f>
        <v>0</v>
      </c>
      <c r="BR13" s="28">
        <f>IF(BR8="","",IF(BR8&lt;'[9]Set Up'!$J$15,BR8*'[9]Set Up'!$N$15,IF(BR8&lt;'[9]Set Up'!$J$16,(BR8-'[9]Set Up'!$J$15)*'[9]Set Up'!$N$16+'[9]Set Up'!$O$15,IF(BR8&lt;'[9]Set Up'!$J$17,(BR8-'[9]Set Up'!$J$16)*'[9]Set Up'!$N$17+'[9]Set Up'!$O$15+'[9]Set Up'!$O$16,(BR8-'[9]Set Up'!$J$17)*'[9]Set Up'!$N$18 + SUM('[9]Set Up'!$O$15:'[9]Set Up'!$O$17)))))</f>
        <v>0</v>
      </c>
      <c r="BS13" s="28">
        <f>IF(BS8="","",IF(BS8&lt;'[9]Set Up'!$J$15,BS8*'[9]Set Up'!$N$15,IF(BS8&lt;'[9]Set Up'!$J$16,(BS8-'[9]Set Up'!$J$15)*'[9]Set Up'!$N$16+'[9]Set Up'!$O$15,IF(BS8&lt;'[9]Set Up'!$J$17,(BS8-'[9]Set Up'!$J$16)*'[9]Set Up'!$N$17+'[9]Set Up'!$O$15+'[9]Set Up'!$O$16,(BS8-'[9]Set Up'!$J$17)*'[9]Set Up'!$N$18 + SUM('[9]Set Up'!$O$15:'[9]Set Up'!$O$17)))))</f>
        <v>0</v>
      </c>
      <c r="BT13" s="28">
        <f>IF(BT8="","",IF(BT8&lt;'[9]Set Up'!$J$15,BT8*'[9]Set Up'!$N$15,IF(BT8&lt;'[9]Set Up'!$J$16,(BT8-'[9]Set Up'!$J$15)*'[9]Set Up'!$N$16+'[9]Set Up'!$O$15,IF(BT8&lt;'[9]Set Up'!$J$17,(BT8-'[9]Set Up'!$J$16)*'[9]Set Up'!$N$17+'[9]Set Up'!$O$15+'[9]Set Up'!$O$16,(BT8-'[9]Set Up'!$J$17)*'[9]Set Up'!$N$18 + SUM('[9]Set Up'!$O$15:'[9]Set Up'!$O$17)))))</f>
        <v>0</v>
      </c>
      <c r="BU13" s="28">
        <f>IF(BU8="","",IF(BU8&lt;'[9]Set Up'!$J$15,BU8*'[9]Set Up'!$N$15,IF(BU8&lt;'[9]Set Up'!$J$16,(BU8-'[9]Set Up'!$J$15)*'[9]Set Up'!$N$16+'[9]Set Up'!$O$15,IF(BU8&lt;'[9]Set Up'!$J$17,(BU8-'[9]Set Up'!$J$16)*'[9]Set Up'!$N$17+'[9]Set Up'!$O$15+'[9]Set Up'!$O$16,(BU8-'[9]Set Up'!$J$17)*'[9]Set Up'!$N$18 + SUM('[9]Set Up'!$O$15:'[9]Set Up'!$O$17)))))</f>
        <v>0</v>
      </c>
      <c r="BV13" s="28">
        <f>IF(BV8="","",IF(BV8&lt;'[9]Set Up'!$J$15,BV8*'[9]Set Up'!$N$15,IF(BV8&lt;'[9]Set Up'!$J$16,(BV8-'[9]Set Up'!$J$15)*'[9]Set Up'!$N$16+'[9]Set Up'!$O$15,IF(BV8&lt;'[9]Set Up'!$J$17,(BV8-'[9]Set Up'!$J$16)*'[9]Set Up'!$N$17+'[9]Set Up'!$O$15+'[9]Set Up'!$O$16,(BV8-'[9]Set Up'!$J$17)*'[9]Set Up'!$N$18 + SUM('[9]Set Up'!$O$15:'[9]Set Up'!$O$17)))))</f>
        <v>0</v>
      </c>
      <c r="BW13" s="28">
        <f>IF(BW8="","",IF(BW8&lt;'[9]Set Up'!$J$15,BW8*'[9]Set Up'!$N$15,IF(BW8&lt;'[9]Set Up'!$J$16,(BW8-'[9]Set Up'!$J$15)*'[9]Set Up'!$N$16+'[9]Set Up'!$O$15,IF(BW8&lt;'[9]Set Up'!$J$17,(BW8-'[9]Set Up'!$J$16)*'[9]Set Up'!$N$17+'[9]Set Up'!$O$15+'[9]Set Up'!$O$16,(BW8-'[9]Set Up'!$J$17)*'[9]Set Up'!$N$18 + SUM('[9]Set Up'!$O$15:'[9]Set Up'!$O$17)))))</f>
        <v>0</v>
      </c>
      <c r="BX13" s="28">
        <f>IF(BX8="","",IF(BX8&lt;'[9]Set Up'!$J$15,BX8*'[9]Set Up'!$N$15,IF(BX8&lt;'[9]Set Up'!$J$16,(BX8-'[9]Set Up'!$J$15)*'[9]Set Up'!$N$16+'[9]Set Up'!$O$15,IF(BX8&lt;'[9]Set Up'!$J$17,(BX8-'[9]Set Up'!$J$16)*'[9]Set Up'!$N$17+'[9]Set Up'!$O$15+'[9]Set Up'!$O$16,(BX8-'[9]Set Up'!$J$17)*'[9]Set Up'!$N$18 + SUM('[9]Set Up'!$O$15:'[9]Set Up'!$O$17)))))</f>
        <v>0</v>
      </c>
      <c r="BY13" s="28">
        <f>IF(BY8="","",IF(BY8&lt;'[9]Set Up'!$J$15,BY8*'[9]Set Up'!$N$15,IF(BY8&lt;'[9]Set Up'!$J$16,(BY8-'[9]Set Up'!$J$15)*'[9]Set Up'!$N$16+'[9]Set Up'!$O$15,IF(BY8&lt;'[9]Set Up'!$J$17,(BY8-'[9]Set Up'!$J$16)*'[9]Set Up'!$N$17+'[9]Set Up'!$O$15+'[9]Set Up'!$O$16,(BY8-'[9]Set Up'!$J$17)*'[9]Set Up'!$N$18 + SUM('[9]Set Up'!$O$15:'[9]Set Up'!$O$17)))))</f>
        <v>0</v>
      </c>
      <c r="BZ13" s="8"/>
    </row>
    <row r="14" spans="1:78" ht="15" thickBot="1" x14ac:dyDescent="0.4">
      <c r="A14" s="29" t="s">
        <v>22</v>
      </c>
      <c r="B14" s="197"/>
      <c r="C14" s="30" t="e">
        <f>IF(C10="","",IF(C10&lt;'[9]Set Up'!$J$15,C10*'[9]Set Up'!$N$15,IF(C10&lt;'[9]Set Up'!$J$16,(C10-'[9]Set Up'!$J$15)*'[9]Set Up'!$N$16+'[9]Set Up'!$O$15,IF(C10&lt;'[9]Set Up'!$J$17,(C10-'[9]Set Up'!$J$16)*'[9]Set Up'!$N$17+'[9]Set Up'!$O$15+'[9]Set Up'!$O$16,(C10-'[9]Set Up'!$J$17)*'[9]Set Up'!$N$18 + SUM('[9]Set Up'!$O$15:'[9]Set Up'!$O$17)))))</f>
        <v>#VALUE!</v>
      </c>
      <c r="D14" s="30">
        <f>IF(D10="","",IF(D10&lt;'[9]Set Up'!$J$15,D10*'[9]Set Up'!$N$15,IF(D10&lt;'[9]Set Up'!$J$16,(D10-'[9]Set Up'!$J$15)*'[9]Set Up'!$N$16+'[9]Set Up'!$O$15,IF(D10&lt;'[9]Set Up'!$J$17,(D10-'[9]Set Up'!$J$16)*'[9]Set Up'!$N$17+'[9]Set Up'!$O$15+'[9]Set Up'!$O$16,(D10-'[9]Set Up'!$J$17)*'[9]Set Up'!$N$18 + SUM('[9]Set Up'!$O$15:'[9]Set Up'!$O$17)))))</f>
        <v>429.99132871384205</v>
      </c>
      <c r="E14" s="30">
        <f>IF(E10="","",IF(E10&lt;'[9]Set Up'!$J$15,E10*'[9]Set Up'!$N$15,IF(E10&lt;'[9]Set Up'!$J$16,(E10-'[9]Set Up'!$J$15)*'[9]Set Up'!$N$16+'[9]Set Up'!$O$15,IF(E10&lt;'[9]Set Up'!$J$17,(E10-'[9]Set Up'!$J$16)*'[9]Set Up'!$N$17+'[9]Set Up'!$O$15+'[9]Set Up'!$O$16,(E10-'[9]Set Up'!$J$17)*'[9]Set Up'!$N$18 + SUM('[9]Set Up'!$O$15:'[9]Set Up'!$O$17)))))</f>
        <v>426.99010766169914</v>
      </c>
      <c r="F14" s="30">
        <f>IF(F10="","",IF(F10&lt;'[9]Set Up'!$J$15,F10*'[9]Set Up'!$N$15,IF(F10&lt;'[9]Set Up'!$J$16,(F10-'[9]Set Up'!$J$15)*'[9]Set Up'!$N$16+'[9]Set Up'!$O$15,IF(F10&lt;'[9]Set Up'!$J$17,(F10-'[9]Set Up'!$J$16)*'[9]Set Up'!$N$17+'[9]Set Up'!$O$15+'[9]Set Up'!$O$16,(F10-'[9]Set Up'!$J$17)*'[9]Set Up'!$N$18 + SUM('[9]Set Up'!$O$15:'[9]Set Up'!$O$17)))))</f>
        <v>423.98888660955629</v>
      </c>
      <c r="G14" s="30">
        <f>IF(G10="","",IF(G10&lt;'[9]Set Up'!$J$15,G10*'[9]Set Up'!$N$15,IF(G10&lt;'[9]Set Up'!$J$16,(G10-'[9]Set Up'!$J$15)*'[9]Set Up'!$N$16+'[9]Set Up'!$O$15,IF(G10&lt;'[9]Set Up'!$J$17,(G10-'[9]Set Up'!$J$16)*'[9]Set Up'!$N$17+'[9]Set Up'!$O$15+'[9]Set Up'!$O$16,(G10-'[9]Set Up'!$J$17)*'[9]Set Up'!$N$18 + SUM('[9]Set Up'!$O$15:'[9]Set Up'!$O$17)))))</f>
        <v>420.98766555741338</v>
      </c>
      <c r="H14" s="30">
        <f>IF(H10="","",IF(H10&lt;'[9]Set Up'!$J$15,H10*'[9]Set Up'!$N$15,IF(H10&lt;'[9]Set Up'!$J$16,(H10-'[9]Set Up'!$J$15)*'[9]Set Up'!$N$16+'[9]Set Up'!$O$15,IF(H10&lt;'[9]Set Up'!$J$17,(H10-'[9]Set Up'!$J$16)*'[9]Set Up'!$N$17+'[9]Set Up'!$O$15+'[9]Set Up'!$O$16,(H10-'[9]Set Up'!$J$17)*'[9]Set Up'!$N$18 + SUM('[9]Set Up'!$O$15:'[9]Set Up'!$O$17)))))</f>
        <v>417.98644450527047</v>
      </c>
      <c r="I14" s="30">
        <f>IF(I10="","",IF(I10&lt;'[9]Set Up'!$J$15,I10*'[9]Set Up'!$N$15,IF(I10&lt;'[9]Set Up'!$J$16,(I10-'[9]Set Up'!$J$15)*'[9]Set Up'!$N$16+'[9]Set Up'!$O$15,IF(I10&lt;'[9]Set Up'!$J$17,(I10-'[9]Set Up'!$J$16)*'[9]Set Up'!$N$17+'[9]Set Up'!$O$15+'[9]Set Up'!$O$16,(I10-'[9]Set Up'!$J$17)*'[9]Set Up'!$N$18 + SUM('[9]Set Up'!$O$15:'[9]Set Up'!$O$17)))))</f>
        <v>414.98522345312756</v>
      </c>
      <c r="J14" s="30">
        <f>IF(J10="","",IF(J10&lt;'[9]Set Up'!$J$15,J10*'[9]Set Up'!$N$15,IF(J10&lt;'[9]Set Up'!$J$16,(J10-'[9]Set Up'!$J$15)*'[9]Set Up'!$N$16+'[9]Set Up'!$O$15,IF(J10&lt;'[9]Set Up'!$J$17,(J10-'[9]Set Up'!$J$16)*'[9]Set Up'!$N$17+'[9]Set Up'!$O$15+'[9]Set Up'!$O$16,(J10-'[9]Set Up'!$J$17)*'[9]Set Up'!$N$18 + SUM('[9]Set Up'!$O$15:'[9]Set Up'!$O$17)))))</f>
        <v>411.9690709529641</v>
      </c>
      <c r="K14" s="30">
        <f>IF(K10="","",IF(K10&lt;'[9]Set Up'!$J$15,K10*'[9]Set Up'!$N$15,IF(K10&lt;'[9]Set Up'!$J$16,(K10-'[9]Set Up'!$J$15)*'[9]Set Up'!$N$16+'[9]Set Up'!$O$15,IF(K10&lt;'[9]Set Up'!$J$17,(K10-'[9]Set Up'!$J$16)*'[9]Set Up'!$N$17+'[9]Set Up'!$O$15+'[9]Set Up'!$O$16,(K10-'[9]Set Up'!$J$17)*'[9]Set Up'!$N$18 + SUM('[9]Set Up'!$O$15:'[9]Set Up'!$O$17)))))</f>
        <v>408.96784990082119</v>
      </c>
      <c r="L14" s="30">
        <f>IF(L10="","",IF(L10&lt;'[9]Set Up'!$J$15,L10*'[9]Set Up'!$N$15,IF(L10&lt;'[9]Set Up'!$J$16,(L10-'[9]Set Up'!$J$15)*'[9]Set Up'!$N$16+'[9]Set Up'!$O$15,IF(L10&lt;'[9]Set Up'!$J$17,(L10-'[9]Set Up'!$J$16)*'[9]Set Up'!$N$17+'[9]Set Up'!$O$15+'[9]Set Up'!$O$16,(L10-'[9]Set Up'!$J$17)*'[9]Set Up'!$N$18 + SUM('[9]Set Up'!$O$15:'[9]Set Up'!$O$17)))))</f>
        <v>405.96662884867828</v>
      </c>
      <c r="M14" s="30">
        <f>IF(M10="","",IF(M10&lt;'[9]Set Up'!$J$15,M10*'[9]Set Up'!$N$15,IF(M10&lt;'[9]Set Up'!$J$16,(M10-'[9]Set Up'!$J$15)*'[9]Set Up'!$N$16+'[9]Set Up'!$O$15,IF(M10&lt;'[9]Set Up'!$J$17,(M10-'[9]Set Up'!$J$16)*'[9]Set Up'!$N$17+'[9]Set Up'!$O$15+'[9]Set Up'!$O$16,(M10-'[9]Set Up'!$J$17)*'[9]Set Up'!$N$18 + SUM('[9]Set Up'!$O$15:'[9]Set Up'!$O$17)))))</f>
        <v>402.96540779653543</v>
      </c>
      <c r="N14" s="30">
        <f>IF(N10="","",IF(N10&lt;'[9]Set Up'!$J$15,N10*'[9]Set Up'!$N$15,IF(N10&lt;'[9]Set Up'!$J$16,(N10-'[9]Set Up'!$J$15)*'[9]Set Up'!$N$16+'[9]Set Up'!$O$15,IF(N10&lt;'[9]Set Up'!$J$17,(N10-'[9]Set Up'!$J$16)*'[9]Set Up'!$N$17+'[9]Set Up'!$O$15+'[9]Set Up'!$O$16,(N10-'[9]Set Up'!$J$17)*'[9]Set Up'!$N$18 + SUM('[9]Set Up'!$O$15:'[9]Set Up'!$O$17)))))</f>
        <v>399.96418674439252</v>
      </c>
      <c r="O14" s="30">
        <f>IF(O10="","",IF(O10&lt;'[9]Set Up'!$J$15,O10*'[9]Set Up'!$N$15,IF(O10&lt;'[9]Set Up'!$J$16,(O10-'[9]Set Up'!$J$15)*'[9]Set Up'!$N$16+'[9]Set Up'!$O$15,IF(O10&lt;'[9]Set Up'!$J$17,(O10-'[9]Set Up'!$J$16)*'[9]Set Up'!$N$17+'[9]Set Up'!$O$15+'[9]Set Up'!$O$16,(O10-'[9]Set Up'!$J$17)*'[9]Set Up'!$N$18 + SUM('[9]Set Up'!$O$15:'[9]Set Up'!$O$17)))))</f>
        <v>396.96296569224967</v>
      </c>
      <c r="P14" s="30">
        <f>IF(P10="","",IF(P10&lt;'[9]Set Up'!$J$15,P10*'[9]Set Up'!$N$15,IF(P10&lt;'[9]Set Up'!$J$16,(P10-'[9]Set Up'!$J$15)*'[9]Set Up'!$N$16+'[9]Set Up'!$O$15,IF(P10&lt;'[9]Set Up'!$J$17,(P10-'[9]Set Up'!$J$16)*'[9]Set Up'!$N$17+'[9]Set Up'!$O$15+'[9]Set Up'!$O$16,(P10-'[9]Set Up'!$J$17)*'[9]Set Up'!$N$18 + SUM('[9]Set Up'!$O$15:'[9]Set Up'!$O$17)))))</f>
        <v>393.9468131920861</v>
      </c>
      <c r="Q14" s="30">
        <f>IF(Q10="","",IF(Q10&lt;'[9]Set Up'!$J$15,Q10*'[9]Set Up'!$N$15,IF(Q10&lt;'[9]Set Up'!$J$16,(Q10-'[9]Set Up'!$J$15)*'[9]Set Up'!$N$16+'[9]Set Up'!$O$15,IF(Q10&lt;'[9]Set Up'!$J$17,(Q10-'[9]Set Up'!$J$16)*'[9]Set Up'!$N$17+'[9]Set Up'!$O$15+'[9]Set Up'!$O$16,(Q10-'[9]Set Up'!$J$17)*'[9]Set Up'!$N$18 + SUM('[9]Set Up'!$O$15:'[9]Set Up'!$O$17)))))</f>
        <v>390.94559213994324</v>
      </c>
      <c r="R14" s="30">
        <f>IF(R10="","",IF(R10&lt;'[9]Set Up'!$J$15,R10*'[9]Set Up'!$N$15,IF(R10&lt;'[9]Set Up'!$J$16,(R10-'[9]Set Up'!$J$15)*'[9]Set Up'!$N$16+'[9]Set Up'!$O$15,IF(R10&lt;'[9]Set Up'!$J$17,(R10-'[9]Set Up'!$J$16)*'[9]Set Up'!$N$17+'[9]Set Up'!$O$15+'[9]Set Up'!$O$16,(R10-'[9]Set Up'!$J$17)*'[9]Set Up'!$N$18 + SUM('[9]Set Up'!$O$15:'[9]Set Up'!$O$17)))))</f>
        <v>387.94437108780039</v>
      </c>
      <c r="S14" s="30">
        <f>IF(S10="","",IF(S10&lt;'[9]Set Up'!$J$15,S10*'[9]Set Up'!$N$15,IF(S10&lt;'[9]Set Up'!$J$16,(S10-'[9]Set Up'!$J$15)*'[9]Set Up'!$N$16+'[9]Set Up'!$O$15,IF(S10&lt;'[9]Set Up'!$J$17,(S10-'[9]Set Up'!$J$16)*'[9]Set Up'!$N$17+'[9]Set Up'!$O$15+'[9]Set Up'!$O$16,(S10-'[9]Set Up'!$J$17)*'[9]Set Up'!$N$18 + SUM('[9]Set Up'!$O$15:'[9]Set Up'!$O$17)))))</f>
        <v>384.94315003565748</v>
      </c>
      <c r="T14" s="30">
        <f>IF(T10="","",IF(T10&lt;'[9]Set Up'!$J$15,T10*'[9]Set Up'!$N$15,IF(T10&lt;'[9]Set Up'!$J$16,(T10-'[9]Set Up'!$J$15)*'[9]Set Up'!$N$16+'[9]Set Up'!$O$15,IF(T10&lt;'[9]Set Up'!$J$17,(T10-'[9]Set Up'!$J$16)*'[9]Set Up'!$N$17+'[9]Set Up'!$O$15+'[9]Set Up'!$O$16,(T10-'[9]Set Up'!$J$17)*'[9]Set Up'!$N$18 + SUM('[9]Set Up'!$O$15:'[9]Set Up'!$O$17)))))</f>
        <v>381.94192898351457</v>
      </c>
      <c r="U14" s="30">
        <f>IF(U10="","",IF(U10&lt;'[9]Set Up'!$J$15,U10*'[9]Set Up'!$N$15,IF(U10&lt;'[9]Set Up'!$J$16,(U10-'[9]Set Up'!$J$15)*'[9]Set Up'!$N$16+'[9]Set Up'!$O$15,IF(U10&lt;'[9]Set Up'!$J$17,(U10-'[9]Set Up'!$J$16)*'[9]Set Up'!$N$17+'[9]Set Up'!$O$15+'[9]Set Up'!$O$16,(U10-'[9]Set Up'!$J$17)*'[9]Set Up'!$N$18 + SUM('[9]Set Up'!$O$15:'[9]Set Up'!$O$17)))))</f>
        <v>378.94070793137166</v>
      </c>
      <c r="V14" s="30">
        <f>IF(V10="","",IF(V10&lt;'[9]Set Up'!$J$15,V10*'[9]Set Up'!$N$15,IF(V10&lt;'[9]Set Up'!$J$16,(V10-'[9]Set Up'!$J$15)*'[9]Set Up'!$N$16+'[9]Set Up'!$O$15,IF(V10&lt;'[9]Set Up'!$J$17,(V10-'[9]Set Up'!$J$16)*'[9]Set Up'!$N$17+'[9]Set Up'!$O$15+'[9]Set Up'!$O$16,(V10-'[9]Set Up'!$J$17)*'[9]Set Up'!$N$18 + SUM('[9]Set Up'!$O$15:'[9]Set Up'!$O$17)))))</f>
        <v>375.93948687922881</v>
      </c>
      <c r="W14" s="30">
        <f>IF(W10="","",IF(W10&lt;'[9]Set Up'!$J$15,W10*'[9]Set Up'!$N$15,IF(W10&lt;'[9]Set Up'!$J$16,(W10-'[9]Set Up'!$J$15)*'[9]Set Up'!$N$16+'[9]Set Up'!$O$15,IF(W10&lt;'[9]Set Up'!$J$17,(W10-'[9]Set Up'!$J$16)*'[9]Set Up'!$N$17+'[9]Set Up'!$O$15+'[9]Set Up'!$O$16,(W10-'[9]Set Up'!$J$17)*'[9]Set Up'!$N$18 + SUM('[9]Set Up'!$O$15:'[9]Set Up'!$O$17)))))</f>
        <v>372.9233343790653</v>
      </c>
      <c r="X14" s="30">
        <f>IF(X10="","",IF(X10&lt;'[9]Set Up'!$J$15,X10*'[9]Set Up'!$N$15,IF(X10&lt;'[9]Set Up'!$J$16,(X10-'[9]Set Up'!$J$15)*'[9]Set Up'!$N$16+'[9]Set Up'!$O$15,IF(X10&lt;'[9]Set Up'!$J$17,(X10-'[9]Set Up'!$J$16)*'[9]Set Up'!$N$17+'[9]Set Up'!$O$15+'[9]Set Up'!$O$16,(X10-'[9]Set Up'!$J$17)*'[9]Set Up'!$N$18 + SUM('[9]Set Up'!$O$15:'[9]Set Up'!$O$17)))))</f>
        <v>369.92211332692239</v>
      </c>
      <c r="Y14" s="30">
        <f>IF(Y10="","",IF(Y10&lt;'[9]Set Up'!$J$15,Y10*'[9]Set Up'!$N$15,IF(Y10&lt;'[9]Set Up'!$J$16,(Y10-'[9]Set Up'!$J$15)*'[9]Set Up'!$N$16+'[9]Set Up'!$O$15,IF(Y10&lt;'[9]Set Up'!$J$17,(Y10-'[9]Set Up'!$J$16)*'[9]Set Up'!$N$17+'[9]Set Up'!$O$15+'[9]Set Up'!$O$16,(Y10-'[9]Set Up'!$J$17)*'[9]Set Up'!$N$18 + SUM('[9]Set Up'!$O$15:'[9]Set Up'!$O$17)))))</f>
        <v>366.92089227477953</v>
      </c>
      <c r="Z14" s="30">
        <f>IF(Z10="","",IF(Z10&lt;'[9]Set Up'!$J$15,Z10*'[9]Set Up'!$N$15,IF(Z10&lt;'[9]Set Up'!$J$16,(Z10-'[9]Set Up'!$J$15)*'[9]Set Up'!$N$16+'[9]Set Up'!$O$15,IF(Z10&lt;'[9]Set Up'!$J$17,(Z10-'[9]Set Up'!$J$16)*'[9]Set Up'!$N$17+'[9]Set Up'!$O$15+'[9]Set Up'!$O$16,(Z10-'[9]Set Up'!$J$17)*'[9]Set Up'!$N$18 + SUM('[9]Set Up'!$O$15:'[9]Set Up'!$O$17)))))</f>
        <v>363.91967122263662</v>
      </c>
      <c r="AA14" s="30">
        <f>IF(AA10="","",IF(AA10&lt;'[9]Set Up'!$J$15,AA10*'[9]Set Up'!$N$15,IF(AA10&lt;'[9]Set Up'!$J$16,(AA10-'[9]Set Up'!$J$15)*'[9]Set Up'!$N$16+'[9]Set Up'!$O$15,IF(AA10&lt;'[9]Set Up'!$J$17,(AA10-'[9]Set Up'!$J$16)*'[9]Set Up'!$N$17+'[9]Set Up'!$O$15+'[9]Set Up'!$O$16,(AA10-'[9]Set Up'!$J$17)*'[9]Set Up'!$N$18 + SUM('[9]Set Up'!$O$15:'[9]Set Up'!$O$17)))))</f>
        <v>360.91845017049371</v>
      </c>
      <c r="AB14" s="30">
        <f>IF(AB10="","",IF(AB10&lt;'[9]Set Up'!$J$15,AB10*'[9]Set Up'!$N$15,IF(AB10&lt;'[9]Set Up'!$J$16,(AB10-'[9]Set Up'!$J$15)*'[9]Set Up'!$N$16+'[9]Set Up'!$O$15,IF(AB10&lt;'[9]Set Up'!$J$17,(AB10-'[9]Set Up'!$J$16)*'[9]Set Up'!$N$17+'[9]Set Up'!$O$15+'[9]Set Up'!$O$16,(AB10-'[9]Set Up'!$J$17)*'[9]Set Up'!$N$18 + SUM('[9]Set Up'!$O$15:'[9]Set Up'!$O$17)))))</f>
        <v>357.91722911835086</v>
      </c>
      <c r="AC14" s="30">
        <f>IF(AC10="","",IF(AC10&lt;'[9]Set Up'!$J$15,AC10*'[9]Set Up'!$N$15,IF(AC10&lt;'[9]Set Up'!$J$16,(AC10-'[9]Set Up'!$J$15)*'[9]Set Up'!$N$16+'[9]Set Up'!$O$15,IF(AC10&lt;'[9]Set Up'!$J$17,(AC10-'[9]Set Up'!$J$16)*'[9]Set Up'!$N$17+'[9]Set Up'!$O$15+'[9]Set Up'!$O$16,(AC10-'[9]Set Up'!$J$17)*'[9]Set Up'!$N$18 + SUM('[9]Set Up'!$O$15:'[9]Set Up'!$O$17)))))</f>
        <v>354.90107661818735</v>
      </c>
      <c r="AD14" s="30">
        <f>IF(AD10="","",IF(AD10&lt;'[9]Set Up'!$J$15,AD10*'[9]Set Up'!$N$15,IF(AD10&lt;'[9]Set Up'!$J$16,(AD10-'[9]Set Up'!$J$15)*'[9]Set Up'!$N$16+'[9]Set Up'!$O$15,IF(AD10&lt;'[9]Set Up'!$J$17,(AD10-'[9]Set Up'!$J$16)*'[9]Set Up'!$N$17+'[9]Set Up'!$O$15+'[9]Set Up'!$O$16,(AD10-'[9]Set Up'!$J$17)*'[9]Set Up'!$N$18 + SUM('[9]Set Up'!$O$15:'[9]Set Up'!$O$17)))))</f>
        <v>351.89985556604444</v>
      </c>
      <c r="AE14" s="30">
        <f>IF(AE10="","",IF(AE10&lt;'[9]Set Up'!$J$15,AE10*'[9]Set Up'!$N$15,IF(AE10&lt;'[9]Set Up'!$J$16,(AE10-'[9]Set Up'!$J$15)*'[9]Set Up'!$N$16+'[9]Set Up'!$O$15,IF(AE10&lt;'[9]Set Up'!$J$17,(AE10-'[9]Set Up'!$J$16)*'[9]Set Up'!$N$17+'[9]Set Up'!$O$15+'[9]Set Up'!$O$16,(AE10-'[9]Set Up'!$J$17)*'[9]Set Up'!$N$18 + SUM('[9]Set Up'!$O$15:'[9]Set Up'!$O$17)))))</f>
        <v>348.89863451390158</v>
      </c>
      <c r="AF14" s="30">
        <f>IF(AF10="","",IF(AF10&lt;'[9]Set Up'!$J$15,AF10*'[9]Set Up'!$N$15,IF(AF10&lt;'[9]Set Up'!$J$16,(AF10-'[9]Set Up'!$J$15)*'[9]Set Up'!$N$16+'[9]Set Up'!$O$15,IF(AF10&lt;'[9]Set Up'!$J$17,(AF10-'[9]Set Up'!$J$16)*'[9]Set Up'!$N$17+'[9]Set Up'!$O$15+'[9]Set Up'!$O$16,(AF10-'[9]Set Up'!$J$17)*'[9]Set Up'!$N$18 + SUM('[9]Set Up'!$O$15:'[9]Set Up'!$O$17)))))</f>
        <v>345.89741346175867</v>
      </c>
      <c r="AG14" s="30">
        <f>IF(AG10="","",IF(AG10&lt;'[9]Set Up'!$J$15,AG10*'[9]Set Up'!$N$15,IF(AG10&lt;'[9]Set Up'!$J$16,(AG10-'[9]Set Up'!$J$15)*'[9]Set Up'!$N$16+'[9]Set Up'!$O$15,IF(AG10&lt;'[9]Set Up'!$J$17,(AG10-'[9]Set Up'!$J$16)*'[9]Set Up'!$N$17+'[9]Set Up'!$O$15+'[9]Set Up'!$O$16,(AG10-'[9]Set Up'!$J$17)*'[9]Set Up'!$N$18 + SUM('[9]Set Up'!$O$15:'[9]Set Up'!$O$17)))))</f>
        <v>342.89619240961576</v>
      </c>
      <c r="AH14" s="30">
        <f>IF(AH10="","",IF(AH10&lt;'[9]Set Up'!$J$15,AH10*'[9]Set Up'!$N$15,IF(AH10&lt;'[9]Set Up'!$J$16,(AH10-'[9]Set Up'!$J$15)*'[9]Set Up'!$N$16+'[9]Set Up'!$O$15,IF(AH10&lt;'[9]Set Up'!$J$17,(AH10-'[9]Set Up'!$J$16)*'[9]Set Up'!$N$17+'[9]Set Up'!$O$15+'[9]Set Up'!$O$16,(AH10-'[9]Set Up'!$J$17)*'[9]Set Up'!$N$18 + SUM('[9]Set Up'!$O$15:'[9]Set Up'!$O$17)))))</f>
        <v>339.89497135747285</v>
      </c>
      <c r="AI14" s="30">
        <f>IF(AI10="","",IF(AI10&lt;'[9]Set Up'!$J$15,AI10*'[9]Set Up'!$N$15,IF(AI10&lt;'[9]Set Up'!$J$16,(AI10-'[9]Set Up'!$J$15)*'[9]Set Up'!$N$16+'[9]Set Up'!$O$15,IF(AI10&lt;'[9]Set Up'!$J$17,(AI10-'[9]Set Up'!$J$16)*'[9]Set Up'!$N$17+'[9]Set Up'!$O$15+'[9]Set Up'!$O$16,(AI10-'[9]Set Up'!$J$17)*'[9]Set Up'!$N$18 + SUM('[9]Set Up'!$O$15:'[9]Set Up'!$O$17)))))</f>
        <v>336.8788188573094</v>
      </c>
      <c r="AJ14" s="30">
        <f>IF(AJ10="","",IF(AJ10&lt;'[9]Set Up'!$J$15,AJ10*'[9]Set Up'!$N$15,IF(AJ10&lt;'[9]Set Up'!$J$16,(AJ10-'[9]Set Up'!$J$15)*'[9]Set Up'!$N$16+'[9]Set Up'!$O$15,IF(AJ10&lt;'[9]Set Up'!$J$17,(AJ10-'[9]Set Up'!$J$16)*'[9]Set Up'!$N$17+'[9]Set Up'!$O$15+'[9]Set Up'!$O$16,(AJ10-'[9]Set Up'!$J$17)*'[9]Set Up'!$N$18 + SUM('[9]Set Up'!$O$15:'[9]Set Up'!$O$17)))))</f>
        <v>333.87759780516649</v>
      </c>
      <c r="AK14" s="30">
        <f>IF(AK10="","",IF(AK10&lt;'[9]Set Up'!$J$15,AK10*'[9]Set Up'!$N$15,IF(AK10&lt;'[9]Set Up'!$J$16,(AK10-'[9]Set Up'!$J$15)*'[9]Set Up'!$N$16+'[9]Set Up'!$O$15,IF(AK10&lt;'[9]Set Up'!$J$17,(AK10-'[9]Set Up'!$J$16)*'[9]Set Up'!$N$17+'[9]Set Up'!$O$15+'[9]Set Up'!$O$16,(AK10-'[9]Set Up'!$J$17)*'[9]Set Up'!$N$18 + SUM('[9]Set Up'!$O$15:'[9]Set Up'!$O$17)))))</f>
        <v>330.87637675302358</v>
      </c>
      <c r="AL14" s="30">
        <f>IF(AL10="","",IF(AL10&lt;'[9]Set Up'!$J$15,AL10*'[9]Set Up'!$N$15,IF(AL10&lt;'[9]Set Up'!$J$16,(AL10-'[9]Set Up'!$J$15)*'[9]Set Up'!$N$16+'[9]Set Up'!$O$15,IF(AL10&lt;'[9]Set Up'!$J$17,(AL10-'[9]Set Up'!$J$16)*'[9]Set Up'!$N$17+'[9]Set Up'!$O$15+'[9]Set Up'!$O$16,(AL10-'[9]Set Up'!$J$17)*'[9]Set Up'!$N$18 + SUM('[9]Set Up'!$O$15:'[9]Set Up'!$O$17)))))</f>
        <v>327.87515570088073</v>
      </c>
      <c r="AM14" s="30">
        <f>IF(AM10="","",IF(AM10&lt;'[9]Set Up'!$J$15,AM10*'[9]Set Up'!$N$15,IF(AM10&lt;'[9]Set Up'!$J$16,(AM10-'[9]Set Up'!$J$15)*'[9]Set Up'!$N$16+'[9]Set Up'!$O$15,IF(AM10&lt;'[9]Set Up'!$J$17,(AM10-'[9]Set Up'!$J$16)*'[9]Set Up'!$N$17+'[9]Set Up'!$O$15+'[9]Set Up'!$O$16,(AM10-'[9]Set Up'!$J$17)*'[9]Set Up'!$N$18 + SUM('[9]Set Up'!$O$15:'[9]Set Up'!$O$17)))))</f>
        <v>324.87393464873782</v>
      </c>
      <c r="AN14" s="30">
        <f>IF(AN10="","",IF(AN10&lt;'[9]Set Up'!$J$15,AN10*'[9]Set Up'!$N$15,IF(AN10&lt;'[9]Set Up'!$J$16,(AN10-'[9]Set Up'!$J$15)*'[9]Set Up'!$N$16+'[9]Set Up'!$O$15,IF(AN10&lt;'[9]Set Up'!$J$17,(AN10-'[9]Set Up'!$J$16)*'[9]Set Up'!$N$17+'[9]Set Up'!$O$15+'[9]Set Up'!$O$16,(AN10-'[9]Set Up'!$J$17)*'[9]Set Up'!$N$18 + SUM('[9]Set Up'!$O$15:'[9]Set Up'!$O$17)))))</f>
        <v>321.87271359659496</v>
      </c>
      <c r="AO14" s="30">
        <f>IF(AO10="","",IF(AO10&lt;'[9]Set Up'!$J$15,AO10*'[9]Set Up'!$N$15,IF(AO10&lt;'[9]Set Up'!$J$16,(AO10-'[9]Set Up'!$J$15)*'[9]Set Up'!$N$16+'[9]Set Up'!$O$15,IF(AO10&lt;'[9]Set Up'!$J$17,(AO10-'[9]Set Up'!$J$16)*'[9]Set Up'!$N$17+'[9]Set Up'!$O$15+'[9]Set Up'!$O$16,(AO10-'[9]Set Up'!$J$17)*'[9]Set Up'!$N$18 + SUM('[9]Set Up'!$O$15:'[9]Set Up'!$O$17)))))</f>
        <v>318.87149254445205</v>
      </c>
      <c r="AP14" s="30">
        <f>IF(AP10="","",IF(AP10&lt;'[9]Set Up'!$J$15,AP10*'[9]Set Up'!$N$15,IF(AP10&lt;'[9]Set Up'!$J$16,(AP10-'[9]Set Up'!$J$15)*'[9]Set Up'!$N$16+'[9]Set Up'!$O$15,IF(AP10&lt;'[9]Set Up'!$J$17,(AP10-'[9]Set Up'!$J$16)*'[9]Set Up'!$N$17+'[9]Set Up'!$O$15+'[9]Set Up'!$O$16,(AP10-'[9]Set Up'!$J$17)*'[9]Set Up'!$N$18 + SUM('[9]Set Up'!$O$15:'[9]Set Up'!$O$17)))))</f>
        <v>315.85534004428854</v>
      </c>
      <c r="AQ14" s="30">
        <f>IF(AQ10="","",IF(AQ10&lt;'[9]Set Up'!$J$15,AQ10*'[9]Set Up'!$N$15,IF(AQ10&lt;'[9]Set Up'!$J$16,(AQ10-'[9]Set Up'!$J$15)*'[9]Set Up'!$N$16+'[9]Set Up'!$O$15,IF(AQ10&lt;'[9]Set Up'!$J$17,(AQ10-'[9]Set Up'!$J$16)*'[9]Set Up'!$N$17+'[9]Set Up'!$O$15+'[9]Set Up'!$O$16,(AQ10-'[9]Set Up'!$J$17)*'[9]Set Up'!$N$18 + SUM('[9]Set Up'!$O$15:'[9]Set Up'!$O$17)))))</f>
        <v>312.85411899214563</v>
      </c>
      <c r="AR14" s="30">
        <f>IF(AR10="","",IF(AR10&lt;'[9]Set Up'!$J$15,AR10*'[9]Set Up'!$N$15,IF(AR10&lt;'[9]Set Up'!$J$16,(AR10-'[9]Set Up'!$J$15)*'[9]Set Up'!$N$16+'[9]Set Up'!$O$15,IF(AR10&lt;'[9]Set Up'!$J$17,(AR10-'[9]Set Up'!$J$16)*'[9]Set Up'!$N$17+'[9]Set Up'!$O$15+'[9]Set Up'!$O$16,(AR10-'[9]Set Up'!$J$17)*'[9]Set Up'!$N$18 + SUM('[9]Set Up'!$O$15:'[9]Set Up'!$O$17)))))</f>
        <v>309.85289794000278</v>
      </c>
      <c r="AS14" s="30">
        <f>IF(AS10="","",IF(AS10&lt;'[9]Set Up'!$J$15,AS10*'[9]Set Up'!$N$15,IF(AS10&lt;'[9]Set Up'!$J$16,(AS10-'[9]Set Up'!$J$15)*'[9]Set Up'!$N$16+'[9]Set Up'!$O$15,IF(AS10&lt;'[9]Set Up'!$J$17,(AS10-'[9]Set Up'!$J$16)*'[9]Set Up'!$N$17+'[9]Set Up'!$O$15+'[9]Set Up'!$O$16,(AS10-'[9]Set Up'!$J$17)*'[9]Set Up'!$N$18 + SUM('[9]Set Up'!$O$15:'[9]Set Up'!$O$17)))))</f>
        <v>306.85167688785987</v>
      </c>
      <c r="AT14" s="30">
        <f>IF(AT10="","",IF(AT10&lt;'[9]Set Up'!$J$15,AT10*'[9]Set Up'!$N$15,IF(AT10&lt;'[9]Set Up'!$J$16,(AT10-'[9]Set Up'!$J$15)*'[9]Set Up'!$N$16+'[9]Set Up'!$O$15,IF(AT10&lt;'[9]Set Up'!$J$17,(AT10-'[9]Set Up'!$J$16)*'[9]Set Up'!$N$17+'[9]Set Up'!$O$15+'[9]Set Up'!$O$16,(AT10-'[9]Set Up'!$J$17)*'[9]Set Up'!$N$18 + SUM('[9]Set Up'!$O$15:'[9]Set Up'!$O$17)))))</f>
        <v>303.85045583571696</v>
      </c>
      <c r="AU14" s="30">
        <f>IF(AU10="","",IF(AU10&lt;'[9]Set Up'!$J$15,AU10*'[9]Set Up'!$N$15,IF(AU10&lt;'[9]Set Up'!$J$16,(AU10-'[9]Set Up'!$J$15)*'[9]Set Up'!$N$16+'[9]Set Up'!$O$15,IF(AU10&lt;'[9]Set Up'!$J$17,(AU10-'[9]Set Up'!$J$16)*'[9]Set Up'!$N$17+'[9]Set Up'!$O$15+'[9]Set Up'!$O$16,(AU10-'[9]Set Up'!$J$17)*'[9]Set Up'!$N$18 + SUM('[9]Set Up'!$O$15:'[9]Set Up'!$O$17)))))</f>
        <v>300.8492347835741</v>
      </c>
      <c r="AV14" s="30">
        <f>IF(AV10="","",IF(AV10&lt;'[9]Set Up'!$J$15,AV10*'[9]Set Up'!$N$15,IF(AV10&lt;'[9]Set Up'!$J$16,(AV10-'[9]Set Up'!$J$15)*'[9]Set Up'!$N$16+'[9]Set Up'!$O$15,IF(AV10&lt;'[9]Set Up'!$J$17,(AV10-'[9]Set Up'!$J$16)*'[9]Set Up'!$N$17+'[9]Set Up'!$O$15+'[9]Set Up'!$O$16,(AV10-'[9]Set Up'!$J$17)*'[9]Set Up'!$N$18 + SUM('[9]Set Up'!$O$15:'[9]Set Up'!$O$17)))))</f>
        <v>297.83308228341059</v>
      </c>
      <c r="AW14" s="30">
        <f>IF(AW10="","",IF(AW10&lt;'[9]Set Up'!$J$15,AW10*'[9]Set Up'!$N$15,IF(AW10&lt;'[9]Set Up'!$J$16,(AW10-'[9]Set Up'!$J$15)*'[9]Set Up'!$N$16+'[9]Set Up'!$O$15,IF(AW10&lt;'[9]Set Up'!$J$17,(AW10-'[9]Set Up'!$J$16)*'[9]Set Up'!$N$17+'[9]Set Up'!$O$15+'[9]Set Up'!$O$16,(AW10-'[9]Set Up'!$J$17)*'[9]Set Up'!$N$18 + SUM('[9]Set Up'!$O$15:'[9]Set Up'!$O$17)))))</f>
        <v>294.83186123126768</v>
      </c>
      <c r="AX14" s="30">
        <f>IF(AX10="","",IF(AX10&lt;'[9]Set Up'!$J$15,AX10*'[9]Set Up'!$N$15,IF(AX10&lt;'[9]Set Up'!$J$16,(AX10-'[9]Set Up'!$J$15)*'[9]Set Up'!$N$16+'[9]Set Up'!$O$15,IF(AX10&lt;'[9]Set Up'!$J$17,(AX10-'[9]Set Up'!$J$16)*'[9]Set Up'!$N$17+'[9]Set Up'!$O$15+'[9]Set Up'!$O$16,(AX10-'[9]Set Up'!$J$17)*'[9]Set Up'!$N$18 + SUM('[9]Set Up'!$O$15:'[9]Set Up'!$O$17)))))</f>
        <v>291.83064017912483</v>
      </c>
      <c r="AY14" s="30">
        <f>IF(AY10="","",IF(AY10&lt;'[9]Set Up'!$J$15,AY10*'[9]Set Up'!$N$15,IF(AY10&lt;'[9]Set Up'!$J$16,(AY10-'[9]Set Up'!$J$15)*'[9]Set Up'!$N$16+'[9]Set Up'!$O$15,IF(AY10&lt;'[9]Set Up'!$J$17,(AY10-'[9]Set Up'!$J$16)*'[9]Set Up'!$N$17+'[9]Set Up'!$O$15+'[9]Set Up'!$O$16,(AY10-'[9]Set Up'!$J$17)*'[9]Set Up'!$N$18 + SUM('[9]Set Up'!$O$15:'[9]Set Up'!$O$17)))))</f>
        <v>288.82941912698192</v>
      </c>
      <c r="AZ14" s="30">
        <f>IF(AZ10="","",IF(AZ10&lt;'[9]Set Up'!$J$15,AZ10*'[9]Set Up'!$N$15,IF(AZ10&lt;'[9]Set Up'!$J$16,(AZ10-'[9]Set Up'!$J$15)*'[9]Set Up'!$N$16+'[9]Set Up'!$O$15,IF(AZ10&lt;'[9]Set Up'!$J$17,(AZ10-'[9]Set Up'!$J$16)*'[9]Set Up'!$N$17+'[9]Set Up'!$O$15+'[9]Set Up'!$O$16,(AZ10-'[9]Set Up'!$J$17)*'[9]Set Up'!$N$18 + SUM('[9]Set Up'!$O$15:'[9]Set Up'!$O$17)))))</f>
        <v>285.82819807483901</v>
      </c>
      <c r="BA14" s="30">
        <f>IF(BA10="","",IF(BA10&lt;'[9]Set Up'!$J$15,BA10*'[9]Set Up'!$N$15,IF(BA10&lt;'[9]Set Up'!$J$16,(BA10-'[9]Set Up'!$J$15)*'[9]Set Up'!$N$16+'[9]Set Up'!$O$15,IF(BA10&lt;'[9]Set Up'!$J$17,(BA10-'[9]Set Up'!$J$16)*'[9]Set Up'!$N$17+'[9]Set Up'!$O$15+'[9]Set Up'!$O$16,(BA10-'[9]Set Up'!$J$17)*'[9]Set Up'!$N$18 + SUM('[9]Set Up'!$O$15:'[9]Set Up'!$O$17)))))</f>
        <v>282.82697702269616</v>
      </c>
      <c r="BB14" s="30">
        <f>IF(BB10="","",IF(BB10&lt;'[9]Set Up'!$J$15,BB10*'[9]Set Up'!$N$15,IF(BB10&lt;'[9]Set Up'!$J$16,(BB10-'[9]Set Up'!$J$15)*'[9]Set Up'!$N$16+'[9]Set Up'!$O$15,IF(BB10&lt;'[9]Set Up'!$J$17,(BB10-'[9]Set Up'!$J$16)*'[9]Set Up'!$N$17+'[9]Set Up'!$O$15+'[9]Set Up'!$O$16,(BB10-'[9]Set Up'!$J$17)*'[9]Set Up'!$N$18 + SUM('[9]Set Up'!$O$15:'[9]Set Up'!$O$17)))))</f>
        <v>279.81082452253264</v>
      </c>
      <c r="BC14" s="30">
        <f>IF(BC10="","",IF(BC10&lt;'[9]Set Up'!$J$15,BC10*'[9]Set Up'!$N$15,IF(BC10&lt;'[9]Set Up'!$J$16,(BC10-'[9]Set Up'!$J$15)*'[9]Set Up'!$N$16+'[9]Set Up'!$O$15,IF(BC10&lt;'[9]Set Up'!$J$17,(BC10-'[9]Set Up'!$J$16)*'[9]Set Up'!$N$17+'[9]Set Up'!$O$15+'[9]Set Up'!$O$16,(BC10-'[9]Set Up'!$J$17)*'[9]Set Up'!$N$18 + SUM('[9]Set Up'!$O$15:'[9]Set Up'!$O$17)))))</f>
        <v>276.80960347038973</v>
      </c>
      <c r="BD14" s="30">
        <f>IF(BD10="","",IF(BD10&lt;'[9]Set Up'!$J$15,BD10*'[9]Set Up'!$N$15,IF(BD10&lt;'[9]Set Up'!$J$16,(BD10-'[9]Set Up'!$J$15)*'[9]Set Up'!$N$16+'[9]Set Up'!$O$15,IF(BD10&lt;'[9]Set Up'!$J$17,(BD10-'[9]Set Up'!$J$16)*'[9]Set Up'!$N$17+'[9]Set Up'!$O$15+'[9]Set Up'!$O$16,(BD10-'[9]Set Up'!$J$17)*'[9]Set Up'!$N$18 + SUM('[9]Set Up'!$O$15:'[9]Set Up'!$O$17)))))</f>
        <v>273.80838241824688</v>
      </c>
      <c r="BE14" s="30">
        <f>IF(BE10="","",IF(BE10&lt;'[9]Set Up'!$J$15,BE10*'[9]Set Up'!$N$15,IF(BE10&lt;'[9]Set Up'!$J$16,(BE10-'[9]Set Up'!$J$15)*'[9]Set Up'!$N$16+'[9]Set Up'!$O$15,IF(BE10&lt;'[9]Set Up'!$J$17,(BE10-'[9]Set Up'!$J$16)*'[9]Set Up'!$N$17+'[9]Set Up'!$O$15+'[9]Set Up'!$O$16,(BE10-'[9]Set Up'!$J$17)*'[9]Set Up'!$N$18 + SUM('[9]Set Up'!$O$15:'[9]Set Up'!$O$17)))))</f>
        <v>0</v>
      </c>
      <c r="BF14" s="30">
        <f>IF(BF10="","",IF(BF10&lt;'[9]Set Up'!$J$15,BF10*'[9]Set Up'!$N$15,IF(BF10&lt;'[9]Set Up'!$J$16,(BF10-'[9]Set Up'!$J$15)*'[9]Set Up'!$N$16+'[9]Set Up'!$O$15,IF(BF10&lt;'[9]Set Up'!$J$17,(BF10-'[9]Set Up'!$J$16)*'[9]Set Up'!$N$17+'[9]Set Up'!$O$15+'[9]Set Up'!$O$16,(BF10-'[9]Set Up'!$J$17)*'[9]Set Up'!$N$18 + SUM('[9]Set Up'!$O$15:'[9]Set Up'!$O$17)))))</f>
        <v>0</v>
      </c>
      <c r="BG14" s="30">
        <f>IF(BG10="","",IF(BG10&lt;'[9]Set Up'!$J$15,BG10*'[9]Set Up'!$N$15,IF(BG10&lt;'[9]Set Up'!$J$16,(BG10-'[9]Set Up'!$J$15)*'[9]Set Up'!$N$16+'[9]Set Up'!$O$15,IF(BG10&lt;'[9]Set Up'!$J$17,(BG10-'[9]Set Up'!$J$16)*'[9]Set Up'!$N$17+'[9]Set Up'!$O$15+'[9]Set Up'!$O$16,(BG10-'[9]Set Up'!$J$17)*'[9]Set Up'!$N$18 + SUM('[9]Set Up'!$O$15:'[9]Set Up'!$O$17)))))</f>
        <v>0</v>
      </c>
      <c r="BH14" s="30">
        <f>IF(BH10="","",IF(BH10&lt;'[9]Set Up'!$J$15,BH10*'[9]Set Up'!$N$15,IF(BH10&lt;'[9]Set Up'!$J$16,(BH10-'[9]Set Up'!$J$15)*'[9]Set Up'!$N$16+'[9]Set Up'!$O$15,IF(BH10&lt;'[9]Set Up'!$J$17,(BH10-'[9]Set Up'!$J$16)*'[9]Set Up'!$N$17+'[9]Set Up'!$O$15+'[9]Set Up'!$O$16,(BH10-'[9]Set Up'!$J$17)*'[9]Set Up'!$N$18 + SUM('[9]Set Up'!$O$15:'[9]Set Up'!$O$17)))))</f>
        <v>0</v>
      </c>
      <c r="BI14" s="30">
        <f>IF(BI10="","",IF(BI10&lt;'[9]Set Up'!$J$15,BI10*'[9]Set Up'!$N$15,IF(BI10&lt;'[9]Set Up'!$J$16,(BI10-'[9]Set Up'!$J$15)*'[9]Set Up'!$N$16+'[9]Set Up'!$O$15,IF(BI10&lt;'[9]Set Up'!$J$17,(BI10-'[9]Set Up'!$J$16)*'[9]Set Up'!$N$17+'[9]Set Up'!$O$15+'[9]Set Up'!$O$16,(BI10-'[9]Set Up'!$J$17)*'[9]Set Up'!$N$18 + SUM('[9]Set Up'!$O$15:'[9]Set Up'!$O$17)))))</f>
        <v>0</v>
      </c>
      <c r="BJ14" s="30">
        <f>IF(BJ10="","",IF(BJ10&lt;'[9]Set Up'!$J$15,BJ10*'[9]Set Up'!$N$15,IF(BJ10&lt;'[9]Set Up'!$J$16,(BJ10-'[9]Set Up'!$J$15)*'[9]Set Up'!$N$16+'[9]Set Up'!$O$15,IF(BJ10&lt;'[9]Set Up'!$J$17,(BJ10-'[9]Set Up'!$J$16)*'[9]Set Up'!$N$17+'[9]Set Up'!$O$15+'[9]Set Up'!$O$16,(BJ10-'[9]Set Up'!$J$17)*'[9]Set Up'!$N$18 + SUM('[9]Set Up'!$O$15:'[9]Set Up'!$O$17)))))</f>
        <v>0</v>
      </c>
      <c r="BK14" s="30">
        <f>IF(BK10="","",IF(BK10&lt;'[9]Set Up'!$J$15,BK10*'[9]Set Up'!$N$15,IF(BK10&lt;'[9]Set Up'!$J$16,(BK10-'[9]Set Up'!$J$15)*'[9]Set Up'!$N$16+'[9]Set Up'!$O$15,IF(BK10&lt;'[9]Set Up'!$J$17,(BK10-'[9]Set Up'!$J$16)*'[9]Set Up'!$N$17+'[9]Set Up'!$O$15+'[9]Set Up'!$O$16,(BK10-'[9]Set Up'!$J$17)*'[9]Set Up'!$N$18 + SUM('[9]Set Up'!$O$15:'[9]Set Up'!$O$17)))))</f>
        <v>0</v>
      </c>
      <c r="BL14" s="30">
        <f>IF(BL10="","",IF(BL10&lt;'[9]Set Up'!$J$15,BL10*'[9]Set Up'!$N$15,IF(BL10&lt;'[9]Set Up'!$J$16,(BL10-'[9]Set Up'!$J$15)*'[9]Set Up'!$N$16+'[9]Set Up'!$O$15,IF(BL10&lt;'[9]Set Up'!$J$17,(BL10-'[9]Set Up'!$J$16)*'[9]Set Up'!$N$17+'[9]Set Up'!$O$15+'[9]Set Up'!$O$16,(BL10-'[9]Set Up'!$J$17)*'[9]Set Up'!$N$18 + SUM('[9]Set Up'!$O$15:'[9]Set Up'!$O$17)))))</f>
        <v>0</v>
      </c>
      <c r="BM14" s="30">
        <f>IF(BM10="","",IF(BM10&lt;'[9]Set Up'!$J$15,BM10*'[9]Set Up'!$N$15,IF(BM10&lt;'[9]Set Up'!$J$16,(BM10-'[9]Set Up'!$J$15)*'[9]Set Up'!$N$16+'[9]Set Up'!$O$15,IF(BM10&lt;'[9]Set Up'!$J$17,(BM10-'[9]Set Up'!$J$16)*'[9]Set Up'!$N$17+'[9]Set Up'!$O$15+'[9]Set Up'!$O$16,(BM10-'[9]Set Up'!$J$17)*'[9]Set Up'!$N$18 + SUM('[9]Set Up'!$O$15:'[9]Set Up'!$O$17)))))</f>
        <v>0</v>
      </c>
      <c r="BN14" s="30">
        <f>IF(BN10="","",IF(BN10&lt;'[9]Set Up'!$J$15,BN10*'[9]Set Up'!$N$15,IF(BN10&lt;'[9]Set Up'!$J$16,(BN10-'[9]Set Up'!$J$15)*'[9]Set Up'!$N$16+'[9]Set Up'!$O$15,IF(BN10&lt;'[9]Set Up'!$J$17,(BN10-'[9]Set Up'!$J$16)*'[9]Set Up'!$N$17+'[9]Set Up'!$O$15+'[9]Set Up'!$O$16,(BN10-'[9]Set Up'!$J$17)*'[9]Set Up'!$N$18 + SUM('[9]Set Up'!$O$15:'[9]Set Up'!$O$17)))))</f>
        <v>0</v>
      </c>
      <c r="BO14" s="30">
        <f>IF(BO10="","",IF(BO10&lt;'[9]Set Up'!$J$15,BO10*'[9]Set Up'!$N$15,IF(BO10&lt;'[9]Set Up'!$J$16,(BO10-'[9]Set Up'!$J$15)*'[9]Set Up'!$N$16+'[9]Set Up'!$O$15,IF(BO10&lt;'[9]Set Up'!$J$17,(BO10-'[9]Set Up'!$J$16)*'[9]Set Up'!$N$17+'[9]Set Up'!$O$15+'[9]Set Up'!$O$16,(BO10-'[9]Set Up'!$J$17)*'[9]Set Up'!$N$18 + SUM('[9]Set Up'!$O$15:'[9]Set Up'!$O$17)))))</f>
        <v>0</v>
      </c>
      <c r="BP14" s="30">
        <f>IF(BP10="","",IF(BP10&lt;'[9]Set Up'!$J$15,BP10*'[9]Set Up'!$N$15,IF(BP10&lt;'[9]Set Up'!$J$16,(BP10-'[9]Set Up'!$J$15)*'[9]Set Up'!$N$16+'[9]Set Up'!$O$15,IF(BP10&lt;'[9]Set Up'!$J$17,(BP10-'[9]Set Up'!$J$16)*'[9]Set Up'!$N$17+'[9]Set Up'!$O$15+'[9]Set Up'!$O$16,(BP10-'[9]Set Up'!$J$17)*'[9]Set Up'!$N$18 + SUM('[9]Set Up'!$O$15:'[9]Set Up'!$O$17)))))</f>
        <v>0</v>
      </c>
      <c r="BQ14" s="30">
        <f>IF(BQ10="","",IF(BQ10&lt;'[9]Set Up'!$J$15,BQ10*'[9]Set Up'!$N$15,IF(BQ10&lt;'[9]Set Up'!$J$16,(BQ10-'[9]Set Up'!$J$15)*'[9]Set Up'!$N$16+'[9]Set Up'!$O$15,IF(BQ10&lt;'[9]Set Up'!$J$17,(BQ10-'[9]Set Up'!$J$16)*'[9]Set Up'!$N$17+'[9]Set Up'!$O$15+'[9]Set Up'!$O$16,(BQ10-'[9]Set Up'!$J$17)*'[9]Set Up'!$N$18 + SUM('[9]Set Up'!$O$15:'[9]Set Up'!$O$17)))))</f>
        <v>0</v>
      </c>
      <c r="BR14" s="30">
        <f>IF(BR10="","",IF(BR10&lt;'[9]Set Up'!$J$15,BR10*'[9]Set Up'!$N$15,IF(BR10&lt;'[9]Set Up'!$J$16,(BR10-'[9]Set Up'!$J$15)*'[9]Set Up'!$N$16+'[9]Set Up'!$O$15,IF(BR10&lt;'[9]Set Up'!$J$17,(BR10-'[9]Set Up'!$J$16)*'[9]Set Up'!$N$17+'[9]Set Up'!$O$15+'[9]Set Up'!$O$16,(BR10-'[9]Set Up'!$J$17)*'[9]Set Up'!$N$18 + SUM('[9]Set Up'!$O$15:'[9]Set Up'!$O$17)))))</f>
        <v>0</v>
      </c>
      <c r="BS14" s="30">
        <f>IF(BS10="","",IF(BS10&lt;'[9]Set Up'!$J$15,BS10*'[9]Set Up'!$N$15,IF(BS10&lt;'[9]Set Up'!$J$16,(BS10-'[9]Set Up'!$J$15)*'[9]Set Up'!$N$16+'[9]Set Up'!$O$15,IF(BS10&lt;'[9]Set Up'!$J$17,(BS10-'[9]Set Up'!$J$16)*'[9]Set Up'!$N$17+'[9]Set Up'!$O$15+'[9]Set Up'!$O$16,(BS10-'[9]Set Up'!$J$17)*'[9]Set Up'!$N$18 + SUM('[9]Set Up'!$O$15:'[9]Set Up'!$O$17)))))</f>
        <v>0</v>
      </c>
      <c r="BT14" s="30">
        <f>IF(BT10="","",IF(BT10&lt;'[9]Set Up'!$J$15,BT10*'[9]Set Up'!$N$15,IF(BT10&lt;'[9]Set Up'!$J$16,(BT10-'[9]Set Up'!$J$15)*'[9]Set Up'!$N$16+'[9]Set Up'!$O$15,IF(BT10&lt;'[9]Set Up'!$J$17,(BT10-'[9]Set Up'!$J$16)*'[9]Set Up'!$N$17+'[9]Set Up'!$O$15+'[9]Set Up'!$O$16,(BT10-'[9]Set Up'!$J$17)*'[9]Set Up'!$N$18 + SUM('[9]Set Up'!$O$15:'[9]Set Up'!$O$17)))))</f>
        <v>0</v>
      </c>
      <c r="BU14" s="30">
        <f>IF(BU10="","",IF(BU10&lt;'[9]Set Up'!$J$15,BU10*'[9]Set Up'!$N$15,IF(BU10&lt;'[9]Set Up'!$J$16,(BU10-'[9]Set Up'!$J$15)*'[9]Set Up'!$N$16+'[9]Set Up'!$O$15,IF(BU10&lt;'[9]Set Up'!$J$17,(BU10-'[9]Set Up'!$J$16)*'[9]Set Up'!$N$17+'[9]Set Up'!$O$15+'[9]Set Up'!$O$16,(BU10-'[9]Set Up'!$J$17)*'[9]Set Up'!$N$18 + SUM('[9]Set Up'!$O$15:'[9]Set Up'!$O$17)))))</f>
        <v>0</v>
      </c>
      <c r="BV14" s="30">
        <f>IF(BV10="","",IF(BV10&lt;'[9]Set Up'!$J$15,BV10*'[9]Set Up'!$N$15,IF(BV10&lt;'[9]Set Up'!$J$16,(BV10-'[9]Set Up'!$J$15)*'[9]Set Up'!$N$16+'[9]Set Up'!$O$15,IF(BV10&lt;'[9]Set Up'!$J$17,(BV10-'[9]Set Up'!$J$16)*'[9]Set Up'!$N$17+'[9]Set Up'!$O$15+'[9]Set Up'!$O$16,(BV10-'[9]Set Up'!$J$17)*'[9]Set Up'!$N$18 + SUM('[9]Set Up'!$O$15:'[9]Set Up'!$O$17)))))</f>
        <v>0</v>
      </c>
      <c r="BW14" s="30">
        <f>IF(BW10="","",IF(BW10&lt;'[9]Set Up'!$J$15,BW10*'[9]Set Up'!$N$15,IF(BW10&lt;'[9]Set Up'!$J$16,(BW10-'[9]Set Up'!$J$15)*'[9]Set Up'!$N$16+'[9]Set Up'!$O$15,IF(BW10&lt;'[9]Set Up'!$J$17,(BW10-'[9]Set Up'!$J$16)*'[9]Set Up'!$N$17+'[9]Set Up'!$O$15+'[9]Set Up'!$O$16,(BW10-'[9]Set Up'!$J$17)*'[9]Set Up'!$N$18 + SUM('[9]Set Up'!$O$15:'[9]Set Up'!$O$17)))))</f>
        <v>0</v>
      </c>
      <c r="BX14" s="30">
        <f>IF(BX10="","",IF(BX10&lt;'[9]Set Up'!$J$15,BX10*'[9]Set Up'!$N$15,IF(BX10&lt;'[9]Set Up'!$J$16,(BX10-'[9]Set Up'!$J$15)*'[9]Set Up'!$N$16+'[9]Set Up'!$O$15,IF(BX10&lt;'[9]Set Up'!$J$17,(BX10-'[9]Set Up'!$J$16)*'[9]Set Up'!$N$17+'[9]Set Up'!$O$15+'[9]Set Up'!$O$16,(BX10-'[9]Set Up'!$J$17)*'[9]Set Up'!$N$18 + SUM('[9]Set Up'!$O$15:'[9]Set Up'!$O$17)))))</f>
        <v>0</v>
      </c>
      <c r="BY14" s="30">
        <f>IF(BY10="","",IF(BY10&lt;'[9]Set Up'!$J$15,BY10*'[9]Set Up'!$N$15,IF(BY10&lt;'[9]Set Up'!$J$16,(BY10-'[9]Set Up'!$J$15)*'[9]Set Up'!$N$16+'[9]Set Up'!$O$15,IF(BY10&lt;'[9]Set Up'!$J$17,(BY10-'[9]Set Up'!$J$16)*'[9]Set Up'!$N$17+'[9]Set Up'!$O$15+'[9]Set Up'!$O$16,(BY10-'[9]Set Up'!$J$17)*'[9]Set Up'!$N$18 + SUM('[9]Set Up'!$O$15:'[9]Set Up'!$O$17)))))</f>
        <v>0</v>
      </c>
      <c r="BZ14" s="8"/>
    </row>
    <row r="15" spans="1:78" ht="15" thickBot="1" x14ac:dyDescent="0.4">
      <c r="A15" s="31"/>
      <c r="B15" s="32"/>
      <c r="C15" s="183" t="s">
        <v>23</v>
      </c>
      <c r="D15" s="184"/>
      <c r="E15" s="184"/>
      <c r="F15" s="184"/>
      <c r="G15" s="184"/>
      <c r="H15" s="184"/>
      <c r="I15" s="185"/>
      <c r="J15" s="32"/>
      <c r="K15" s="32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8"/>
    </row>
    <row r="16" spans="1:78" x14ac:dyDescent="0.35">
      <c r="A16" s="34" t="s">
        <v>24</v>
      </c>
      <c r="B16" s="35" t="s">
        <v>11</v>
      </c>
      <c r="C16" s="36">
        <v>43222</v>
      </c>
      <c r="D16" s="36">
        <v>43222</v>
      </c>
      <c r="E16" s="36">
        <v>43223</v>
      </c>
      <c r="F16" s="36">
        <v>43223</v>
      </c>
      <c r="G16" s="36">
        <v>43224</v>
      </c>
      <c r="H16" s="36">
        <v>43224</v>
      </c>
      <c r="I16" s="36">
        <v>43225</v>
      </c>
      <c r="J16" s="36">
        <v>43225</v>
      </c>
      <c r="K16" s="36">
        <v>43226</v>
      </c>
      <c r="L16" s="36">
        <v>43226</v>
      </c>
      <c r="M16" s="36">
        <v>43227</v>
      </c>
      <c r="N16" s="36">
        <v>43227</v>
      </c>
      <c r="O16" s="36">
        <v>43227</v>
      </c>
      <c r="P16" s="36">
        <v>43228</v>
      </c>
      <c r="Q16" s="36">
        <v>43228</v>
      </c>
      <c r="R16" s="36">
        <v>43228</v>
      </c>
      <c r="S16" s="36">
        <v>43229</v>
      </c>
      <c r="T16" s="36">
        <v>43229</v>
      </c>
      <c r="U16" s="36">
        <v>43229</v>
      </c>
      <c r="V16" s="36">
        <v>43230</v>
      </c>
      <c r="W16" s="36">
        <v>43230</v>
      </c>
      <c r="X16" s="36">
        <v>43231</v>
      </c>
      <c r="Y16" s="36">
        <v>43232</v>
      </c>
      <c r="Z16" s="36">
        <v>43232</v>
      </c>
      <c r="AA16" s="36">
        <v>43232</v>
      </c>
      <c r="AB16" s="36">
        <v>43233</v>
      </c>
      <c r="AC16" s="36">
        <v>43233</v>
      </c>
      <c r="AD16" s="36">
        <v>43233</v>
      </c>
      <c r="AE16" s="36">
        <v>43234</v>
      </c>
      <c r="AF16" s="36">
        <v>43234</v>
      </c>
      <c r="AG16" s="36">
        <v>43235</v>
      </c>
      <c r="AH16" s="36">
        <v>43235</v>
      </c>
      <c r="AI16" s="36">
        <v>43236</v>
      </c>
      <c r="AJ16" s="36">
        <v>43236</v>
      </c>
      <c r="AK16" s="36">
        <v>43236</v>
      </c>
      <c r="AL16" s="36">
        <v>43237</v>
      </c>
      <c r="AM16" s="36">
        <v>43237</v>
      </c>
      <c r="AN16" s="36">
        <v>43238</v>
      </c>
      <c r="AO16" s="36">
        <v>43238</v>
      </c>
      <c r="AP16" s="36">
        <v>43239</v>
      </c>
      <c r="AQ16" s="36">
        <v>43239</v>
      </c>
      <c r="AR16" s="36">
        <v>43239</v>
      </c>
      <c r="AS16" s="36">
        <v>43239</v>
      </c>
      <c r="AT16" s="36">
        <v>43240</v>
      </c>
      <c r="AU16" s="36">
        <v>43240</v>
      </c>
      <c r="AV16" s="36">
        <v>43241</v>
      </c>
      <c r="AW16" s="36">
        <v>43241</v>
      </c>
      <c r="AX16" s="36">
        <v>43242</v>
      </c>
      <c r="AY16" s="36">
        <v>43242</v>
      </c>
      <c r="AZ16" s="36">
        <v>43242</v>
      </c>
      <c r="BA16" s="36">
        <v>43243</v>
      </c>
      <c r="BB16" s="36">
        <v>43243</v>
      </c>
      <c r="BC16" s="36">
        <v>43243</v>
      </c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7"/>
    </row>
    <row r="17" spans="1:78" x14ac:dyDescent="0.35">
      <c r="A17" s="38" t="s">
        <v>25</v>
      </c>
      <c r="B17" s="39">
        <f>IF(C17="","",AVERAGE(C17:BY17))</f>
        <v>5365.8490566037735</v>
      </c>
      <c r="C17" s="40">
        <v>5130</v>
      </c>
      <c r="D17" s="40">
        <v>5500</v>
      </c>
      <c r="E17" s="41">
        <v>5330</v>
      </c>
      <c r="F17" s="41">
        <v>5370</v>
      </c>
      <c r="G17" s="41">
        <v>5210</v>
      </c>
      <c r="H17" s="41">
        <v>5630</v>
      </c>
      <c r="I17" s="41">
        <v>5550</v>
      </c>
      <c r="J17" s="41">
        <v>5400</v>
      </c>
      <c r="K17" s="41">
        <v>5510</v>
      </c>
      <c r="L17" s="41">
        <v>5560</v>
      </c>
      <c r="M17" s="41">
        <v>5590</v>
      </c>
      <c r="N17" s="41">
        <v>5390</v>
      </c>
      <c r="O17" s="41">
        <v>5600</v>
      </c>
      <c r="P17" s="41">
        <v>5320</v>
      </c>
      <c r="Q17" s="41">
        <v>5590</v>
      </c>
      <c r="R17" s="41">
        <v>5460</v>
      </c>
      <c r="S17" s="41">
        <v>5510</v>
      </c>
      <c r="T17" s="41">
        <v>5480</v>
      </c>
      <c r="U17" s="41">
        <v>5450</v>
      </c>
      <c r="V17" s="41">
        <v>5470</v>
      </c>
      <c r="W17" s="41">
        <v>5420</v>
      </c>
      <c r="X17" s="41">
        <v>5240</v>
      </c>
      <c r="Y17" s="41">
        <v>5230</v>
      </c>
      <c r="Z17" s="41">
        <v>5560</v>
      </c>
      <c r="AA17" s="41">
        <v>5500</v>
      </c>
      <c r="AB17" s="41">
        <v>5360</v>
      </c>
      <c r="AC17" s="41">
        <v>5450</v>
      </c>
      <c r="AD17" s="41">
        <v>5570</v>
      </c>
      <c r="AE17" s="41">
        <v>5400</v>
      </c>
      <c r="AF17" s="41">
        <v>5280</v>
      </c>
      <c r="AG17" s="41">
        <v>5220</v>
      </c>
      <c r="AH17" s="41">
        <v>5370</v>
      </c>
      <c r="AI17" s="41">
        <v>5390</v>
      </c>
      <c r="AJ17" s="41">
        <v>5440</v>
      </c>
      <c r="AK17" s="41">
        <v>5360</v>
      </c>
      <c r="AL17" s="41">
        <v>5340</v>
      </c>
      <c r="AM17" s="41">
        <v>5310</v>
      </c>
      <c r="AN17" s="41">
        <v>5390</v>
      </c>
      <c r="AO17" s="41">
        <v>5390</v>
      </c>
      <c r="AP17" s="41">
        <v>5190</v>
      </c>
      <c r="AQ17" s="41">
        <v>5360</v>
      </c>
      <c r="AR17" s="41">
        <v>5470</v>
      </c>
      <c r="AS17" s="41">
        <v>5110</v>
      </c>
      <c r="AT17" s="41">
        <v>5160</v>
      </c>
      <c r="AU17" s="41">
        <v>5370</v>
      </c>
      <c r="AV17" s="41">
        <v>5190</v>
      </c>
      <c r="AW17" s="41">
        <v>5290</v>
      </c>
      <c r="AX17" s="41">
        <v>5410</v>
      </c>
      <c r="AY17" s="41">
        <v>5110</v>
      </c>
      <c r="AZ17" s="41">
        <v>5190</v>
      </c>
      <c r="BA17" s="41">
        <v>5040</v>
      </c>
      <c r="BB17" s="41">
        <v>5040</v>
      </c>
      <c r="BC17" s="41">
        <v>5190</v>
      </c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2"/>
    </row>
    <row r="18" spans="1:78" ht="15" thickBot="1" x14ac:dyDescent="0.4">
      <c r="A18" s="43" t="s">
        <v>26</v>
      </c>
      <c r="B18" s="44">
        <f>IF(C18="","",AVERAGE(C18:BY18))</f>
        <v>8313.9622641509432</v>
      </c>
      <c r="C18" s="45">
        <v>9150</v>
      </c>
      <c r="D18" s="46">
        <v>7790</v>
      </c>
      <c r="E18" s="46">
        <v>8320</v>
      </c>
      <c r="F18" s="46">
        <v>7950</v>
      </c>
      <c r="G18" s="46">
        <v>7840</v>
      </c>
      <c r="H18" s="46">
        <v>7830</v>
      </c>
      <c r="I18" s="46">
        <v>8000</v>
      </c>
      <c r="J18" s="46">
        <v>7930</v>
      </c>
      <c r="K18" s="46">
        <v>8110</v>
      </c>
      <c r="L18" s="46">
        <v>8580</v>
      </c>
      <c r="M18" s="46">
        <v>8040</v>
      </c>
      <c r="N18" s="46">
        <v>8390</v>
      </c>
      <c r="O18" s="46">
        <v>8300</v>
      </c>
      <c r="P18" s="46">
        <v>8370</v>
      </c>
      <c r="Q18" s="46">
        <v>8240</v>
      </c>
      <c r="R18" s="46">
        <v>8210</v>
      </c>
      <c r="S18" s="46">
        <v>8450</v>
      </c>
      <c r="T18" s="46">
        <v>8440</v>
      </c>
      <c r="U18" s="46">
        <v>8460</v>
      </c>
      <c r="V18" s="46">
        <v>8050</v>
      </c>
      <c r="W18" s="46">
        <v>8640</v>
      </c>
      <c r="X18" s="46">
        <v>7990</v>
      </c>
      <c r="Y18" s="46">
        <v>8410</v>
      </c>
      <c r="Z18" s="46">
        <v>8030</v>
      </c>
      <c r="AA18" s="46">
        <v>8810</v>
      </c>
      <c r="AB18" s="46">
        <v>7880</v>
      </c>
      <c r="AC18" s="46">
        <v>9340</v>
      </c>
      <c r="AD18" s="46">
        <v>8740</v>
      </c>
      <c r="AE18" s="46">
        <v>8300</v>
      </c>
      <c r="AF18" s="46">
        <v>8300</v>
      </c>
      <c r="AG18" s="46">
        <v>6790</v>
      </c>
      <c r="AH18" s="46">
        <v>8090</v>
      </c>
      <c r="AI18" s="46">
        <v>8240</v>
      </c>
      <c r="AJ18" s="46">
        <v>7930</v>
      </c>
      <c r="AK18" s="46">
        <v>8010</v>
      </c>
      <c r="AL18" s="46">
        <v>8010</v>
      </c>
      <c r="AM18" s="46">
        <v>8320</v>
      </c>
      <c r="AN18" s="46">
        <v>8450</v>
      </c>
      <c r="AO18" s="46">
        <v>8300</v>
      </c>
      <c r="AP18" s="46">
        <v>8440</v>
      </c>
      <c r="AQ18" s="46">
        <v>8780</v>
      </c>
      <c r="AR18" s="46">
        <v>8260</v>
      </c>
      <c r="AS18" s="46">
        <v>8240</v>
      </c>
      <c r="AT18" s="46">
        <v>8640</v>
      </c>
      <c r="AU18" s="46">
        <v>8150</v>
      </c>
      <c r="AV18" s="46">
        <v>7280</v>
      </c>
      <c r="AW18" s="46">
        <v>8720</v>
      </c>
      <c r="AX18" s="46">
        <v>10090</v>
      </c>
      <c r="AY18" s="46">
        <v>9080</v>
      </c>
      <c r="AZ18" s="46">
        <v>8560</v>
      </c>
      <c r="BA18" s="46">
        <v>9110</v>
      </c>
      <c r="BB18" s="46">
        <v>7740</v>
      </c>
      <c r="BC18" s="46">
        <v>8520</v>
      </c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7"/>
    </row>
    <row r="19" spans="1:78" x14ac:dyDescent="0.35">
      <c r="A19" s="48" t="s">
        <v>27</v>
      </c>
      <c r="B19" s="49"/>
      <c r="C19" s="50">
        <v>0.38958333333333334</v>
      </c>
      <c r="D19" s="51">
        <v>0.77361111111111114</v>
      </c>
      <c r="E19" s="51">
        <v>0.11180555555555556</v>
      </c>
      <c r="F19" s="51">
        <v>0.47083333333333338</v>
      </c>
      <c r="G19" s="51">
        <v>0.11944444444444445</v>
      </c>
      <c r="H19" s="51">
        <v>0.66388888888888886</v>
      </c>
      <c r="I19" s="51">
        <v>0.14375000000000002</v>
      </c>
      <c r="J19" s="51">
        <v>0.83333333333333337</v>
      </c>
      <c r="K19" s="51">
        <v>0.3923611111111111</v>
      </c>
      <c r="L19" s="51">
        <v>0.73333333333333339</v>
      </c>
      <c r="M19" s="51">
        <v>3.0555555555555555E-2</v>
      </c>
      <c r="N19" s="51">
        <v>0.35694444444444445</v>
      </c>
      <c r="O19" s="51">
        <v>0.70208333333333339</v>
      </c>
      <c r="P19" s="51">
        <v>7.3611111111111113E-2</v>
      </c>
      <c r="Q19" s="51">
        <v>0.3972222222222222</v>
      </c>
      <c r="R19" s="51">
        <v>0.70347222222222217</v>
      </c>
      <c r="S19" s="51">
        <v>8.7500000000000008E-2</v>
      </c>
      <c r="T19" s="51">
        <v>0.42499999999999999</v>
      </c>
      <c r="U19" s="51">
        <v>0.82708333333333339</v>
      </c>
      <c r="V19" s="51">
        <v>0.18333333333333335</v>
      </c>
      <c r="W19" s="51">
        <v>0.85555555555555562</v>
      </c>
      <c r="X19" s="51">
        <v>0.96805555555555556</v>
      </c>
      <c r="Y19" s="51">
        <v>0.28541666666666665</v>
      </c>
      <c r="Z19" s="51">
        <v>0.55902777777777779</v>
      </c>
      <c r="AA19" s="51">
        <v>0.81319444444444444</v>
      </c>
      <c r="AB19" s="51">
        <v>7.7083333333333337E-2</v>
      </c>
      <c r="AC19" s="51">
        <v>0.36319444444444443</v>
      </c>
      <c r="AD19" s="51">
        <v>0.67847222222222225</v>
      </c>
      <c r="AE19" s="51">
        <v>0.11875000000000001</v>
      </c>
      <c r="AF19" s="51">
        <v>0.39444444444444443</v>
      </c>
      <c r="AG19" s="51">
        <v>9.375E-2</v>
      </c>
      <c r="AH19" s="51">
        <v>0.4284722222222222</v>
      </c>
      <c r="AI19" s="51">
        <v>0.31319444444444444</v>
      </c>
      <c r="AJ19" s="51">
        <v>0.55902777777777779</v>
      </c>
      <c r="AK19" s="51">
        <v>0.85</v>
      </c>
      <c r="AL19" s="51">
        <v>0.16250000000000001</v>
      </c>
      <c r="AM19" s="51">
        <v>0.87083333333333324</v>
      </c>
      <c r="AN19" s="51">
        <v>0.17847222222222223</v>
      </c>
      <c r="AO19" s="51">
        <v>0.51597222222222217</v>
      </c>
      <c r="AP19" s="51">
        <v>4.3750000000000004E-2</v>
      </c>
      <c r="AQ19" s="51">
        <v>0.29097222222222224</v>
      </c>
      <c r="AR19" s="51">
        <v>0.55902777777777779</v>
      </c>
      <c r="AS19" s="51">
        <v>0.86597222222222225</v>
      </c>
      <c r="AT19" s="51">
        <v>0.15069444444444444</v>
      </c>
      <c r="AU19" s="51">
        <v>0.54375000000000007</v>
      </c>
      <c r="AV19" s="51">
        <v>0.60972222222222217</v>
      </c>
      <c r="AW19" s="51">
        <v>0.84652777777777777</v>
      </c>
      <c r="AX19" s="51">
        <v>9.5138888888888884E-2</v>
      </c>
      <c r="AY19" s="51">
        <v>0.39097222222222222</v>
      </c>
      <c r="AZ19" s="51">
        <v>0.79305555555555562</v>
      </c>
      <c r="BA19" s="51">
        <v>0.22430555555555556</v>
      </c>
      <c r="BB19" s="51">
        <v>0.51111111111111118</v>
      </c>
      <c r="BC19" s="51">
        <v>0.82638888888888884</v>
      </c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2"/>
    </row>
    <row r="20" spans="1:78" x14ac:dyDescent="0.35">
      <c r="A20" s="53" t="s">
        <v>28</v>
      </c>
      <c r="B20" s="54"/>
      <c r="C20" s="55">
        <v>0.5395833333333333</v>
      </c>
      <c r="D20" s="54">
        <v>0.91041666666666676</v>
      </c>
      <c r="E20" s="54">
        <v>0.25277777777777777</v>
      </c>
      <c r="F20" s="54">
        <v>0.65694444444444444</v>
      </c>
      <c r="G20" s="54">
        <v>0.27777777777777779</v>
      </c>
      <c r="H20" s="54">
        <v>0.96875</v>
      </c>
      <c r="I20" s="54">
        <v>0.37986111111111115</v>
      </c>
      <c r="J20" s="54">
        <v>0.97083333333333333</v>
      </c>
      <c r="K20" s="54">
        <v>0.55694444444444446</v>
      </c>
      <c r="L20" s="54">
        <v>0.87916666666666676</v>
      </c>
      <c r="M20" s="54">
        <v>0.1763888888888889</v>
      </c>
      <c r="N20" s="54">
        <v>0.53541666666666665</v>
      </c>
      <c r="O20" s="54">
        <v>0.83819444444444446</v>
      </c>
      <c r="P20" s="54">
        <v>0.21597222222222223</v>
      </c>
      <c r="Q20" s="54">
        <v>0.55694444444444446</v>
      </c>
      <c r="R20" s="54">
        <v>0.88263888888888886</v>
      </c>
      <c r="S20" s="54">
        <v>0.25138888888888888</v>
      </c>
      <c r="T20" s="54">
        <v>0.57986111111111105</v>
      </c>
      <c r="U20" s="54">
        <v>0.99305555555555547</v>
      </c>
      <c r="V20" s="54">
        <v>0.3263888888888889</v>
      </c>
      <c r="W20" s="54">
        <v>0.1423611111111111</v>
      </c>
      <c r="X20" s="54">
        <v>0.10069444444444443</v>
      </c>
      <c r="Y20" s="54">
        <v>0.41875000000000001</v>
      </c>
      <c r="Z20" s="54">
        <v>0.69444444444444453</v>
      </c>
      <c r="AA20" s="54">
        <v>0.94444444444444453</v>
      </c>
      <c r="AB20" s="54">
        <v>0.20208333333333331</v>
      </c>
      <c r="AC20" s="54">
        <v>0.54305555555555551</v>
      </c>
      <c r="AD20" s="54">
        <v>0.9604166666666667</v>
      </c>
      <c r="AE20" s="54">
        <v>0.24861111111111112</v>
      </c>
      <c r="AF20" s="54">
        <v>0.52638888888888891</v>
      </c>
      <c r="AG20" s="54">
        <v>0.24583333333333335</v>
      </c>
      <c r="AH20" s="54">
        <v>0.12708333333333333</v>
      </c>
      <c r="AI20" s="54">
        <v>0.4465277777777778</v>
      </c>
      <c r="AJ20" s="54">
        <v>0.75277777777777777</v>
      </c>
      <c r="AK20" s="54">
        <v>1.8749999999999999E-2</v>
      </c>
      <c r="AL20" s="54">
        <v>0.29166666666666669</v>
      </c>
      <c r="AM20" s="54">
        <v>2.4305555555555556E-2</v>
      </c>
      <c r="AN20" s="54">
        <v>0.3430555555555555</v>
      </c>
      <c r="AO20" s="54">
        <v>0.72152777777777777</v>
      </c>
      <c r="AP20" s="54">
        <v>0.17152777777777775</v>
      </c>
      <c r="AQ20" s="54">
        <v>0.41736111111111113</v>
      </c>
      <c r="AR20" s="54">
        <v>0.68263888888888891</v>
      </c>
      <c r="AS20" s="54">
        <v>1.4583333333333332E-2</v>
      </c>
      <c r="AT20" s="54">
        <v>0.28263888888888888</v>
      </c>
      <c r="AU20" s="54">
        <v>0.87986111111111109</v>
      </c>
      <c r="AV20" s="54">
        <v>0.7416666666666667</v>
      </c>
      <c r="AW20" s="54">
        <v>0.97152777777777777</v>
      </c>
      <c r="AX20" s="54">
        <v>0.2388888888888889</v>
      </c>
      <c r="AY20" s="54">
        <v>0.52222222222222225</v>
      </c>
      <c r="AZ20" s="54">
        <v>0.91805555555555562</v>
      </c>
      <c r="BA20" s="54">
        <v>0.35833333333333334</v>
      </c>
      <c r="BB20" s="54">
        <v>0.63958333333333328</v>
      </c>
      <c r="BC20" s="54">
        <v>0.96527777777777779</v>
      </c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2"/>
    </row>
    <row r="21" spans="1:78" ht="15" thickBot="1" x14ac:dyDescent="0.4">
      <c r="A21" s="56" t="s">
        <v>29</v>
      </c>
      <c r="B21" s="57">
        <f t="shared" ref="B21:B30" si="0">IF(C21="","",AVERAGE(C21:BY21))</f>
        <v>0.17076781970649899</v>
      </c>
      <c r="C21" s="58">
        <v>0.14999999999999997</v>
      </c>
      <c r="D21" s="59">
        <v>0.13680555555555562</v>
      </c>
      <c r="E21" s="59">
        <v>0.14097222222222222</v>
      </c>
      <c r="F21" s="59">
        <v>0.18611111111111106</v>
      </c>
      <c r="G21" s="59">
        <v>0.15833333333333333</v>
      </c>
      <c r="H21" s="59">
        <v>0.30486111111111114</v>
      </c>
      <c r="I21" s="59">
        <v>0.23611111111111113</v>
      </c>
      <c r="J21" s="59">
        <v>0.13749999999999996</v>
      </c>
      <c r="K21" s="59">
        <v>0.16458333333333336</v>
      </c>
      <c r="L21" s="59">
        <v>0.14583333333333337</v>
      </c>
      <c r="M21" s="59">
        <v>0.14583333333333334</v>
      </c>
      <c r="N21" s="59">
        <v>0.1784722222222222</v>
      </c>
      <c r="O21" s="59">
        <v>0.13611111111111107</v>
      </c>
      <c r="P21" s="59">
        <v>0.1423611111111111</v>
      </c>
      <c r="Q21" s="59">
        <v>0.15972222222222227</v>
      </c>
      <c r="R21" s="59">
        <v>0.1791666666666667</v>
      </c>
      <c r="S21" s="59">
        <v>0.16388888888888886</v>
      </c>
      <c r="T21" s="59">
        <v>0.15486111111111106</v>
      </c>
      <c r="U21" s="59">
        <v>0.16597222222222208</v>
      </c>
      <c r="V21" s="59">
        <v>0.14305555555555555</v>
      </c>
      <c r="W21" s="59">
        <v>0.28680555555555554</v>
      </c>
      <c r="X21" s="59">
        <v>0.13263888888888886</v>
      </c>
      <c r="Y21" s="59">
        <v>0.13333333333333336</v>
      </c>
      <c r="Z21" s="59">
        <v>0.13541666666666674</v>
      </c>
      <c r="AA21" s="59">
        <v>0.13125000000000009</v>
      </c>
      <c r="AB21" s="59">
        <v>0.12499999999999997</v>
      </c>
      <c r="AC21" s="59">
        <v>0.17986111111111108</v>
      </c>
      <c r="AD21" s="59">
        <v>0.28194444444444444</v>
      </c>
      <c r="AE21" s="59">
        <v>0.12986111111111109</v>
      </c>
      <c r="AF21" s="59">
        <v>0.13194444444444448</v>
      </c>
      <c r="AG21" s="59">
        <v>0.15208333333333335</v>
      </c>
      <c r="AH21" s="59">
        <v>0.69861111111111107</v>
      </c>
      <c r="AI21" s="59">
        <v>0.13333333333333336</v>
      </c>
      <c r="AJ21" s="59">
        <v>0.19374999999999998</v>
      </c>
      <c r="AK21" s="59">
        <v>0.16875000000000007</v>
      </c>
      <c r="AL21" s="59">
        <v>0.12916666666666668</v>
      </c>
      <c r="AM21" s="59">
        <v>0.15347222222222234</v>
      </c>
      <c r="AN21" s="59">
        <v>0.16458333333333328</v>
      </c>
      <c r="AO21" s="59">
        <v>0.2055555555555556</v>
      </c>
      <c r="AP21" s="59">
        <v>0.12777777777777774</v>
      </c>
      <c r="AQ21" s="59">
        <v>0.12638888888888888</v>
      </c>
      <c r="AR21" s="59">
        <v>0.12361111111111112</v>
      </c>
      <c r="AS21" s="59">
        <v>0.14861111111111103</v>
      </c>
      <c r="AT21" s="59">
        <v>0.13194444444444445</v>
      </c>
      <c r="AU21" s="59">
        <v>0.33611111111111103</v>
      </c>
      <c r="AV21" s="59">
        <v>0.13194444444444453</v>
      </c>
      <c r="AW21" s="59">
        <v>0.125</v>
      </c>
      <c r="AX21" s="59">
        <v>0.14375000000000002</v>
      </c>
      <c r="AY21" s="59">
        <v>0.13125000000000003</v>
      </c>
      <c r="AZ21" s="59">
        <v>0.125</v>
      </c>
      <c r="BA21" s="59">
        <v>0.13402777777777777</v>
      </c>
      <c r="BB21" s="59">
        <v>0.1284722222222221</v>
      </c>
      <c r="BC21" s="59">
        <v>0.13888888888888895</v>
      </c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2"/>
    </row>
    <row r="22" spans="1:78" x14ac:dyDescent="0.35">
      <c r="A22" s="60" t="s">
        <v>30</v>
      </c>
      <c r="B22" s="61">
        <f t="shared" si="0"/>
        <v>64.623867924528298</v>
      </c>
      <c r="C22" s="62">
        <v>63.67</v>
      </c>
      <c r="D22" s="63">
        <v>68.319999999999993</v>
      </c>
      <c r="E22" s="63">
        <v>62.8</v>
      </c>
      <c r="F22" s="63">
        <v>56.4</v>
      </c>
      <c r="G22" s="63">
        <v>58.4</v>
      </c>
      <c r="H22" s="63">
        <v>60.634999999999998</v>
      </c>
      <c r="I22" s="63">
        <v>62.6</v>
      </c>
      <c r="J22" s="63">
        <v>60.88</v>
      </c>
      <c r="K22" s="63">
        <v>52.6</v>
      </c>
      <c r="L22" s="63">
        <v>60</v>
      </c>
      <c r="M22" s="63">
        <v>60.7</v>
      </c>
      <c r="N22" s="63">
        <v>61.2</v>
      </c>
      <c r="O22" s="63">
        <v>65.2</v>
      </c>
      <c r="P22" s="63">
        <v>63.4</v>
      </c>
      <c r="Q22" s="63">
        <v>57.2</v>
      </c>
      <c r="R22" s="63">
        <v>49.5</v>
      </c>
      <c r="S22" s="63">
        <v>60.16</v>
      </c>
      <c r="T22" s="63">
        <v>57.79</v>
      </c>
      <c r="U22" s="63">
        <v>55.6</v>
      </c>
      <c r="V22" s="63">
        <v>63.35</v>
      </c>
      <c r="W22" s="63">
        <v>64.5</v>
      </c>
      <c r="X22" s="63">
        <v>66</v>
      </c>
      <c r="Y22" s="63">
        <v>67.98</v>
      </c>
      <c r="Z22" s="63">
        <v>67.7</v>
      </c>
      <c r="AA22" s="63">
        <v>68.3</v>
      </c>
      <c r="AB22" s="63">
        <v>69.66</v>
      </c>
      <c r="AC22" s="63">
        <v>63.56</v>
      </c>
      <c r="AD22" s="63">
        <v>63.3</v>
      </c>
      <c r="AE22" s="63">
        <v>68.42</v>
      </c>
      <c r="AF22" s="63">
        <v>66.180000000000007</v>
      </c>
      <c r="AG22" s="63">
        <v>62.94</v>
      </c>
      <c r="AH22" s="63">
        <v>63.5</v>
      </c>
      <c r="AI22" s="63">
        <v>65.52</v>
      </c>
      <c r="AJ22" s="63">
        <v>70</v>
      </c>
      <c r="AK22" s="63">
        <v>70.099999999999994</v>
      </c>
      <c r="AL22" s="63">
        <v>67.06</v>
      </c>
      <c r="AM22" s="63">
        <v>67.7</v>
      </c>
      <c r="AN22" s="63">
        <v>69.69</v>
      </c>
      <c r="AO22" s="63">
        <v>66.599999999999994</v>
      </c>
      <c r="AP22" s="63">
        <v>70.040000000000006</v>
      </c>
      <c r="AQ22" s="63">
        <v>69.66</v>
      </c>
      <c r="AR22" s="63">
        <v>70.400000000000006</v>
      </c>
      <c r="AS22" s="63">
        <v>65.900000000000006</v>
      </c>
      <c r="AT22" s="63">
        <v>68.680000000000007</v>
      </c>
      <c r="AU22" s="63">
        <v>70.2</v>
      </c>
      <c r="AV22" s="63">
        <v>70.3</v>
      </c>
      <c r="AW22" s="63">
        <v>69.599999999999994</v>
      </c>
      <c r="AX22" s="63">
        <v>59.61</v>
      </c>
      <c r="AY22" s="63">
        <v>66.959999999999994</v>
      </c>
      <c r="AZ22" s="63">
        <v>70.099999999999994</v>
      </c>
      <c r="BA22" s="63">
        <v>65.3</v>
      </c>
      <c r="BB22" s="63">
        <v>68.900000000000006</v>
      </c>
      <c r="BC22" s="63">
        <v>70.3</v>
      </c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4"/>
    </row>
    <row r="23" spans="1:78" x14ac:dyDescent="0.35">
      <c r="A23" s="65" t="s">
        <v>31</v>
      </c>
      <c r="B23" s="66">
        <f t="shared" si="0"/>
        <v>11375.113207547171</v>
      </c>
      <c r="C23" s="67">
        <v>11792</v>
      </c>
      <c r="D23" s="68">
        <v>11837</v>
      </c>
      <c r="E23" s="68">
        <v>11975</v>
      </c>
      <c r="F23" s="68">
        <v>11992</v>
      </c>
      <c r="G23" s="68">
        <v>11465</v>
      </c>
      <c r="H23" s="68">
        <v>11752</v>
      </c>
      <c r="I23" s="68">
        <v>11735</v>
      </c>
      <c r="J23" s="68">
        <v>11859</v>
      </c>
      <c r="K23" s="68">
        <v>11307</v>
      </c>
      <c r="L23" s="68">
        <v>11704</v>
      </c>
      <c r="M23" s="68">
        <v>11666</v>
      </c>
      <c r="N23" s="68">
        <v>11748</v>
      </c>
      <c r="O23" s="68">
        <v>11661</v>
      </c>
      <c r="P23" s="68">
        <v>11699</v>
      </c>
      <c r="Q23" s="68">
        <v>11288</v>
      </c>
      <c r="R23" s="68">
        <v>11657</v>
      </c>
      <c r="S23" s="68">
        <v>11271</v>
      </c>
      <c r="T23" s="68">
        <v>11311</v>
      </c>
      <c r="U23" s="68">
        <v>11504</v>
      </c>
      <c r="V23" s="68">
        <v>11554</v>
      </c>
      <c r="W23" s="68">
        <v>11596</v>
      </c>
      <c r="X23" s="68">
        <v>11617</v>
      </c>
      <c r="Y23" s="68">
        <v>11774</v>
      </c>
      <c r="Z23" s="68">
        <v>11312</v>
      </c>
      <c r="AA23" s="68">
        <v>11636</v>
      </c>
      <c r="AB23" s="68">
        <v>11270</v>
      </c>
      <c r="AC23" s="68">
        <v>10650</v>
      </c>
      <c r="AD23" s="68">
        <v>11381</v>
      </c>
      <c r="AE23" s="68">
        <v>11618</v>
      </c>
      <c r="AF23" s="68">
        <v>11343</v>
      </c>
      <c r="AG23" s="68">
        <v>11312</v>
      </c>
      <c r="AH23" s="68">
        <v>11443</v>
      </c>
      <c r="AI23" s="68">
        <v>11028</v>
      </c>
      <c r="AJ23" s="68">
        <v>10952</v>
      </c>
      <c r="AK23" s="68">
        <v>11060</v>
      </c>
      <c r="AL23" s="68">
        <v>11354</v>
      </c>
      <c r="AM23" s="68">
        <v>11249</v>
      </c>
      <c r="AN23" s="68">
        <v>11522</v>
      </c>
      <c r="AO23" s="68">
        <v>11510</v>
      </c>
      <c r="AP23" s="68">
        <v>10956</v>
      </c>
      <c r="AQ23" s="68">
        <v>11034</v>
      </c>
      <c r="AR23" s="68">
        <v>11166</v>
      </c>
      <c r="AS23" s="68">
        <v>11569</v>
      </c>
      <c r="AT23" s="68">
        <v>10876</v>
      </c>
      <c r="AU23" s="68">
        <v>11270</v>
      </c>
      <c r="AV23" s="68">
        <v>11014</v>
      </c>
      <c r="AW23" s="68">
        <v>11093</v>
      </c>
      <c r="AX23" s="68">
        <v>10846</v>
      </c>
      <c r="AY23" s="68">
        <v>10806</v>
      </c>
      <c r="AZ23" s="68">
        <v>11184</v>
      </c>
      <c r="BA23" s="68">
        <v>10930</v>
      </c>
      <c r="BB23" s="68">
        <v>10853</v>
      </c>
      <c r="BC23" s="68">
        <v>10880</v>
      </c>
      <c r="BD23" s="68"/>
      <c r="BE23" s="68"/>
      <c r="BF23" s="68"/>
      <c r="BG23" s="68"/>
      <c r="BH23" s="68"/>
      <c r="BI23" s="68"/>
      <c r="BJ23" s="68"/>
      <c r="BK23" s="68"/>
      <c r="BL23" s="68"/>
      <c r="BM23" s="68"/>
      <c r="BN23" s="68"/>
      <c r="BO23" s="68"/>
      <c r="BP23" s="68"/>
      <c r="BQ23" s="68"/>
      <c r="BR23" s="68"/>
      <c r="BS23" s="68"/>
      <c r="BT23" s="68"/>
      <c r="BU23" s="68"/>
      <c r="BV23" s="68"/>
      <c r="BW23" s="68"/>
      <c r="BX23" s="68"/>
      <c r="BY23" s="68"/>
      <c r="BZ23" s="69"/>
    </row>
    <row r="24" spans="1:78" x14ac:dyDescent="0.35">
      <c r="A24" s="70" t="s">
        <v>32</v>
      </c>
      <c r="B24" s="71">
        <f t="shared" si="0"/>
        <v>69.385283018867895</v>
      </c>
      <c r="C24" s="72">
        <v>66.849999999999994</v>
      </c>
      <c r="D24" s="73">
        <v>70.489999999999995</v>
      </c>
      <c r="E24" s="73">
        <v>67.400000000000006</v>
      </c>
      <c r="F24" s="73">
        <v>67</v>
      </c>
      <c r="G24" s="73">
        <v>70.7</v>
      </c>
      <c r="H24" s="73">
        <v>67.489999999999995</v>
      </c>
      <c r="I24" s="73">
        <v>70.3</v>
      </c>
      <c r="J24" s="73">
        <v>64.11</v>
      </c>
      <c r="K24" s="73">
        <v>65.2</v>
      </c>
      <c r="L24" s="73">
        <v>65.900000000000006</v>
      </c>
      <c r="M24" s="73">
        <v>68</v>
      </c>
      <c r="N24" s="73">
        <v>66.099999999999994</v>
      </c>
      <c r="O24" s="73">
        <v>67</v>
      </c>
      <c r="P24" s="73">
        <v>67.900000000000006</v>
      </c>
      <c r="Q24" s="73">
        <v>68</v>
      </c>
      <c r="R24" s="73">
        <v>64</v>
      </c>
      <c r="S24" s="73">
        <v>66.760000000000005</v>
      </c>
      <c r="T24" s="73">
        <v>68.319999999999993</v>
      </c>
      <c r="U24" s="73">
        <v>68.3</v>
      </c>
      <c r="V24" s="73">
        <v>70.75</v>
      </c>
      <c r="W24" s="73">
        <v>70</v>
      </c>
      <c r="X24" s="73">
        <v>69.5</v>
      </c>
      <c r="Y24" s="73">
        <v>70.25</v>
      </c>
      <c r="Z24" s="73">
        <v>70.400000000000006</v>
      </c>
      <c r="AA24" s="73">
        <v>71.099999999999994</v>
      </c>
      <c r="AB24" s="73">
        <v>70.83</v>
      </c>
      <c r="AC24" s="73">
        <v>71.14</v>
      </c>
      <c r="AD24" s="73">
        <v>67.3</v>
      </c>
      <c r="AE24" s="73">
        <v>69.73</v>
      </c>
      <c r="AF24" s="73">
        <v>69.88</v>
      </c>
      <c r="AG24" s="73">
        <v>71.03</v>
      </c>
      <c r="AH24" s="73">
        <v>66.900000000000006</v>
      </c>
      <c r="AI24" s="73">
        <v>67.790000000000006</v>
      </c>
      <c r="AJ24" s="73">
        <v>71</v>
      </c>
      <c r="AK24" s="73">
        <v>71.2</v>
      </c>
      <c r="AL24" s="73">
        <v>71.34</v>
      </c>
      <c r="AM24" s="73">
        <v>71.099999999999994</v>
      </c>
      <c r="AN24" s="73">
        <v>70.930000000000007</v>
      </c>
      <c r="AO24" s="73">
        <v>70.7</v>
      </c>
      <c r="AP24" s="73">
        <v>71.12</v>
      </c>
      <c r="AQ24" s="73">
        <v>70.930000000000007</v>
      </c>
      <c r="AR24" s="73">
        <v>71.2</v>
      </c>
      <c r="AS24" s="73">
        <v>70.8</v>
      </c>
      <c r="AT24" s="73">
        <v>71.11</v>
      </c>
      <c r="AU24" s="73">
        <v>71.099999999999994</v>
      </c>
      <c r="AV24" s="73">
        <v>71.7</v>
      </c>
      <c r="AW24" s="73">
        <v>71.099999999999994</v>
      </c>
      <c r="AX24" s="73">
        <v>70.72</v>
      </c>
      <c r="AY24" s="73">
        <v>70.45</v>
      </c>
      <c r="AZ24" s="73">
        <v>71</v>
      </c>
      <c r="BA24" s="73">
        <v>70.599999999999994</v>
      </c>
      <c r="BB24" s="73">
        <v>72</v>
      </c>
      <c r="BC24" s="73">
        <v>70.900000000000006</v>
      </c>
      <c r="BD24" s="73"/>
      <c r="BE24" s="73"/>
      <c r="BF24" s="73"/>
      <c r="BG24" s="73"/>
      <c r="BH24" s="73"/>
      <c r="BI24" s="73"/>
      <c r="BJ24" s="73"/>
      <c r="BK24" s="73"/>
      <c r="BL24" s="73"/>
      <c r="BM24" s="73"/>
      <c r="BN24" s="73"/>
      <c r="BO24" s="73"/>
      <c r="BP24" s="73"/>
      <c r="BQ24" s="73"/>
      <c r="BR24" s="73"/>
      <c r="BS24" s="73"/>
      <c r="BT24" s="73"/>
      <c r="BU24" s="73"/>
      <c r="BV24" s="73"/>
      <c r="BW24" s="73"/>
      <c r="BX24" s="73"/>
      <c r="BY24" s="73"/>
      <c r="BZ24" s="64"/>
    </row>
    <row r="25" spans="1:78" ht="15" thickBot="1" x14ac:dyDescent="0.4">
      <c r="A25" s="74" t="s">
        <v>33</v>
      </c>
      <c r="B25" s="75">
        <f t="shared" si="0"/>
        <v>12033.584905660377</v>
      </c>
      <c r="C25" s="76">
        <v>12060</v>
      </c>
      <c r="D25" s="77">
        <v>12150</v>
      </c>
      <c r="E25" s="77">
        <v>12310</v>
      </c>
      <c r="F25" s="77">
        <v>12510</v>
      </c>
      <c r="G25" s="77">
        <v>12880</v>
      </c>
      <c r="H25" s="77">
        <v>12250</v>
      </c>
      <c r="I25" s="77">
        <v>12430</v>
      </c>
      <c r="J25" s="77">
        <v>12140</v>
      </c>
      <c r="K25" s="77">
        <v>12060</v>
      </c>
      <c r="L25" s="77">
        <v>11950</v>
      </c>
      <c r="M25" s="77">
        <v>12010</v>
      </c>
      <c r="N25" s="77">
        <v>11950</v>
      </c>
      <c r="O25" s="77">
        <v>11840</v>
      </c>
      <c r="P25" s="77">
        <v>12140</v>
      </c>
      <c r="Q25" s="77">
        <v>12170</v>
      </c>
      <c r="R25" s="77">
        <v>12040</v>
      </c>
      <c r="S25" s="77">
        <v>12240</v>
      </c>
      <c r="T25" s="77">
        <v>11860</v>
      </c>
      <c r="U25" s="77">
        <v>12060</v>
      </c>
      <c r="V25" s="77">
        <v>11990</v>
      </c>
      <c r="W25" s="77">
        <v>12000</v>
      </c>
      <c r="X25" s="77">
        <v>11800</v>
      </c>
      <c r="Y25" s="77">
        <v>11980</v>
      </c>
      <c r="Z25" s="77">
        <v>12130</v>
      </c>
      <c r="AA25" s="77">
        <v>11870</v>
      </c>
      <c r="AB25" s="77">
        <v>11680</v>
      </c>
      <c r="AC25" s="77">
        <v>12130</v>
      </c>
      <c r="AD25" s="77">
        <v>11870</v>
      </c>
      <c r="AE25" s="77">
        <v>11970</v>
      </c>
      <c r="AF25" s="77">
        <v>12120</v>
      </c>
      <c r="AG25" s="77">
        <v>12250</v>
      </c>
      <c r="AH25" s="77">
        <v>12010</v>
      </c>
      <c r="AI25" s="77">
        <v>12020</v>
      </c>
      <c r="AJ25" s="77">
        <v>11680</v>
      </c>
      <c r="AK25" s="77">
        <v>11450</v>
      </c>
      <c r="AL25" s="77">
        <v>12010</v>
      </c>
      <c r="AM25" s="77">
        <v>11910</v>
      </c>
      <c r="AN25" s="77">
        <v>11810</v>
      </c>
      <c r="AO25" s="77">
        <v>12140</v>
      </c>
      <c r="AP25" s="77">
        <v>11680</v>
      </c>
      <c r="AQ25" s="77">
        <v>11990</v>
      </c>
      <c r="AR25" s="77">
        <v>12030</v>
      </c>
      <c r="AS25" s="77">
        <v>11870</v>
      </c>
      <c r="AT25" s="77">
        <v>12060</v>
      </c>
      <c r="AU25" s="77">
        <v>11950</v>
      </c>
      <c r="AV25" s="77">
        <v>12300</v>
      </c>
      <c r="AW25" s="77">
        <v>11830</v>
      </c>
      <c r="AX25" s="77">
        <v>12250</v>
      </c>
      <c r="AY25" s="77">
        <v>11910</v>
      </c>
      <c r="AZ25" s="77">
        <v>11890</v>
      </c>
      <c r="BA25" s="77">
        <v>12050</v>
      </c>
      <c r="BB25" s="77">
        <v>12080</v>
      </c>
      <c r="BC25" s="77">
        <v>12020</v>
      </c>
      <c r="BD25" s="77"/>
      <c r="BE25" s="77"/>
      <c r="BF25" s="77"/>
      <c r="BG25" s="77"/>
      <c r="BH25" s="77"/>
      <c r="BI25" s="77"/>
      <c r="BJ25" s="77"/>
      <c r="BK25" s="77"/>
      <c r="BL25" s="77"/>
      <c r="BM25" s="77"/>
      <c r="BN25" s="77"/>
      <c r="BO25" s="77"/>
      <c r="BP25" s="77"/>
      <c r="BQ25" s="77"/>
      <c r="BR25" s="77"/>
      <c r="BS25" s="77"/>
      <c r="BT25" s="77"/>
      <c r="BU25" s="77"/>
      <c r="BV25" s="77"/>
      <c r="BW25" s="77"/>
      <c r="BX25" s="77"/>
      <c r="BY25" s="77"/>
      <c r="BZ25" s="64"/>
    </row>
    <row r="26" spans="1:78" x14ac:dyDescent="0.35">
      <c r="A26" s="78" t="s">
        <v>34</v>
      </c>
      <c r="B26" s="79">
        <f t="shared" si="0"/>
        <v>6229.8490566037735</v>
      </c>
      <c r="C26" s="80">
        <v>5750</v>
      </c>
      <c r="D26" s="81">
        <v>5880</v>
      </c>
      <c r="E26" s="81">
        <v>6235</v>
      </c>
      <c r="F26" s="81">
        <v>6180</v>
      </c>
      <c r="G26" s="81">
        <v>6545</v>
      </c>
      <c r="H26" s="81">
        <v>6340</v>
      </c>
      <c r="I26" s="81">
        <v>6820</v>
      </c>
      <c r="J26" s="81">
        <v>7210</v>
      </c>
      <c r="K26" s="81">
        <v>6260</v>
      </c>
      <c r="L26" s="81">
        <v>6250</v>
      </c>
      <c r="M26" s="81">
        <v>6060</v>
      </c>
      <c r="N26" s="81">
        <v>6142</v>
      </c>
      <c r="O26" s="81">
        <v>6520</v>
      </c>
      <c r="P26" s="81">
        <v>6540</v>
      </c>
      <c r="Q26" s="81">
        <v>5840</v>
      </c>
      <c r="R26" s="81">
        <v>6220</v>
      </c>
      <c r="S26" s="81">
        <v>6330</v>
      </c>
      <c r="T26" s="81">
        <v>6350</v>
      </c>
      <c r="U26" s="81">
        <v>5930</v>
      </c>
      <c r="V26" s="81">
        <v>6130</v>
      </c>
      <c r="W26" s="81">
        <v>6180</v>
      </c>
      <c r="X26" s="81">
        <v>5820</v>
      </c>
      <c r="Y26" s="81">
        <v>6140</v>
      </c>
      <c r="Z26" s="81">
        <v>6210</v>
      </c>
      <c r="AA26" s="81">
        <v>6080</v>
      </c>
      <c r="AB26" s="81">
        <v>5980</v>
      </c>
      <c r="AC26" s="81">
        <v>6390</v>
      </c>
      <c r="AD26" s="81">
        <v>6300</v>
      </c>
      <c r="AE26" s="81">
        <v>6390</v>
      </c>
      <c r="AF26" s="81">
        <v>5950</v>
      </c>
      <c r="AG26" s="81">
        <v>6060</v>
      </c>
      <c r="AH26" s="81">
        <v>6640</v>
      </c>
      <c r="AI26" s="81">
        <v>6360</v>
      </c>
      <c r="AJ26" s="81">
        <v>6120</v>
      </c>
      <c r="AK26" s="81">
        <v>6380</v>
      </c>
      <c r="AL26" s="81">
        <v>6250</v>
      </c>
      <c r="AM26" s="81">
        <v>6430</v>
      </c>
      <c r="AN26" s="81">
        <v>6190</v>
      </c>
      <c r="AO26" s="81">
        <v>6140</v>
      </c>
      <c r="AP26" s="81">
        <v>6160</v>
      </c>
      <c r="AQ26" s="81">
        <v>6540</v>
      </c>
      <c r="AR26" s="81">
        <v>6070</v>
      </c>
      <c r="AS26" s="81">
        <v>5930</v>
      </c>
      <c r="AT26" s="81">
        <v>5840</v>
      </c>
      <c r="AU26" s="81">
        <v>6280</v>
      </c>
      <c r="AV26" s="81">
        <v>6330</v>
      </c>
      <c r="AW26" s="81">
        <v>6230</v>
      </c>
      <c r="AX26" s="81">
        <v>6390</v>
      </c>
      <c r="AY26" s="81">
        <v>5800</v>
      </c>
      <c r="AZ26" s="81">
        <v>6250</v>
      </c>
      <c r="BA26" s="81">
        <v>6620</v>
      </c>
      <c r="BB26" s="81">
        <v>5730</v>
      </c>
      <c r="BC26" s="81">
        <v>6470</v>
      </c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64"/>
    </row>
    <row r="27" spans="1:78" x14ac:dyDescent="0.35">
      <c r="A27" s="82" t="s">
        <v>35</v>
      </c>
      <c r="B27" s="83">
        <f t="shared" si="0"/>
        <v>0.92771506315738883</v>
      </c>
      <c r="C27" s="84">
        <v>0.88727377382719952</v>
      </c>
      <c r="D27" s="84">
        <v>0.89757739239396572</v>
      </c>
      <c r="E27" s="84">
        <v>0.92612241435800124</v>
      </c>
      <c r="F27" s="84">
        <v>0.92208315063291124</v>
      </c>
      <c r="G27" s="84">
        <v>0.95182143457484736</v>
      </c>
      <c r="H27" s="84">
        <v>0.93553627908082404</v>
      </c>
      <c r="I27" s="84">
        <v>0.97310051398147424</v>
      </c>
      <c r="J27" s="84">
        <v>1.0037962191135734</v>
      </c>
      <c r="K27" s="84">
        <v>0.9286082491887615</v>
      </c>
      <c r="L27" s="84">
        <v>0.92777765017410563</v>
      </c>
      <c r="M27" s="84">
        <v>0.91239990664294179</v>
      </c>
      <c r="N27" s="84">
        <v>0.91915371940180413</v>
      </c>
      <c r="O27" s="84">
        <v>0.94967656811376067</v>
      </c>
      <c r="P27" s="84">
        <v>0.95130202505149741</v>
      </c>
      <c r="Q27" s="84">
        <v>0.89595329922339317</v>
      </c>
      <c r="R27" s="84">
        <v>0.92610568424472972</v>
      </c>
      <c r="S27" s="84">
        <v>0.93478363443220536</v>
      </c>
      <c r="T27" s="84">
        <v>0.93624894313104101</v>
      </c>
      <c r="U27" s="84">
        <v>0.90319714692454023</v>
      </c>
      <c r="V27" s="84">
        <v>0.9195898252817013</v>
      </c>
      <c r="W27" s="84">
        <v>0.92363529047619042</v>
      </c>
      <c r="X27" s="84">
        <v>0.89491727200888604</v>
      </c>
      <c r="Y27" s="84">
        <v>0.92030603748016504</v>
      </c>
      <c r="Z27" s="84">
        <v>0.92582074220547395</v>
      </c>
      <c r="AA27" s="84">
        <v>0.91554564395430016</v>
      </c>
      <c r="AB27" s="84">
        <v>0.90757401471638233</v>
      </c>
      <c r="AC27" s="84">
        <v>0.94002036754977403</v>
      </c>
      <c r="AD27" s="84">
        <v>0.93260416104328525</v>
      </c>
      <c r="AE27" s="84">
        <v>0.93977925380956151</v>
      </c>
      <c r="AF27" s="84">
        <v>0.90511912220988344</v>
      </c>
      <c r="AG27" s="84">
        <v>0.91384443354485612</v>
      </c>
      <c r="AH27" s="84">
        <v>0.96005959198539914</v>
      </c>
      <c r="AI27" s="84">
        <v>0.93796106841019133</v>
      </c>
      <c r="AJ27" s="84">
        <v>0.91902762969196572</v>
      </c>
      <c r="AK27" s="84">
        <v>0.9398300021601016</v>
      </c>
      <c r="AL27" s="84">
        <v>0.92966370756275818</v>
      </c>
      <c r="AM27" s="84">
        <v>0.94428787583465812</v>
      </c>
      <c r="AN27" s="84">
        <v>0.92540562087475153</v>
      </c>
      <c r="AO27" s="84">
        <v>0.92170142972628899</v>
      </c>
      <c r="AP27" s="84">
        <v>0.92348784313460164</v>
      </c>
      <c r="AQ27" s="84">
        <v>0.95385973694267523</v>
      </c>
      <c r="AR27" s="84">
        <v>0.91686298078731376</v>
      </c>
      <c r="AS27" s="84">
        <v>0.90581970895903074</v>
      </c>
      <c r="AT27" s="84">
        <v>0.89864610781125454</v>
      </c>
      <c r="AU27" s="84">
        <v>0.93311929425204987</v>
      </c>
      <c r="AV27" s="84">
        <v>0.93718012078190938</v>
      </c>
      <c r="AW27" s="84">
        <v>0.9294152733312091</v>
      </c>
      <c r="AX27" s="84">
        <v>0.9426066005979431</v>
      </c>
      <c r="AY27" s="84">
        <v>0.89567903620414679</v>
      </c>
      <c r="AZ27" s="84">
        <v>0.93164370679534203</v>
      </c>
      <c r="BA27" s="84">
        <v>0.96144894119383928</v>
      </c>
      <c r="BB27" s="84">
        <v>0.89031563422690274</v>
      </c>
      <c r="BC27" s="84">
        <v>0.94960226730523634</v>
      </c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84"/>
      <c r="BS27" s="84"/>
      <c r="BT27" s="84"/>
      <c r="BU27" s="84"/>
      <c r="BV27" s="84"/>
      <c r="BW27" s="84"/>
      <c r="BX27" s="84"/>
      <c r="BY27" s="84"/>
      <c r="BZ27" s="64"/>
    </row>
    <row r="28" spans="1:78" x14ac:dyDescent="0.35">
      <c r="A28" s="85" t="s">
        <v>36</v>
      </c>
      <c r="B28" s="86">
        <f t="shared" si="0"/>
        <v>55</v>
      </c>
      <c r="C28" s="87">
        <v>55</v>
      </c>
      <c r="D28" s="88">
        <v>55</v>
      </c>
      <c r="E28" s="88">
        <v>55</v>
      </c>
      <c r="F28" s="88">
        <v>55</v>
      </c>
      <c r="G28" s="88">
        <v>55</v>
      </c>
      <c r="H28" s="88">
        <v>55</v>
      </c>
      <c r="I28" s="88">
        <v>55</v>
      </c>
      <c r="J28" s="88">
        <v>55</v>
      </c>
      <c r="K28" s="88">
        <v>55</v>
      </c>
      <c r="L28" s="88">
        <v>55</v>
      </c>
      <c r="M28" s="88">
        <v>55</v>
      </c>
      <c r="N28" s="88">
        <v>55</v>
      </c>
      <c r="O28" s="88">
        <v>55</v>
      </c>
      <c r="P28" s="88">
        <v>55</v>
      </c>
      <c r="Q28" s="88">
        <v>55</v>
      </c>
      <c r="R28" s="88">
        <v>55</v>
      </c>
      <c r="S28" s="88">
        <v>55</v>
      </c>
      <c r="T28" s="88">
        <v>55</v>
      </c>
      <c r="U28" s="88">
        <v>55</v>
      </c>
      <c r="V28" s="88">
        <v>55</v>
      </c>
      <c r="W28" s="88">
        <v>55</v>
      </c>
      <c r="X28" s="88">
        <v>55</v>
      </c>
      <c r="Y28" s="88">
        <v>55</v>
      </c>
      <c r="Z28" s="88">
        <v>55</v>
      </c>
      <c r="AA28" s="88">
        <v>55</v>
      </c>
      <c r="AB28" s="88">
        <v>55</v>
      </c>
      <c r="AC28" s="88">
        <v>55</v>
      </c>
      <c r="AD28" s="88">
        <v>55</v>
      </c>
      <c r="AE28" s="88">
        <v>55</v>
      </c>
      <c r="AF28" s="88">
        <v>55</v>
      </c>
      <c r="AG28" s="88">
        <v>55</v>
      </c>
      <c r="AH28" s="88">
        <v>55</v>
      </c>
      <c r="AI28" s="88">
        <v>55</v>
      </c>
      <c r="AJ28" s="88">
        <v>55</v>
      </c>
      <c r="AK28" s="88">
        <v>55</v>
      </c>
      <c r="AL28" s="88">
        <v>55</v>
      </c>
      <c r="AM28" s="88">
        <v>55</v>
      </c>
      <c r="AN28" s="88">
        <v>55</v>
      </c>
      <c r="AO28" s="88">
        <v>55</v>
      </c>
      <c r="AP28" s="88">
        <v>55</v>
      </c>
      <c r="AQ28" s="88">
        <v>55</v>
      </c>
      <c r="AR28" s="88">
        <v>55</v>
      </c>
      <c r="AS28" s="88">
        <v>55</v>
      </c>
      <c r="AT28" s="88">
        <v>55</v>
      </c>
      <c r="AU28" s="88">
        <v>55</v>
      </c>
      <c r="AV28" s="88">
        <v>55</v>
      </c>
      <c r="AW28" s="88">
        <v>55</v>
      </c>
      <c r="AX28" s="88">
        <v>55</v>
      </c>
      <c r="AY28" s="88">
        <v>55</v>
      </c>
      <c r="AZ28" s="88">
        <v>55</v>
      </c>
      <c r="BA28" s="88">
        <v>55</v>
      </c>
      <c r="BB28" s="88">
        <v>55</v>
      </c>
      <c r="BC28" s="88">
        <v>55</v>
      </c>
      <c r="BD28" s="88"/>
      <c r="BE28" s="88"/>
      <c r="BF28" s="88"/>
      <c r="BG28" s="88"/>
      <c r="BH28" s="88"/>
      <c r="BI28" s="88"/>
      <c r="BJ28" s="88"/>
      <c r="BK28" s="88"/>
      <c r="BL28" s="88"/>
      <c r="BM28" s="88"/>
      <c r="BN28" s="88"/>
      <c r="BO28" s="88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64"/>
    </row>
    <row r="29" spans="1:78" x14ac:dyDescent="0.35">
      <c r="A29" s="89" t="s">
        <v>37</v>
      </c>
      <c r="B29" s="90">
        <f t="shared" si="0"/>
        <v>18001.90128098409</v>
      </c>
      <c r="C29" s="91">
        <v>18401.878431372552</v>
      </c>
      <c r="D29" s="92">
        <v>19821.172549019608</v>
      </c>
      <c r="E29" s="92">
        <v>18432.107843137255</v>
      </c>
      <c r="F29" s="92">
        <v>16577.176470588234</v>
      </c>
      <c r="G29" s="92">
        <v>16410.686274509804</v>
      </c>
      <c r="H29" s="92">
        <v>17465.257843137257</v>
      </c>
      <c r="I29" s="92">
        <v>18005.171568627451</v>
      </c>
      <c r="J29" s="92">
        <v>17695.48823529412</v>
      </c>
      <c r="K29" s="92">
        <v>14577.161764705885</v>
      </c>
      <c r="L29" s="92">
        <v>17211.764705882353</v>
      </c>
      <c r="M29" s="92">
        <v>17356.034313725493</v>
      </c>
      <c r="N29" s="92">
        <v>17622</v>
      </c>
      <c r="O29" s="92">
        <v>18634.73529411765</v>
      </c>
      <c r="P29" s="92">
        <v>18179.328431372549</v>
      </c>
      <c r="Q29" s="92">
        <v>15825.333333333334</v>
      </c>
      <c r="R29" s="92">
        <v>14142.683823529413</v>
      </c>
      <c r="S29" s="92">
        <v>16619.2</v>
      </c>
      <c r="T29" s="92">
        <v>16021.144362745097</v>
      </c>
      <c r="U29" s="92">
        <v>15677.019607843138</v>
      </c>
      <c r="V29" s="92">
        <v>17939.850490196081</v>
      </c>
      <c r="W29" s="92">
        <v>18331.911764705885</v>
      </c>
      <c r="X29" s="92">
        <v>18792.205882352944</v>
      </c>
      <c r="Y29" s="92">
        <v>19617.561764705883</v>
      </c>
      <c r="Z29" s="92">
        <v>18770.156862745102</v>
      </c>
      <c r="AA29" s="92">
        <v>19478.892156862745</v>
      </c>
      <c r="AB29" s="92">
        <v>19241.867647058825</v>
      </c>
      <c r="AC29" s="92">
        <v>16591.029411764706</v>
      </c>
      <c r="AD29" s="92">
        <v>17657.286764705881</v>
      </c>
      <c r="AE29" s="92">
        <v>19482.930392156864</v>
      </c>
      <c r="AF29" s="92">
        <v>18399.013235294122</v>
      </c>
      <c r="AG29" s="92">
        <v>17450.423529411768</v>
      </c>
      <c r="AH29" s="92">
        <v>17809.571078431374</v>
      </c>
      <c r="AI29" s="92">
        <v>17709.670588235294</v>
      </c>
      <c r="AJ29" s="92">
        <v>18790.196078431374</v>
      </c>
      <c r="AK29" s="92">
        <v>19002.598039215685</v>
      </c>
      <c r="AL29" s="92">
        <v>18661.746078431373</v>
      </c>
      <c r="AM29" s="92">
        <v>18665.620098039217</v>
      </c>
      <c r="AN29" s="92">
        <v>19680.592647058824</v>
      </c>
      <c r="AO29" s="92">
        <v>18788.382352941175</v>
      </c>
      <c r="AP29" s="92">
        <v>18807.800000000003</v>
      </c>
      <c r="AQ29" s="92">
        <v>18838.932352941178</v>
      </c>
      <c r="AR29" s="92">
        <v>19266.823529411766</v>
      </c>
      <c r="AS29" s="92">
        <v>18686.203431372553</v>
      </c>
      <c r="AT29" s="92">
        <v>18307.933333333334</v>
      </c>
      <c r="AU29" s="92">
        <v>19391.029411764706</v>
      </c>
      <c r="AV29" s="92">
        <v>18977.553921568629</v>
      </c>
      <c r="AW29" s="92">
        <v>18923.352941176468</v>
      </c>
      <c r="AX29" s="92">
        <v>15846.324999999999</v>
      </c>
      <c r="AY29" s="92">
        <v>17734.552941176469</v>
      </c>
      <c r="AZ29" s="92">
        <v>19215.647058823528</v>
      </c>
      <c r="BA29" s="92">
        <v>17493.357843137255</v>
      </c>
      <c r="BB29" s="92">
        <v>18327.737745098042</v>
      </c>
      <c r="BC29" s="92">
        <v>18746.666666666668</v>
      </c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64"/>
    </row>
    <row r="30" spans="1:78" ht="15" thickBot="1" x14ac:dyDescent="0.4">
      <c r="A30" s="93" t="s">
        <v>38</v>
      </c>
      <c r="B30" s="94" t="str">
        <f t="shared" si="0"/>
        <v/>
      </c>
      <c r="C30" s="95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7"/>
      <c r="BB30" s="97"/>
      <c r="BC30" s="97"/>
      <c r="BD30" s="97"/>
      <c r="BE30" s="97"/>
      <c r="BF30" s="97"/>
      <c r="BG30" s="97"/>
      <c r="BH30" s="97"/>
      <c r="BI30" s="97"/>
      <c r="BJ30" s="97"/>
      <c r="BK30" s="97"/>
      <c r="BL30" s="97"/>
      <c r="BM30" s="97"/>
      <c r="BN30" s="97"/>
      <c r="BO30" s="97"/>
      <c r="BP30" s="97"/>
      <c r="BQ30" s="97"/>
      <c r="BR30" s="97"/>
      <c r="BS30" s="97"/>
      <c r="BT30" s="97"/>
      <c r="BU30" s="97"/>
      <c r="BV30" s="97"/>
      <c r="BW30" s="97"/>
      <c r="BX30" s="97"/>
      <c r="BY30" s="97"/>
      <c r="BZ30" s="98"/>
    </row>
    <row r="31" spans="1:78" x14ac:dyDescent="0.35">
      <c r="A31" s="104" t="str">
        <f>IF('[9]Set Up'!E41=0,"",'[9]Set Up'!E41&amp;", bbl")</f>
        <v>15% HCl Acid, bbl</v>
      </c>
      <c r="B31" s="100">
        <f>IF(BZ31=0,"",AVERAGE(C31:BY31))</f>
        <v>28.638814016172525</v>
      </c>
      <c r="C31" s="101">
        <v>28.571428571428573</v>
      </c>
      <c r="D31" s="102">
        <v>28.571428571428573</v>
      </c>
      <c r="E31" s="102">
        <v>28.571428571428573</v>
      </c>
      <c r="F31" s="102">
        <v>28.571428571428573</v>
      </c>
      <c r="G31" s="102">
        <v>28.571428571428573</v>
      </c>
      <c r="H31" s="102">
        <v>28.571428571428573</v>
      </c>
      <c r="I31" s="102">
        <v>28.571428571428573</v>
      </c>
      <c r="J31" s="102">
        <v>28.571428571428573</v>
      </c>
      <c r="K31" s="102">
        <v>28.571428571428573</v>
      </c>
      <c r="L31" s="102">
        <v>28.571428571428573</v>
      </c>
      <c r="M31" s="102">
        <v>28.571428571428573</v>
      </c>
      <c r="N31" s="102">
        <v>28.571428571428573</v>
      </c>
      <c r="O31" s="102">
        <v>28.571428571428573</v>
      </c>
      <c r="P31" s="102">
        <v>28.571428571428573</v>
      </c>
      <c r="Q31" s="102">
        <v>28.571428571428573</v>
      </c>
      <c r="R31" s="102">
        <v>28.571428571428573</v>
      </c>
      <c r="S31" s="102">
        <v>28.571428571428573</v>
      </c>
      <c r="T31" s="102">
        <v>28.571428571428573</v>
      </c>
      <c r="U31" s="102">
        <v>28.571428571428573</v>
      </c>
      <c r="V31" s="102">
        <v>28.571428571428573</v>
      </c>
      <c r="W31" s="102">
        <v>28.571428571428573</v>
      </c>
      <c r="X31" s="102">
        <v>28.571428571428573</v>
      </c>
      <c r="Y31" s="102">
        <v>28.571428571428573</v>
      </c>
      <c r="Z31" s="102">
        <v>28.571428571428573</v>
      </c>
      <c r="AA31" s="102">
        <v>28.571428571428573</v>
      </c>
      <c r="AB31" s="102">
        <v>28.571428571428573</v>
      </c>
      <c r="AC31" s="102">
        <v>28.571428571428573</v>
      </c>
      <c r="AD31" s="102">
        <v>28.571428571428573</v>
      </c>
      <c r="AE31" s="102">
        <v>28.571428571428573</v>
      </c>
      <c r="AF31" s="102">
        <v>28.571428571428573</v>
      </c>
      <c r="AG31" s="102">
        <v>28.571428571428573</v>
      </c>
      <c r="AH31" s="102">
        <v>28.571428571428573</v>
      </c>
      <c r="AI31" s="102">
        <v>28.571428571428573</v>
      </c>
      <c r="AJ31" s="102">
        <v>28.571428571428573</v>
      </c>
      <c r="AK31" s="102">
        <v>28.571428571428573</v>
      </c>
      <c r="AL31" s="102">
        <v>28.571428571428573</v>
      </c>
      <c r="AM31" s="102">
        <v>28.571428571428573</v>
      </c>
      <c r="AN31" s="102">
        <v>28.571428571428573</v>
      </c>
      <c r="AO31" s="102">
        <v>28.571428571428573</v>
      </c>
      <c r="AP31" s="102">
        <v>28.571428571428573</v>
      </c>
      <c r="AQ31" s="102">
        <v>28.571428571428573</v>
      </c>
      <c r="AR31" s="102">
        <v>28.571428571428573</v>
      </c>
      <c r="AS31" s="102">
        <v>28.571428571428573</v>
      </c>
      <c r="AT31" s="102">
        <v>28.571428571428573</v>
      </c>
      <c r="AU31" s="102">
        <v>28.571428571428573</v>
      </c>
      <c r="AV31" s="102">
        <v>28.571428571428573</v>
      </c>
      <c r="AW31" s="102">
        <v>28.571428571428573</v>
      </c>
      <c r="AX31" s="102">
        <v>28.571428571428573</v>
      </c>
      <c r="AY31" s="102">
        <v>29.904761904761905</v>
      </c>
      <c r="AZ31" s="102">
        <v>28.571428571428573</v>
      </c>
      <c r="BA31" s="101">
        <v>28.333333333333332</v>
      </c>
      <c r="BB31" s="101">
        <v>29.523809523809526</v>
      </c>
      <c r="BC31" s="101">
        <v>30.095238095238095</v>
      </c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101"/>
      <c r="BT31" s="101"/>
      <c r="BU31" s="101"/>
      <c r="BV31" s="101"/>
      <c r="BW31" s="101"/>
      <c r="BX31" s="101"/>
      <c r="BY31" s="101"/>
      <c r="BZ31" s="103">
        <f t="shared" ref="BZ31:BZ57" si="1">SUM(C31:BY31)</f>
        <v>1517.8571428571438</v>
      </c>
    </row>
    <row r="32" spans="1:78" x14ac:dyDescent="0.35">
      <c r="A32" s="99" t="str">
        <f>IF('[9]Set Up'!E42=0,"",'[9]Set Up'!E42&amp;", bbl")</f>
        <v>Slickwater, bbl</v>
      </c>
      <c r="B32" s="105">
        <f>IF(BZ32=0,"",AVERAGE(C32:BY32))</f>
        <v>10936.550494159928</v>
      </c>
      <c r="C32" s="106">
        <v>11039.4</v>
      </c>
      <c r="D32" s="107">
        <v>10916.199999999999</v>
      </c>
      <c r="E32" s="107">
        <v>10668</v>
      </c>
      <c r="F32" s="107">
        <v>10897.500000000002</v>
      </c>
      <c r="G32" s="107">
        <v>10905.000000000002</v>
      </c>
      <c r="H32" s="107">
        <v>11472.599999999999</v>
      </c>
      <c r="I32" s="107">
        <v>10998.099999999999</v>
      </c>
      <c r="J32" s="107">
        <v>10330.799999999999</v>
      </c>
      <c r="K32" s="107">
        <v>11015.5</v>
      </c>
      <c r="L32" s="107">
        <v>10754.528571428571</v>
      </c>
      <c r="M32" s="107">
        <v>10886.428571428571</v>
      </c>
      <c r="N32" s="107">
        <v>10863.3</v>
      </c>
      <c r="O32" s="107">
        <v>10908.82857142857</v>
      </c>
      <c r="P32" s="107">
        <v>10849.428571428571</v>
      </c>
      <c r="Q32" s="107">
        <v>11034.999999999998</v>
      </c>
      <c r="R32" s="107">
        <v>11202.928571428571</v>
      </c>
      <c r="S32" s="107">
        <v>11052.728571428572</v>
      </c>
      <c r="T32" s="107">
        <v>10825.4</v>
      </c>
      <c r="U32" s="107">
        <v>11208.928571428571</v>
      </c>
      <c r="V32" s="107">
        <v>11231.7</v>
      </c>
      <c r="W32" s="107">
        <v>12320.228571428572</v>
      </c>
      <c r="X32" s="107">
        <v>10875.528571428571</v>
      </c>
      <c r="Y32" s="107">
        <v>10999.699999999999</v>
      </c>
      <c r="Z32" s="107">
        <v>10966.599999999999</v>
      </c>
      <c r="AA32" s="107">
        <v>10905.428571428571</v>
      </c>
      <c r="AB32" s="107">
        <v>10790.528571428571</v>
      </c>
      <c r="AC32" s="107">
        <v>11050.8</v>
      </c>
      <c r="AD32" s="107">
        <v>11481.32857142857</v>
      </c>
      <c r="AE32" s="107">
        <v>10902.228571428572</v>
      </c>
      <c r="AF32" s="107">
        <v>10810.8</v>
      </c>
      <c r="AG32" s="107">
        <v>9989.7285714285717</v>
      </c>
      <c r="AH32" s="107">
        <v>12142.3</v>
      </c>
      <c r="AI32" s="107">
        <v>10653.999999999998</v>
      </c>
      <c r="AJ32" s="107">
        <v>10824.400000000001</v>
      </c>
      <c r="AK32" s="107">
        <v>10736.028571428573</v>
      </c>
      <c r="AL32" s="107">
        <v>10588.2</v>
      </c>
      <c r="AM32" s="107">
        <v>10790.028571428571</v>
      </c>
      <c r="AN32" s="107">
        <v>11687.9</v>
      </c>
      <c r="AO32" s="107">
        <v>11032.900000000001</v>
      </c>
      <c r="AP32" s="107">
        <v>10839.828571428572</v>
      </c>
      <c r="AQ32" s="107">
        <v>10716.6</v>
      </c>
      <c r="AR32" s="107">
        <v>10661.3</v>
      </c>
      <c r="AS32" s="107">
        <v>10880.228571428572</v>
      </c>
      <c r="AT32" s="107">
        <v>10799.4</v>
      </c>
      <c r="AU32" s="107">
        <v>11018.2</v>
      </c>
      <c r="AV32" s="107">
        <v>10888.4</v>
      </c>
      <c r="AW32" s="107">
        <v>10731.928571428572</v>
      </c>
      <c r="AX32" s="107">
        <v>10572.999999999998</v>
      </c>
      <c r="AY32" s="107">
        <v>10772.8</v>
      </c>
      <c r="AZ32" s="107">
        <v>10826.22857142857</v>
      </c>
      <c r="BA32" s="106">
        <v>10728.5</v>
      </c>
      <c r="BB32" s="106">
        <v>11045</v>
      </c>
      <c r="BC32" s="106">
        <v>10544.804761904761</v>
      </c>
      <c r="BD32" s="106"/>
      <c r="BE32" s="106"/>
      <c r="BF32" s="106"/>
      <c r="BG32" s="106"/>
      <c r="BH32" s="106"/>
      <c r="BI32" s="106"/>
      <c r="BJ32" s="106"/>
      <c r="BK32" s="106"/>
      <c r="BL32" s="106"/>
      <c r="BM32" s="106"/>
      <c r="BN32" s="106"/>
      <c r="BO32" s="106"/>
      <c r="BP32" s="106"/>
      <c r="BQ32" s="106"/>
      <c r="BR32" s="106"/>
      <c r="BS32" s="106"/>
      <c r="BT32" s="106"/>
      <c r="BU32" s="106"/>
      <c r="BV32" s="106"/>
      <c r="BW32" s="106"/>
      <c r="BX32" s="106"/>
      <c r="BY32" s="106"/>
      <c r="BZ32" s="108">
        <f t="shared" si="1"/>
        <v>579637.17619047617</v>
      </c>
    </row>
    <row r="33" spans="1:78" x14ac:dyDescent="0.35">
      <c r="A33" s="104" t="str">
        <f>IF('[9]Set Up'!E43=0,"",'[9]Set Up'!E43&amp;", bbl")</f>
        <v>Pump Down, bbl</v>
      </c>
      <c r="B33" s="109">
        <f>IF(BZ33=0,"",AVERAGE(C33:BY33))</f>
        <v>181</v>
      </c>
      <c r="C33" s="110">
        <v>345</v>
      </c>
      <c r="D33" s="111">
        <v>358</v>
      </c>
      <c r="E33" s="111">
        <v>455</v>
      </c>
      <c r="F33" s="111">
        <v>375</v>
      </c>
      <c r="G33" s="111">
        <v>393</v>
      </c>
      <c r="H33" s="111">
        <v>274</v>
      </c>
      <c r="I33" s="111">
        <v>391</v>
      </c>
      <c r="J33" s="111">
        <v>331</v>
      </c>
      <c r="K33" s="111">
        <v>333</v>
      </c>
      <c r="L33" s="111">
        <v>222</v>
      </c>
      <c r="M33" s="111">
        <v>271</v>
      </c>
      <c r="N33" s="111">
        <v>287</v>
      </c>
      <c r="O33" s="111">
        <v>274</v>
      </c>
      <c r="P33" s="111">
        <v>252</v>
      </c>
      <c r="Q33" s="111">
        <v>286</v>
      </c>
      <c r="R33" s="111">
        <v>320</v>
      </c>
      <c r="S33" s="111">
        <v>331</v>
      </c>
      <c r="T33" s="111">
        <v>234</v>
      </c>
      <c r="U33" s="111">
        <v>204</v>
      </c>
      <c r="V33" s="111">
        <v>250</v>
      </c>
      <c r="W33" s="111">
        <v>192</v>
      </c>
      <c r="X33" s="111">
        <v>180</v>
      </c>
      <c r="Y33" s="111">
        <v>197</v>
      </c>
      <c r="Z33" s="111">
        <v>175</v>
      </c>
      <c r="AA33" s="111">
        <v>182</v>
      </c>
      <c r="AB33" s="111">
        <v>166</v>
      </c>
      <c r="AC33" s="111">
        <v>168</v>
      </c>
      <c r="AD33" s="111">
        <v>165</v>
      </c>
      <c r="AE33" s="111">
        <v>162</v>
      </c>
      <c r="AF33" s="111">
        <v>128</v>
      </c>
      <c r="AG33" s="111">
        <v>204</v>
      </c>
      <c r="AH33" s="111">
        <v>130</v>
      </c>
      <c r="AI33" s="111">
        <v>123</v>
      </c>
      <c r="AJ33" s="111">
        <v>105</v>
      </c>
      <c r="AK33" s="111">
        <v>106</v>
      </c>
      <c r="AL33" s="111">
        <v>98</v>
      </c>
      <c r="AM33" s="111">
        <v>102</v>
      </c>
      <c r="AN33" s="111">
        <v>104</v>
      </c>
      <c r="AO33" s="111">
        <v>80</v>
      </c>
      <c r="AP33" s="111">
        <v>98</v>
      </c>
      <c r="AQ33" s="111">
        <v>74</v>
      </c>
      <c r="AR33" s="111">
        <v>60</v>
      </c>
      <c r="AS33" s="111">
        <v>61</v>
      </c>
      <c r="AT33" s="111">
        <v>60</v>
      </c>
      <c r="AU33" s="111">
        <v>54</v>
      </c>
      <c r="AV33" s="111">
        <v>51</v>
      </c>
      <c r="AW33" s="111">
        <v>41</v>
      </c>
      <c r="AX33" s="111">
        <v>40</v>
      </c>
      <c r="AY33" s="111">
        <v>38</v>
      </c>
      <c r="AZ33" s="111">
        <v>31</v>
      </c>
      <c r="BA33" s="111">
        <v>20</v>
      </c>
      <c r="BB33" s="111">
        <v>12</v>
      </c>
      <c r="BC33" s="111">
        <v>0</v>
      </c>
      <c r="BD33" s="111"/>
      <c r="BE33" s="111"/>
      <c r="BF33" s="111"/>
      <c r="BG33" s="111"/>
      <c r="BH33" s="111"/>
      <c r="BI33" s="111"/>
      <c r="BJ33" s="111"/>
      <c r="BK33" s="111"/>
      <c r="BL33" s="111"/>
      <c r="BM33" s="111"/>
      <c r="BN33" s="111"/>
      <c r="BO33" s="111"/>
      <c r="BP33" s="111"/>
      <c r="BQ33" s="111"/>
      <c r="BR33" s="111"/>
      <c r="BS33" s="111"/>
      <c r="BT33" s="111"/>
      <c r="BU33" s="111"/>
      <c r="BV33" s="111"/>
      <c r="BW33" s="111"/>
      <c r="BX33" s="111"/>
      <c r="BY33" s="111"/>
      <c r="BZ33" s="109">
        <f t="shared" si="1"/>
        <v>9593</v>
      </c>
    </row>
    <row r="34" spans="1:78" x14ac:dyDescent="0.35">
      <c r="B34" s="105" t="str">
        <f>IF(BZ34=0,"",AVERAGE(C34:BY34))</f>
        <v/>
      </c>
      <c r="C34" s="106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  <c r="AI34" s="107">
        <v>0</v>
      </c>
      <c r="AJ34" s="107">
        <v>0</v>
      </c>
      <c r="AK34" s="107">
        <v>0</v>
      </c>
      <c r="AL34" s="107">
        <v>0</v>
      </c>
      <c r="AM34" s="107">
        <v>0</v>
      </c>
      <c r="AN34" s="107">
        <v>0</v>
      </c>
      <c r="AO34" s="107">
        <v>0</v>
      </c>
      <c r="AP34" s="107">
        <v>0</v>
      </c>
      <c r="AQ34" s="107">
        <v>0</v>
      </c>
      <c r="AR34" s="107">
        <v>0</v>
      </c>
      <c r="AS34" s="107">
        <v>0</v>
      </c>
      <c r="AT34" s="107">
        <v>0</v>
      </c>
      <c r="AU34" s="107">
        <v>0</v>
      </c>
      <c r="AV34" s="107">
        <v>0</v>
      </c>
      <c r="AW34" s="107">
        <v>0</v>
      </c>
      <c r="AX34" s="107">
        <v>0</v>
      </c>
      <c r="AY34" s="107">
        <v>0</v>
      </c>
      <c r="AZ34" s="107">
        <v>0</v>
      </c>
      <c r="BA34" s="107">
        <v>0</v>
      </c>
      <c r="BB34" s="107">
        <v>0</v>
      </c>
      <c r="BC34" s="107">
        <v>0</v>
      </c>
      <c r="BD34" s="107"/>
      <c r="BE34" s="107"/>
      <c r="BF34" s="107"/>
      <c r="BG34" s="107"/>
      <c r="BH34" s="107"/>
      <c r="BI34" s="107"/>
      <c r="BJ34" s="107"/>
      <c r="BK34" s="107"/>
      <c r="BL34" s="107"/>
      <c r="BM34" s="107"/>
      <c r="BN34" s="107"/>
      <c r="BO34" s="107"/>
      <c r="BP34" s="107"/>
      <c r="BQ34" s="107"/>
      <c r="BR34" s="107"/>
      <c r="BS34" s="107"/>
      <c r="BT34" s="107"/>
      <c r="BU34" s="107"/>
      <c r="BV34" s="107"/>
      <c r="BW34" s="107"/>
      <c r="BX34" s="107"/>
      <c r="BY34" s="107"/>
      <c r="BZ34" s="105">
        <f t="shared" si="1"/>
        <v>0</v>
      </c>
    </row>
    <row r="35" spans="1:78" ht="15" thickBot="1" x14ac:dyDescent="0.4">
      <c r="A35" s="112" t="s">
        <v>39</v>
      </c>
      <c r="B35" s="113">
        <f>IF(BZ35=0,"",AVERAGE(C35:BY35))</f>
        <v>11146.189308176103</v>
      </c>
      <c r="C35" s="114">
        <v>11412.971428571429</v>
      </c>
      <c r="D35" s="115">
        <v>11302.771428571428</v>
      </c>
      <c r="E35" s="115">
        <v>11151.571428571429</v>
      </c>
      <c r="F35" s="115">
        <v>11301.071428571431</v>
      </c>
      <c r="G35" s="115">
        <v>11326.571428571431</v>
      </c>
      <c r="H35" s="115">
        <v>11775.171428571428</v>
      </c>
      <c r="I35" s="115">
        <v>11417.671428571428</v>
      </c>
      <c r="J35" s="115">
        <v>10690.371428571429</v>
      </c>
      <c r="K35" s="115">
        <v>11377.071428571429</v>
      </c>
      <c r="L35" s="115">
        <v>11005.1</v>
      </c>
      <c r="M35" s="115">
        <v>11186</v>
      </c>
      <c r="N35" s="115">
        <v>11178.871428571429</v>
      </c>
      <c r="O35" s="115">
        <v>11211.4</v>
      </c>
      <c r="P35" s="115">
        <v>11130</v>
      </c>
      <c r="Q35" s="115">
        <v>11349.571428571428</v>
      </c>
      <c r="R35" s="115">
        <v>11551.5</v>
      </c>
      <c r="S35" s="115">
        <v>11412.300000000001</v>
      </c>
      <c r="T35" s="115">
        <v>11087.971428571429</v>
      </c>
      <c r="U35" s="115">
        <v>11441.5</v>
      </c>
      <c r="V35" s="115">
        <v>11510.27142857143</v>
      </c>
      <c r="W35" s="115">
        <v>12540.800000000001</v>
      </c>
      <c r="X35" s="115">
        <v>11084.1</v>
      </c>
      <c r="Y35" s="115">
        <v>11225.271428571428</v>
      </c>
      <c r="Z35" s="115">
        <v>11170.171428571428</v>
      </c>
      <c r="AA35" s="115">
        <v>11116</v>
      </c>
      <c r="AB35" s="115">
        <v>10985.1</v>
      </c>
      <c r="AC35" s="115">
        <v>11247.371428571429</v>
      </c>
      <c r="AD35" s="115">
        <v>11674.9</v>
      </c>
      <c r="AE35" s="115">
        <v>11092.800000000001</v>
      </c>
      <c r="AF35" s="115">
        <v>10967.371428571429</v>
      </c>
      <c r="AG35" s="115">
        <v>10222.300000000001</v>
      </c>
      <c r="AH35" s="115">
        <v>12300.871428571429</v>
      </c>
      <c r="AI35" s="115">
        <v>10805.571428571428</v>
      </c>
      <c r="AJ35" s="115">
        <v>10957.971428571431</v>
      </c>
      <c r="AK35" s="115">
        <v>10870.600000000002</v>
      </c>
      <c r="AL35" s="115">
        <v>10714.77142857143</v>
      </c>
      <c r="AM35" s="115">
        <v>10920.6</v>
      </c>
      <c r="AN35" s="115">
        <v>11820.471428571429</v>
      </c>
      <c r="AO35" s="115">
        <v>11141.471428571431</v>
      </c>
      <c r="AP35" s="115">
        <v>10966.400000000001</v>
      </c>
      <c r="AQ35" s="115">
        <v>10819.17142857143</v>
      </c>
      <c r="AR35" s="115">
        <v>10749.871428571429</v>
      </c>
      <c r="AS35" s="115">
        <v>10969.800000000001</v>
      </c>
      <c r="AT35" s="115">
        <v>10887.971428571429</v>
      </c>
      <c r="AU35" s="115">
        <v>11100.77142857143</v>
      </c>
      <c r="AV35" s="115">
        <v>10967.971428571429</v>
      </c>
      <c r="AW35" s="115">
        <v>10801.500000000002</v>
      </c>
      <c r="AX35" s="115">
        <v>10641.571428571428</v>
      </c>
      <c r="AY35" s="115">
        <v>10840.704761904761</v>
      </c>
      <c r="AZ35" s="115">
        <v>10885.8</v>
      </c>
      <c r="BA35" s="114">
        <v>10776.833333333334</v>
      </c>
      <c r="BB35" s="114">
        <v>11086.523809523809</v>
      </c>
      <c r="BC35" s="114">
        <v>10574.9</v>
      </c>
      <c r="BD35" s="114"/>
      <c r="BE35" s="114"/>
      <c r="BF35" s="114"/>
      <c r="BG35" s="114"/>
      <c r="BH35" s="114"/>
      <c r="BI35" s="114"/>
      <c r="BJ35" s="114"/>
      <c r="BK35" s="114"/>
      <c r="BL35" s="114"/>
      <c r="BM35" s="114"/>
      <c r="BN35" s="114"/>
      <c r="BO35" s="114"/>
      <c r="BP35" s="114"/>
      <c r="BQ35" s="114"/>
      <c r="BR35" s="114"/>
      <c r="BS35" s="114"/>
      <c r="BT35" s="114"/>
      <c r="BU35" s="114"/>
      <c r="BV35" s="114"/>
      <c r="BW35" s="114"/>
      <c r="BX35" s="114"/>
      <c r="BY35" s="114"/>
      <c r="BZ35" s="116">
        <f t="shared" si="1"/>
        <v>590748.03333333344</v>
      </c>
    </row>
    <row r="36" spans="1:78" x14ac:dyDescent="0.35">
      <c r="A36" s="122" t="str">
        <f>IF('[9]Set Up'!E35=0,"",'[9]Set Up'!E35&amp;", lb")</f>
        <v>100 Mesh, lb</v>
      </c>
      <c r="B36" s="118">
        <f t="shared" ref="B36:B57" si="2">IF(C36="","",AVERAGE(C36:BY36))</f>
        <v>495455.47169811319</v>
      </c>
      <c r="C36" s="119">
        <v>501100</v>
      </c>
      <c r="D36" s="120">
        <v>503040</v>
      </c>
      <c r="E36" s="120">
        <v>494160</v>
      </c>
      <c r="F36" s="120">
        <v>499400</v>
      </c>
      <c r="G36" s="120">
        <v>495820</v>
      </c>
      <c r="H36" s="120">
        <v>494800</v>
      </c>
      <c r="I36" s="120">
        <v>501860</v>
      </c>
      <c r="J36" s="120">
        <v>411160</v>
      </c>
      <c r="K36" s="120">
        <v>499200</v>
      </c>
      <c r="L36" s="120">
        <v>495320</v>
      </c>
      <c r="M36" s="120">
        <v>500000</v>
      </c>
      <c r="N36" s="120">
        <v>493540</v>
      </c>
      <c r="O36" s="120">
        <v>505280</v>
      </c>
      <c r="P36" s="120">
        <v>501900</v>
      </c>
      <c r="Q36" s="120">
        <v>502320</v>
      </c>
      <c r="R36" s="120">
        <v>504780</v>
      </c>
      <c r="S36" s="120">
        <v>504040</v>
      </c>
      <c r="T36" s="120">
        <v>507040</v>
      </c>
      <c r="U36" s="120">
        <v>503780</v>
      </c>
      <c r="V36" s="120">
        <v>496000</v>
      </c>
      <c r="W36" s="120">
        <v>495380</v>
      </c>
      <c r="X36" s="120">
        <v>499220</v>
      </c>
      <c r="Y36" s="120">
        <v>508440</v>
      </c>
      <c r="Z36" s="120">
        <v>504340</v>
      </c>
      <c r="AA36" s="120">
        <v>494360</v>
      </c>
      <c r="AB36" s="120">
        <v>491160</v>
      </c>
      <c r="AC36" s="120">
        <v>456700</v>
      </c>
      <c r="AD36" s="120">
        <v>504720</v>
      </c>
      <c r="AE36" s="120">
        <v>504020</v>
      </c>
      <c r="AF36" s="120">
        <v>505620</v>
      </c>
      <c r="AG36" s="120">
        <v>395480</v>
      </c>
      <c r="AH36" s="120">
        <v>497980</v>
      </c>
      <c r="AI36" s="120">
        <v>496320</v>
      </c>
      <c r="AJ36" s="120">
        <v>503260</v>
      </c>
      <c r="AK36" s="120">
        <v>492420</v>
      </c>
      <c r="AL36" s="120">
        <v>490400</v>
      </c>
      <c r="AM36" s="120">
        <v>497460</v>
      </c>
      <c r="AN36" s="120">
        <v>500320</v>
      </c>
      <c r="AO36" s="120">
        <v>494800</v>
      </c>
      <c r="AP36" s="120">
        <v>499620</v>
      </c>
      <c r="AQ36" s="120">
        <v>500140</v>
      </c>
      <c r="AR36" s="120">
        <v>494460</v>
      </c>
      <c r="AS36" s="120">
        <v>499820</v>
      </c>
      <c r="AT36" s="120">
        <v>507060</v>
      </c>
      <c r="AU36" s="120">
        <v>497680</v>
      </c>
      <c r="AV36" s="120">
        <v>505640</v>
      </c>
      <c r="AW36" s="120">
        <v>499740</v>
      </c>
      <c r="AX36" s="120">
        <v>499060</v>
      </c>
      <c r="AY36" s="120">
        <v>501660</v>
      </c>
      <c r="AZ36" s="120">
        <v>500960</v>
      </c>
      <c r="BA36" s="119">
        <v>500140</v>
      </c>
      <c r="BB36" s="119">
        <v>498540</v>
      </c>
      <c r="BC36" s="119">
        <v>507680</v>
      </c>
      <c r="BD36" s="119"/>
      <c r="BE36" s="119"/>
      <c r="BF36" s="119"/>
      <c r="BG36" s="119"/>
      <c r="BH36" s="119"/>
      <c r="BI36" s="119"/>
      <c r="BJ36" s="119"/>
      <c r="BK36" s="119"/>
      <c r="BL36" s="119"/>
      <c r="BM36" s="119"/>
      <c r="BN36" s="119"/>
      <c r="BO36" s="119"/>
      <c r="BP36" s="119"/>
      <c r="BQ36" s="119"/>
      <c r="BR36" s="119"/>
      <c r="BS36" s="119"/>
      <c r="BT36" s="119"/>
      <c r="BU36" s="119"/>
      <c r="BV36" s="119"/>
      <c r="BW36" s="119"/>
      <c r="BX36" s="119"/>
      <c r="BY36" s="119"/>
      <c r="BZ36" s="121">
        <f t="shared" si="1"/>
        <v>26259140</v>
      </c>
    </row>
    <row r="37" spans="1:78" x14ac:dyDescent="0.35">
      <c r="B37" s="105" t="str">
        <f t="shared" si="2"/>
        <v/>
      </c>
      <c r="C37" s="123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3"/>
      <c r="BO37" s="123"/>
      <c r="BP37" s="123"/>
      <c r="BQ37" s="123"/>
      <c r="BR37" s="123"/>
      <c r="BS37" s="123"/>
      <c r="BT37" s="123"/>
      <c r="BU37" s="123"/>
      <c r="BV37" s="123"/>
      <c r="BW37" s="123"/>
      <c r="BX37" s="123"/>
      <c r="BY37" s="123"/>
      <c r="BZ37" s="108">
        <f t="shared" si="1"/>
        <v>0</v>
      </c>
    </row>
    <row r="38" spans="1:78" x14ac:dyDescent="0.35">
      <c r="A38" s="125" t="str">
        <f>IF('[9]Set Up'!E36=0,"",'[9]Set Up'!E36&amp;", lb")</f>
        <v/>
      </c>
      <c r="B38" s="126" t="str">
        <f t="shared" si="2"/>
        <v/>
      </c>
      <c r="C38" s="127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7"/>
      <c r="BB38" s="127"/>
      <c r="BC38" s="127"/>
      <c r="BD38" s="127"/>
      <c r="BE38" s="127"/>
      <c r="BF38" s="127"/>
      <c r="BG38" s="127"/>
      <c r="BH38" s="127"/>
      <c r="BI38" s="127"/>
      <c r="BJ38" s="127"/>
      <c r="BK38" s="127"/>
      <c r="BL38" s="127"/>
      <c r="BM38" s="127"/>
      <c r="BN38" s="127"/>
      <c r="BO38" s="127"/>
      <c r="BP38" s="127"/>
      <c r="BQ38" s="127"/>
      <c r="BR38" s="127"/>
      <c r="BS38" s="127"/>
      <c r="BT38" s="127"/>
      <c r="BU38" s="127"/>
      <c r="BV38" s="127"/>
      <c r="BW38" s="127"/>
      <c r="BX38" s="127"/>
      <c r="BY38" s="127"/>
      <c r="BZ38" s="129">
        <f t="shared" si="1"/>
        <v>0</v>
      </c>
    </row>
    <row r="39" spans="1:78" x14ac:dyDescent="0.35">
      <c r="A39" s="122" t="str">
        <f>IF('[9]Set Up'!E37=0,"",'[9]Set Up'!E37&amp;", lb")</f>
        <v/>
      </c>
      <c r="B39" s="105" t="str">
        <f t="shared" si="2"/>
        <v/>
      </c>
      <c r="C39" s="123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4"/>
      <c r="AR39" s="124"/>
      <c r="AS39" s="124"/>
      <c r="AT39" s="124"/>
      <c r="AU39" s="124"/>
      <c r="AV39" s="124"/>
      <c r="AW39" s="124"/>
      <c r="AX39" s="124"/>
      <c r="AY39" s="124"/>
      <c r="AZ39" s="124"/>
      <c r="BA39" s="123"/>
      <c r="BB39" s="123"/>
      <c r="BC39" s="123"/>
      <c r="BD39" s="123"/>
      <c r="BE39" s="123"/>
      <c r="BF39" s="123"/>
      <c r="BG39" s="123"/>
      <c r="BH39" s="123"/>
      <c r="BI39" s="123"/>
      <c r="BJ39" s="123"/>
      <c r="BK39" s="123"/>
      <c r="BL39" s="123"/>
      <c r="BM39" s="123"/>
      <c r="BN39" s="123"/>
      <c r="BO39" s="123"/>
      <c r="BP39" s="123"/>
      <c r="BQ39" s="123"/>
      <c r="BR39" s="123"/>
      <c r="BS39" s="123"/>
      <c r="BT39" s="123"/>
      <c r="BU39" s="123"/>
      <c r="BV39" s="123"/>
      <c r="BW39" s="123"/>
      <c r="BX39" s="123"/>
      <c r="BY39" s="123"/>
      <c r="BZ39" s="108">
        <f t="shared" si="1"/>
        <v>0</v>
      </c>
    </row>
    <row r="40" spans="1:78" ht="15" thickBot="1" x14ac:dyDescent="0.4">
      <c r="A40" s="130" t="s">
        <v>40</v>
      </c>
      <c r="B40" s="131">
        <f t="shared" si="2"/>
        <v>495455.47169811319</v>
      </c>
      <c r="C40" s="131">
        <v>501100</v>
      </c>
      <c r="D40" s="132">
        <v>503040</v>
      </c>
      <c r="E40" s="132">
        <v>494160</v>
      </c>
      <c r="F40" s="132">
        <v>499400</v>
      </c>
      <c r="G40" s="132">
        <v>495820</v>
      </c>
      <c r="H40" s="132">
        <v>494800</v>
      </c>
      <c r="I40" s="132">
        <v>501860</v>
      </c>
      <c r="J40" s="132">
        <v>411160</v>
      </c>
      <c r="K40" s="132">
        <v>499200</v>
      </c>
      <c r="L40" s="132">
        <v>495320</v>
      </c>
      <c r="M40" s="132">
        <v>500000</v>
      </c>
      <c r="N40" s="132">
        <v>493540</v>
      </c>
      <c r="O40" s="132">
        <v>505280</v>
      </c>
      <c r="P40" s="132">
        <v>501900</v>
      </c>
      <c r="Q40" s="132">
        <v>502320</v>
      </c>
      <c r="R40" s="132">
        <v>504780</v>
      </c>
      <c r="S40" s="132">
        <v>504040</v>
      </c>
      <c r="T40" s="132">
        <v>507040</v>
      </c>
      <c r="U40" s="132">
        <v>503780</v>
      </c>
      <c r="V40" s="132">
        <v>496000</v>
      </c>
      <c r="W40" s="132">
        <v>495380</v>
      </c>
      <c r="X40" s="132">
        <v>499220</v>
      </c>
      <c r="Y40" s="132">
        <v>508440</v>
      </c>
      <c r="Z40" s="132">
        <v>504340</v>
      </c>
      <c r="AA40" s="132">
        <v>494360</v>
      </c>
      <c r="AB40" s="132">
        <v>491160</v>
      </c>
      <c r="AC40" s="132">
        <v>456700</v>
      </c>
      <c r="AD40" s="132">
        <v>504720</v>
      </c>
      <c r="AE40" s="132">
        <v>504020</v>
      </c>
      <c r="AF40" s="132">
        <v>505620</v>
      </c>
      <c r="AG40" s="132">
        <v>395480</v>
      </c>
      <c r="AH40" s="132">
        <v>497980</v>
      </c>
      <c r="AI40" s="132">
        <v>496320</v>
      </c>
      <c r="AJ40" s="132">
        <v>503260</v>
      </c>
      <c r="AK40" s="132">
        <v>492420</v>
      </c>
      <c r="AL40" s="132">
        <v>490400</v>
      </c>
      <c r="AM40" s="132">
        <v>497460</v>
      </c>
      <c r="AN40" s="132">
        <v>500320</v>
      </c>
      <c r="AO40" s="132">
        <v>494800</v>
      </c>
      <c r="AP40" s="132">
        <v>499620</v>
      </c>
      <c r="AQ40" s="132">
        <v>500140</v>
      </c>
      <c r="AR40" s="132">
        <v>494460</v>
      </c>
      <c r="AS40" s="132">
        <v>499820</v>
      </c>
      <c r="AT40" s="132">
        <v>507060</v>
      </c>
      <c r="AU40" s="132">
        <v>497680</v>
      </c>
      <c r="AV40" s="132">
        <v>505640</v>
      </c>
      <c r="AW40" s="132">
        <v>499740</v>
      </c>
      <c r="AX40" s="132">
        <v>499060</v>
      </c>
      <c r="AY40" s="132">
        <v>501660</v>
      </c>
      <c r="AZ40" s="132">
        <v>500960</v>
      </c>
      <c r="BA40" s="132">
        <v>500140</v>
      </c>
      <c r="BB40" s="132">
        <v>498540</v>
      </c>
      <c r="BC40" s="132">
        <v>507680</v>
      </c>
      <c r="BD40" s="132"/>
      <c r="BE40" s="132"/>
      <c r="BF40" s="132"/>
      <c r="BG40" s="132"/>
      <c r="BH40" s="132"/>
      <c r="BI40" s="132"/>
      <c r="BJ40" s="132"/>
      <c r="BK40" s="132"/>
      <c r="BL40" s="132"/>
      <c r="BM40" s="132"/>
      <c r="BN40" s="132"/>
      <c r="BO40" s="132"/>
      <c r="BP40" s="132"/>
      <c r="BQ40" s="132"/>
      <c r="BR40" s="132"/>
      <c r="BS40" s="132"/>
      <c r="BT40" s="132"/>
      <c r="BU40" s="132"/>
      <c r="BV40" s="132"/>
      <c r="BW40" s="132"/>
      <c r="BX40" s="132"/>
      <c r="BY40" s="132"/>
      <c r="BZ40" s="133">
        <f t="shared" si="1"/>
        <v>26259140</v>
      </c>
    </row>
    <row r="41" spans="1:78" x14ac:dyDescent="0.35">
      <c r="A41" s="122" t="str">
        <f>A36</f>
        <v>100 Mesh, lb</v>
      </c>
      <c r="B41" s="135">
        <f t="shared" si="2"/>
        <v>495455.47169811319</v>
      </c>
      <c r="C41" s="136">
        <v>501100</v>
      </c>
      <c r="D41" s="136">
        <v>503040</v>
      </c>
      <c r="E41" s="136">
        <v>494160</v>
      </c>
      <c r="F41" s="136">
        <v>499400</v>
      </c>
      <c r="G41" s="136">
        <v>495820</v>
      </c>
      <c r="H41" s="136">
        <v>494800</v>
      </c>
      <c r="I41" s="136">
        <v>501860</v>
      </c>
      <c r="J41" s="136">
        <v>411160</v>
      </c>
      <c r="K41" s="136">
        <v>499200</v>
      </c>
      <c r="L41" s="136">
        <v>495320</v>
      </c>
      <c r="M41" s="136">
        <v>500000</v>
      </c>
      <c r="N41" s="136">
        <v>493540</v>
      </c>
      <c r="O41" s="136">
        <v>505280</v>
      </c>
      <c r="P41" s="136">
        <v>501900</v>
      </c>
      <c r="Q41" s="136">
        <v>502320</v>
      </c>
      <c r="R41" s="136">
        <v>504780</v>
      </c>
      <c r="S41" s="136">
        <v>504040</v>
      </c>
      <c r="T41" s="136">
        <v>507040</v>
      </c>
      <c r="U41" s="136">
        <v>503780</v>
      </c>
      <c r="V41" s="136">
        <v>496000</v>
      </c>
      <c r="W41" s="136">
        <v>495380</v>
      </c>
      <c r="X41" s="136">
        <v>499220</v>
      </c>
      <c r="Y41" s="136">
        <v>508440</v>
      </c>
      <c r="Z41" s="136">
        <v>504340</v>
      </c>
      <c r="AA41" s="136">
        <v>494360</v>
      </c>
      <c r="AB41" s="136">
        <v>491160</v>
      </c>
      <c r="AC41" s="136">
        <v>456700</v>
      </c>
      <c r="AD41" s="136">
        <v>504720</v>
      </c>
      <c r="AE41" s="136">
        <v>504020</v>
      </c>
      <c r="AF41" s="136">
        <v>505620</v>
      </c>
      <c r="AG41" s="136">
        <v>395480</v>
      </c>
      <c r="AH41" s="136">
        <v>497980</v>
      </c>
      <c r="AI41" s="136">
        <v>496320</v>
      </c>
      <c r="AJ41" s="136">
        <v>503260</v>
      </c>
      <c r="AK41" s="136">
        <v>492420</v>
      </c>
      <c r="AL41" s="136">
        <v>490400</v>
      </c>
      <c r="AM41" s="136">
        <v>497460</v>
      </c>
      <c r="AN41" s="136">
        <v>500320</v>
      </c>
      <c r="AO41" s="136">
        <v>494800</v>
      </c>
      <c r="AP41" s="136">
        <v>499620</v>
      </c>
      <c r="AQ41" s="136">
        <v>500140</v>
      </c>
      <c r="AR41" s="136">
        <v>494460</v>
      </c>
      <c r="AS41" s="136">
        <v>499820</v>
      </c>
      <c r="AT41" s="136">
        <v>507060</v>
      </c>
      <c r="AU41" s="136">
        <v>497680</v>
      </c>
      <c r="AV41" s="136">
        <v>505640</v>
      </c>
      <c r="AW41" s="136">
        <v>499740</v>
      </c>
      <c r="AX41" s="136">
        <v>499060</v>
      </c>
      <c r="AY41" s="136">
        <v>501660</v>
      </c>
      <c r="AZ41" s="136">
        <v>500960</v>
      </c>
      <c r="BA41" s="137">
        <v>500140</v>
      </c>
      <c r="BB41" s="137">
        <v>498540</v>
      </c>
      <c r="BC41" s="137">
        <v>507680</v>
      </c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8">
        <f t="shared" si="1"/>
        <v>26259140</v>
      </c>
    </row>
    <row r="42" spans="1:78" x14ac:dyDescent="0.35">
      <c r="B42" s="105" t="str">
        <f t="shared" si="2"/>
        <v/>
      </c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24"/>
      <c r="AX42" s="124"/>
      <c r="AY42" s="124"/>
      <c r="AZ42" s="124"/>
      <c r="BA42" s="123"/>
      <c r="BB42" s="123"/>
      <c r="BC42" s="123"/>
      <c r="BD42" s="123"/>
      <c r="BE42" s="123"/>
      <c r="BF42" s="123"/>
      <c r="BG42" s="123"/>
      <c r="BH42" s="123"/>
      <c r="BI42" s="123"/>
      <c r="BJ42" s="123"/>
      <c r="BK42" s="123"/>
      <c r="BL42" s="123"/>
      <c r="BM42" s="123"/>
      <c r="BN42" s="123"/>
      <c r="BO42" s="123"/>
      <c r="BP42" s="123"/>
      <c r="BQ42" s="123"/>
      <c r="BR42" s="123"/>
      <c r="BS42" s="123"/>
      <c r="BT42" s="123"/>
      <c r="BU42" s="123"/>
      <c r="BV42" s="123"/>
      <c r="BW42" s="123"/>
      <c r="BX42" s="123"/>
      <c r="BY42" s="123"/>
      <c r="BZ42" s="108">
        <f t="shared" si="1"/>
        <v>0</v>
      </c>
    </row>
    <row r="43" spans="1:78" x14ac:dyDescent="0.35">
      <c r="A43" s="139" t="str">
        <f>A38</f>
        <v/>
      </c>
      <c r="B43" s="140" t="str">
        <f t="shared" si="2"/>
        <v/>
      </c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41"/>
      <c r="AJ43" s="141"/>
      <c r="AK43" s="141"/>
      <c r="AL43" s="141"/>
      <c r="AM43" s="141"/>
      <c r="AN43" s="141"/>
      <c r="AO43" s="141"/>
      <c r="AP43" s="141"/>
      <c r="AQ43" s="141"/>
      <c r="AR43" s="141"/>
      <c r="AS43" s="141"/>
      <c r="AT43" s="141"/>
      <c r="AU43" s="141"/>
      <c r="AV43" s="141"/>
      <c r="AW43" s="141"/>
      <c r="AX43" s="141"/>
      <c r="AY43" s="141"/>
      <c r="AZ43" s="141"/>
      <c r="BA43" s="141"/>
      <c r="BB43" s="141"/>
      <c r="BC43" s="141"/>
      <c r="BD43" s="141"/>
      <c r="BE43" s="141"/>
      <c r="BF43" s="141"/>
      <c r="BG43" s="141"/>
      <c r="BH43" s="141"/>
      <c r="BI43" s="141"/>
      <c r="BJ43" s="141"/>
      <c r="BK43" s="141"/>
      <c r="BL43" s="141"/>
      <c r="BM43" s="141"/>
      <c r="BN43" s="141"/>
      <c r="BO43" s="141"/>
      <c r="BP43" s="141"/>
      <c r="BQ43" s="141"/>
      <c r="BR43" s="141"/>
      <c r="BS43" s="141"/>
      <c r="BT43" s="141"/>
      <c r="BU43" s="141"/>
      <c r="BV43" s="141"/>
      <c r="BW43" s="141"/>
      <c r="BX43" s="141"/>
      <c r="BY43" s="141"/>
      <c r="BZ43" s="140">
        <f t="shared" si="1"/>
        <v>0</v>
      </c>
    </row>
    <row r="44" spans="1:78" x14ac:dyDescent="0.35">
      <c r="A44" s="142" t="str">
        <f>A39</f>
        <v/>
      </c>
      <c r="B44" s="143" t="str">
        <f t="shared" si="2"/>
        <v/>
      </c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24"/>
      <c r="AI44" s="124"/>
      <c r="AJ44" s="124"/>
      <c r="AK44" s="124"/>
      <c r="AL44" s="124"/>
      <c r="AM44" s="124"/>
      <c r="AN44" s="124"/>
      <c r="AO44" s="124"/>
      <c r="AP44" s="124"/>
      <c r="AQ44" s="124"/>
      <c r="AR44" s="124"/>
      <c r="AS44" s="124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24"/>
      <c r="BK44" s="124"/>
      <c r="BL44" s="124"/>
      <c r="BM44" s="124"/>
      <c r="BN44" s="124"/>
      <c r="BO44" s="124"/>
      <c r="BP44" s="124"/>
      <c r="BQ44" s="124"/>
      <c r="BR44" s="124"/>
      <c r="BS44" s="124"/>
      <c r="BT44" s="124"/>
      <c r="BU44" s="124"/>
      <c r="BV44" s="124"/>
      <c r="BW44" s="124"/>
      <c r="BX44" s="124"/>
      <c r="BY44" s="124"/>
      <c r="BZ44" s="105">
        <f t="shared" si="1"/>
        <v>0</v>
      </c>
    </row>
    <row r="45" spans="1:78" ht="15" thickBot="1" x14ac:dyDescent="0.4">
      <c r="A45" s="144" t="s">
        <v>41</v>
      </c>
      <c r="B45" s="145">
        <f t="shared" si="2"/>
        <v>495455.47169811319</v>
      </c>
      <c r="C45" s="146">
        <v>501100</v>
      </c>
      <c r="D45" s="146">
        <v>503040</v>
      </c>
      <c r="E45" s="146">
        <v>494160</v>
      </c>
      <c r="F45" s="146">
        <v>499400</v>
      </c>
      <c r="G45" s="146">
        <v>495820</v>
      </c>
      <c r="H45" s="146">
        <v>494800</v>
      </c>
      <c r="I45" s="146">
        <v>501860</v>
      </c>
      <c r="J45" s="146">
        <v>411160</v>
      </c>
      <c r="K45" s="146">
        <v>499200</v>
      </c>
      <c r="L45" s="146">
        <v>495320</v>
      </c>
      <c r="M45" s="146">
        <v>500000</v>
      </c>
      <c r="N45" s="146">
        <v>493540</v>
      </c>
      <c r="O45" s="146">
        <v>505280</v>
      </c>
      <c r="P45" s="146">
        <v>501900</v>
      </c>
      <c r="Q45" s="146">
        <v>502320</v>
      </c>
      <c r="R45" s="146">
        <v>504780</v>
      </c>
      <c r="S45" s="146">
        <v>504040</v>
      </c>
      <c r="T45" s="146">
        <v>507040</v>
      </c>
      <c r="U45" s="146">
        <v>503780</v>
      </c>
      <c r="V45" s="146">
        <v>496000</v>
      </c>
      <c r="W45" s="146">
        <v>495380</v>
      </c>
      <c r="X45" s="146">
        <v>499220</v>
      </c>
      <c r="Y45" s="146">
        <v>508440</v>
      </c>
      <c r="Z45" s="146">
        <v>504340</v>
      </c>
      <c r="AA45" s="146">
        <v>494360</v>
      </c>
      <c r="AB45" s="146">
        <v>491160</v>
      </c>
      <c r="AC45" s="146">
        <v>456700</v>
      </c>
      <c r="AD45" s="146">
        <v>504720</v>
      </c>
      <c r="AE45" s="146">
        <v>504020</v>
      </c>
      <c r="AF45" s="146">
        <v>505620</v>
      </c>
      <c r="AG45" s="146">
        <v>395480</v>
      </c>
      <c r="AH45" s="146">
        <v>497980</v>
      </c>
      <c r="AI45" s="146">
        <v>496320</v>
      </c>
      <c r="AJ45" s="146">
        <v>503260</v>
      </c>
      <c r="AK45" s="146">
        <v>492420</v>
      </c>
      <c r="AL45" s="146">
        <v>490400</v>
      </c>
      <c r="AM45" s="146">
        <v>497460</v>
      </c>
      <c r="AN45" s="146">
        <v>500320</v>
      </c>
      <c r="AO45" s="146">
        <v>494800</v>
      </c>
      <c r="AP45" s="146">
        <v>499620</v>
      </c>
      <c r="AQ45" s="146">
        <v>500140</v>
      </c>
      <c r="AR45" s="146">
        <v>494460</v>
      </c>
      <c r="AS45" s="146">
        <v>499820</v>
      </c>
      <c r="AT45" s="146">
        <v>507060</v>
      </c>
      <c r="AU45" s="146">
        <v>497680</v>
      </c>
      <c r="AV45" s="146">
        <v>505640</v>
      </c>
      <c r="AW45" s="146">
        <v>499740</v>
      </c>
      <c r="AX45" s="146">
        <v>499060</v>
      </c>
      <c r="AY45" s="146">
        <v>501660</v>
      </c>
      <c r="AZ45" s="146">
        <v>500960</v>
      </c>
      <c r="BA45" s="146">
        <v>500140</v>
      </c>
      <c r="BB45" s="146">
        <v>498540</v>
      </c>
      <c r="BC45" s="146">
        <v>507680</v>
      </c>
      <c r="BD45" s="146"/>
      <c r="BE45" s="146"/>
      <c r="BF45" s="146"/>
      <c r="BG45" s="146"/>
      <c r="BH45" s="146"/>
      <c r="BI45" s="146"/>
      <c r="BJ45" s="146"/>
      <c r="BK45" s="146"/>
      <c r="BL45" s="146"/>
      <c r="BM45" s="146"/>
      <c r="BN45" s="146"/>
      <c r="BO45" s="146"/>
      <c r="BP45" s="146"/>
      <c r="BQ45" s="146"/>
      <c r="BR45" s="146"/>
      <c r="BS45" s="146"/>
      <c r="BT45" s="146"/>
      <c r="BU45" s="146"/>
      <c r="BV45" s="146"/>
      <c r="BW45" s="146"/>
      <c r="BX45" s="146"/>
      <c r="BY45" s="146"/>
      <c r="BZ45" s="145">
        <f t="shared" si="1"/>
        <v>26259140</v>
      </c>
    </row>
    <row r="46" spans="1:78" x14ac:dyDescent="0.35">
      <c r="A46" s="147" t="s">
        <v>46</v>
      </c>
      <c r="B46" s="148">
        <f t="shared" si="2"/>
        <v>453.20754716981133</v>
      </c>
      <c r="C46" s="149">
        <v>458</v>
      </c>
      <c r="D46" s="150">
        <v>458</v>
      </c>
      <c r="E46" s="150">
        <v>404</v>
      </c>
      <c r="F46" s="150">
        <v>400</v>
      </c>
      <c r="G46" s="150">
        <v>423</v>
      </c>
      <c r="H46" s="150">
        <v>464</v>
      </c>
      <c r="I46" s="150">
        <v>430</v>
      </c>
      <c r="J46" s="150">
        <v>447</v>
      </c>
      <c r="K46" s="150">
        <v>530</v>
      </c>
      <c r="L46" s="151">
        <v>514</v>
      </c>
      <c r="M46" s="151">
        <v>484</v>
      </c>
      <c r="N46" s="151">
        <v>497</v>
      </c>
      <c r="O46" s="151">
        <v>480</v>
      </c>
      <c r="P46" s="151">
        <v>455</v>
      </c>
      <c r="Q46" s="151">
        <v>480</v>
      </c>
      <c r="R46" s="151">
        <v>478</v>
      </c>
      <c r="S46" s="151">
        <v>460</v>
      </c>
      <c r="T46" s="151">
        <v>455</v>
      </c>
      <c r="U46" s="151">
        <v>450</v>
      </c>
      <c r="V46" s="151">
        <v>471</v>
      </c>
      <c r="W46" s="151">
        <v>501</v>
      </c>
      <c r="X46" s="151">
        <v>470</v>
      </c>
      <c r="Y46" s="151">
        <v>417</v>
      </c>
      <c r="Z46" s="151">
        <v>454</v>
      </c>
      <c r="AA46" s="151">
        <v>458</v>
      </c>
      <c r="AB46" s="151">
        <v>470</v>
      </c>
      <c r="AC46" s="151">
        <v>468</v>
      </c>
      <c r="AD46" s="151">
        <v>457</v>
      </c>
      <c r="AE46" s="151">
        <v>435</v>
      </c>
      <c r="AF46" s="151">
        <v>402</v>
      </c>
      <c r="AG46" s="151">
        <v>350</v>
      </c>
      <c r="AH46" s="151">
        <v>500</v>
      </c>
      <c r="AI46" s="151">
        <v>465</v>
      </c>
      <c r="AJ46" s="151">
        <v>463</v>
      </c>
      <c r="AK46" s="151">
        <v>435</v>
      </c>
      <c r="AL46" s="151">
        <v>430</v>
      </c>
      <c r="AM46" s="151">
        <v>450</v>
      </c>
      <c r="AN46" s="151">
        <v>473</v>
      </c>
      <c r="AO46" s="151">
        <v>483</v>
      </c>
      <c r="AP46" s="151">
        <v>447</v>
      </c>
      <c r="AQ46" s="151">
        <v>419</v>
      </c>
      <c r="AR46" s="151">
        <v>447</v>
      </c>
      <c r="AS46" s="151">
        <v>463</v>
      </c>
      <c r="AT46" s="151">
        <v>390</v>
      </c>
      <c r="AU46" s="151">
        <v>480</v>
      </c>
      <c r="AV46" s="151">
        <v>460</v>
      </c>
      <c r="AW46" s="151">
        <v>450</v>
      </c>
      <c r="AX46" s="151">
        <v>453</v>
      </c>
      <c r="AY46" s="151">
        <v>470</v>
      </c>
      <c r="AZ46" s="151">
        <v>459</v>
      </c>
      <c r="BA46" s="152">
        <v>380</v>
      </c>
      <c r="BB46" s="152">
        <v>440</v>
      </c>
      <c r="BC46" s="152">
        <v>443</v>
      </c>
      <c r="BD46" s="152"/>
      <c r="BE46" s="152"/>
      <c r="BF46" s="152"/>
      <c r="BG46" s="152"/>
      <c r="BH46" s="152"/>
      <c r="BI46" s="152"/>
      <c r="BJ46" s="152"/>
      <c r="BK46" s="152"/>
      <c r="BL46" s="152"/>
      <c r="BM46" s="152"/>
      <c r="BN46" s="152"/>
      <c r="BO46" s="152"/>
      <c r="BP46" s="152"/>
      <c r="BQ46" s="152"/>
      <c r="BR46" s="152"/>
      <c r="BS46" s="152"/>
      <c r="BT46" s="152"/>
      <c r="BU46" s="152"/>
      <c r="BV46" s="152"/>
      <c r="BW46" s="152"/>
      <c r="BX46" s="152"/>
      <c r="BY46" s="152"/>
      <c r="BZ46" s="153">
        <f t="shared" si="1"/>
        <v>24020</v>
      </c>
    </row>
    <row r="47" spans="1:78" x14ac:dyDescent="0.35">
      <c r="A47" s="154" t="s">
        <v>47</v>
      </c>
      <c r="B47" s="155" t="str">
        <f t="shared" si="2"/>
        <v/>
      </c>
      <c r="C47" s="156"/>
      <c r="D47" s="157"/>
      <c r="E47" s="157"/>
      <c r="F47" s="157"/>
      <c r="G47" s="157"/>
      <c r="H47" s="157"/>
      <c r="I47" s="157"/>
      <c r="J47" s="157"/>
      <c r="K47" s="15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  <c r="AX47" s="107"/>
      <c r="AY47" s="107"/>
      <c r="AZ47" s="107"/>
      <c r="BA47" s="106"/>
      <c r="BB47" s="106"/>
      <c r="BC47" s="106"/>
      <c r="BD47" s="106"/>
      <c r="BE47" s="106"/>
      <c r="BF47" s="106"/>
      <c r="BG47" s="106"/>
      <c r="BH47" s="106"/>
      <c r="BI47" s="106"/>
      <c r="BJ47" s="106"/>
      <c r="BK47" s="106"/>
      <c r="BL47" s="106"/>
      <c r="BM47" s="106"/>
      <c r="BN47" s="106"/>
      <c r="BO47" s="106"/>
      <c r="BP47" s="106"/>
      <c r="BQ47" s="106"/>
      <c r="BR47" s="106"/>
      <c r="BS47" s="106"/>
      <c r="BT47" s="106"/>
      <c r="BU47" s="106"/>
      <c r="BV47" s="106"/>
      <c r="BW47" s="106"/>
      <c r="BX47" s="106"/>
      <c r="BY47" s="106"/>
      <c r="BZ47" s="158">
        <f t="shared" si="1"/>
        <v>0</v>
      </c>
    </row>
    <row r="48" spans="1:78" x14ac:dyDescent="0.35">
      <c r="A48" s="147" t="s">
        <v>48</v>
      </c>
      <c r="B48" s="148">
        <f t="shared" si="2"/>
        <v>7.0641509433962257</v>
      </c>
      <c r="C48" s="159">
        <v>7</v>
      </c>
      <c r="D48" s="160">
        <v>7</v>
      </c>
      <c r="E48" s="160">
        <v>7</v>
      </c>
      <c r="F48" s="160">
        <v>7</v>
      </c>
      <c r="G48" s="160">
        <v>7</v>
      </c>
      <c r="H48" s="160">
        <v>7</v>
      </c>
      <c r="I48" s="160">
        <v>8</v>
      </c>
      <c r="J48" s="160">
        <v>7</v>
      </c>
      <c r="K48" s="160">
        <v>7</v>
      </c>
      <c r="L48" s="161">
        <v>7</v>
      </c>
      <c r="M48" s="161">
        <v>7</v>
      </c>
      <c r="N48" s="161">
        <v>7</v>
      </c>
      <c r="O48" s="161">
        <v>7</v>
      </c>
      <c r="P48" s="161">
        <v>7</v>
      </c>
      <c r="Q48" s="161">
        <v>7</v>
      </c>
      <c r="R48" s="161">
        <v>7</v>
      </c>
      <c r="S48" s="161">
        <v>7</v>
      </c>
      <c r="T48" s="161">
        <v>7</v>
      </c>
      <c r="U48" s="161">
        <v>7</v>
      </c>
      <c r="V48" s="161">
        <v>7</v>
      </c>
      <c r="W48" s="161">
        <v>7</v>
      </c>
      <c r="X48" s="161">
        <v>7</v>
      </c>
      <c r="Y48" s="161">
        <v>7</v>
      </c>
      <c r="Z48" s="161">
        <v>7</v>
      </c>
      <c r="AA48" s="161">
        <v>7</v>
      </c>
      <c r="AB48" s="161">
        <v>7</v>
      </c>
      <c r="AC48" s="161">
        <v>7</v>
      </c>
      <c r="AD48" s="161">
        <v>7</v>
      </c>
      <c r="AE48" s="161">
        <v>7</v>
      </c>
      <c r="AF48" s="161">
        <v>7</v>
      </c>
      <c r="AG48" s="161">
        <v>7</v>
      </c>
      <c r="AH48" s="161">
        <v>7</v>
      </c>
      <c r="AI48" s="161">
        <v>7</v>
      </c>
      <c r="AJ48" s="161">
        <v>7</v>
      </c>
      <c r="AK48" s="161">
        <v>7</v>
      </c>
      <c r="AL48" s="161">
        <v>7</v>
      </c>
      <c r="AM48" s="161">
        <v>7</v>
      </c>
      <c r="AN48" s="161">
        <v>7</v>
      </c>
      <c r="AO48" s="161">
        <v>7</v>
      </c>
      <c r="AP48" s="161">
        <v>7</v>
      </c>
      <c r="AQ48" s="161">
        <v>7</v>
      </c>
      <c r="AR48" s="161">
        <v>7</v>
      </c>
      <c r="AS48" s="161">
        <v>7</v>
      </c>
      <c r="AT48" s="161">
        <v>7</v>
      </c>
      <c r="AU48" s="161">
        <v>7</v>
      </c>
      <c r="AV48" s="161">
        <v>7</v>
      </c>
      <c r="AW48" s="161">
        <v>7</v>
      </c>
      <c r="AX48" s="161">
        <v>7</v>
      </c>
      <c r="AY48" s="161">
        <v>8</v>
      </c>
      <c r="AZ48" s="161">
        <v>7</v>
      </c>
      <c r="BA48" s="162">
        <v>7.2</v>
      </c>
      <c r="BB48" s="162">
        <v>7.2</v>
      </c>
      <c r="BC48" s="162">
        <v>8</v>
      </c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2"/>
      <c r="BX48" s="162"/>
      <c r="BY48" s="162"/>
      <c r="BZ48" s="163">
        <f t="shared" si="1"/>
        <v>374.4</v>
      </c>
    </row>
    <row r="49" spans="1:78" x14ac:dyDescent="0.35">
      <c r="A49" s="154" t="s">
        <v>49</v>
      </c>
      <c r="B49" s="155">
        <f t="shared" si="2"/>
        <v>91.84905660377359</v>
      </c>
      <c r="C49" s="156">
        <v>94</v>
      </c>
      <c r="D49" s="157">
        <v>92</v>
      </c>
      <c r="E49" s="157">
        <v>89</v>
      </c>
      <c r="F49" s="157">
        <v>91</v>
      </c>
      <c r="G49" s="157">
        <v>91</v>
      </c>
      <c r="H49" s="157">
        <v>96</v>
      </c>
      <c r="I49" s="157">
        <v>91</v>
      </c>
      <c r="J49" s="157">
        <v>85</v>
      </c>
      <c r="K49" s="157">
        <v>94</v>
      </c>
      <c r="L49" s="157">
        <v>89</v>
      </c>
      <c r="M49" s="157">
        <v>93</v>
      </c>
      <c r="N49" s="157">
        <v>92</v>
      </c>
      <c r="O49" s="157">
        <v>90</v>
      </c>
      <c r="P49" s="157">
        <v>91</v>
      </c>
      <c r="Q49" s="157">
        <v>92</v>
      </c>
      <c r="R49" s="157">
        <v>92</v>
      </c>
      <c r="S49" s="157">
        <v>93</v>
      </c>
      <c r="T49" s="107">
        <v>92</v>
      </c>
      <c r="U49" s="107">
        <v>93</v>
      </c>
      <c r="V49" s="107">
        <v>92</v>
      </c>
      <c r="W49" s="107">
        <v>103</v>
      </c>
      <c r="X49" s="107">
        <v>92</v>
      </c>
      <c r="Y49" s="107">
        <v>93</v>
      </c>
      <c r="Z49" s="107">
        <v>93</v>
      </c>
      <c r="AA49" s="107">
        <v>93</v>
      </c>
      <c r="AB49" s="107">
        <v>91</v>
      </c>
      <c r="AC49" s="107">
        <v>94</v>
      </c>
      <c r="AD49" s="107">
        <v>96</v>
      </c>
      <c r="AE49" s="107">
        <v>93</v>
      </c>
      <c r="AF49" s="107">
        <v>91</v>
      </c>
      <c r="AG49" s="107">
        <v>84</v>
      </c>
      <c r="AH49" s="107">
        <v>97</v>
      </c>
      <c r="AI49" s="107">
        <v>91</v>
      </c>
      <c r="AJ49" s="107">
        <v>92</v>
      </c>
      <c r="AK49" s="107">
        <v>90</v>
      </c>
      <c r="AL49" s="107">
        <v>90</v>
      </c>
      <c r="AM49" s="107">
        <v>90</v>
      </c>
      <c r="AN49" s="107">
        <v>97</v>
      </c>
      <c r="AO49" s="107">
        <v>93</v>
      </c>
      <c r="AP49" s="107">
        <v>90</v>
      </c>
      <c r="AQ49" s="107">
        <v>90</v>
      </c>
      <c r="AR49" s="107">
        <v>90</v>
      </c>
      <c r="AS49" s="107">
        <v>91</v>
      </c>
      <c r="AT49" s="107">
        <v>92</v>
      </c>
      <c r="AU49" s="107">
        <v>93</v>
      </c>
      <c r="AV49" s="107">
        <v>92</v>
      </c>
      <c r="AW49" s="107">
        <v>90</v>
      </c>
      <c r="AX49" s="107">
        <v>89</v>
      </c>
      <c r="AY49" s="107">
        <v>90</v>
      </c>
      <c r="AZ49" s="107">
        <v>92</v>
      </c>
      <c r="BA49" s="106">
        <v>90</v>
      </c>
      <c r="BB49" s="106">
        <v>95</v>
      </c>
      <c r="BC49" s="106">
        <v>89</v>
      </c>
      <c r="BD49" s="106"/>
      <c r="BE49" s="106"/>
      <c r="BF49" s="106"/>
      <c r="BG49" s="106"/>
      <c r="BH49" s="106"/>
      <c r="BI49" s="106"/>
      <c r="BJ49" s="106"/>
      <c r="BK49" s="106"/>
      <c r="BL49" s="106"/>
      <c r="BM49" s="106"/>
      <c r="BN49" s="106"/>
      <c r="BO49" s="106"/>
      <c r="BP49" s="106"/>
      <c r="BQ49" s="106"/>
      <c r="BR49" s="106"/>
      <c r="BS49" s="106"/>
      <c r="BT49" s="106"/>
      <c r="BU49" s="106"/>
      <c r="BV49" s="106"/>
      <c r="BW49" s="106"/>
      <c r="BX49" s="106"/>
      <c r="BY49" s="106"/>
      <c r="BZ49" s="158">
        <f t="shared" si="1"/>
        <v>4868</v>
      </c>
    </row>
    <row r="50" spans="1:78" x14ac:dyDescent="0.35">
      <c r="A50" s="147" t="s">
        <v>50</v>
      </c>
      <c r="B50" s="148">
        <f t="shared" si="2"/>
        <v>34.528301886792455</v>
      </c>
      <c r="C50" s="159">
        <v>36</v>
      </c>
      <c r="D50" s="160">
        <v>35</v>
      </c>
      <c r="E50" s="160">
        <v>34</v>
      </c>
      <c r="F50" s="160">
        <v>34</v>
      </c>
      <c r="G50" s="160">
        <v>35</v>
      </c>
      <c r="H50" s="160">
        <v>36</v>
      </c>
      <c r="I50" s="160">
        <v>36</v>
      </c>
      <c r="J50" s="160">
        <v>31</v>
      </c>
      <c r="K50" s="160">
        <v>35</v>
      </c>
      <c r="L50" s="161">
        <v>34</v>
      </c>
      <c r="M50" s="161">
        <v>35</v>
      </c>
      <c r="N50" s="161">
        <v>35</v>
      </c>
      <c r="O50" s="161">
        <v>34</v>
      </c>
      <c r="P50" s="161">
        <v>34</v>
      </c>
      <c r="Q50" s="161">
        <v>35</v>
      </c>
      <c r="R50" s="161">
        <v>35</v>
      </c>
      <c r="S50" s="161">
        <v>35</v>
      </c>
      <c r="T50" s="161">
        <v>34</v>
      </c>
      <c r="U50" s="161">
        <v>34</v>
      </c>
      <c r="V50" s="161">
        <v>35</v>
      </c>
      <c r="W50" s="161">
        <v>38</v>
      </c>
      <c r="X50" s="161">
        <v>34</v>
      </c>
      <c r="Y50" s="161">
        <v>35</v>
      </c>
      <c r="Z50" s="161">
        <v>35</v>
      </c>
      <c r="AA50" s="161">
        <v>34</v>
      </c>
      <c r="AB50" s="161">
        <v>34</v>
      </c>
      <c r="AC50" s="161">
        <v>35</v>
      </c>
      <c r="AD50" s="161">
        <v>35</v>
      </c>
      <c r="AE50" s="161">
        <v>34</v>
      </c>
      <c r="AF50" s="161">
        <v>34</v>
      </c>
      <c r="AG50" s="161">
        <v>32</v>
      </c>
      <c r="AH50" s="161">
        <v>37</v>
      </c>
      <c r="AI50" s="161">
        <v>34</v>
      </c>
      <c r="AJ50" s="161">
        <v>35</v>
      </c>
      <c r="AK50" s="161">
        <v>35</v>
      </c>
      <c r="AL50" s="161">
        <v>34</v>
      </c>
      <c r="AM50" s="161">
        <v>35</v>
      </c>
      <c r="AN50" s="161">
        <v>36</v>
      </c>
      <c r="AO50" s="161">
        <v>34</v>
      </c>
      <c r="AP50" s="161">
        <v>34</v>
      </c>
      <c r="AQ50" s="161">
        <v>33</v>
      </c>
      <c r="AR50" s="161">
        <v>33</v>
      </c>
      <c r="AS50" s="161">
        <v>35</v>
      </c>
      <c r="AT50" s="161">
        <v>35</v>
      </c>
      <c r="AU50" s="161">
        <v>35</v>
      </c>
      <c r="AV50" s="161">
        <v>35</v>
      </c>
      <c r="AW50" s="161">
        <v>34</v>
      </c>
      <c r="AX50" s="161">
        <v>34</v>
      </c>
      <c r="AY50" s="161">
        <v>34</v>
      </c>
      <c r="AZ50" s="161">
        <v>34</v>
      </c>
      <c r="BA50" s="162">
        <v>34</v>
      </c>
      <c r="BB50" s="162">
        <v>35</v>
      </c>
      <c r="BC50" s="162">
        <v>33</v>
      </c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2"/>
      <c r="BX50" s="162"/>
      <c r="BY50" s="162"/>
      <c r="BZ50" s="163">
        <f t="shared" si="1"/>
        <v>1830</v>
      </c>
    </row>
    <row r="51" spans="1:78" x14ac:dyDescent="0.35">
      <c r="A51" s="154" t="s">
        <v>51</v>
      </c>
      <c r="B51" s="155">
        <f t="shared" si="2"/>
        <v>91.84905660377359</v>
      </c>
      <c r="C51" s="156">
        <v>94</v>
      </c>
      <c r="D51" s="157">
        <v>92</v>
      </c>
      <c r="E51" s="157">
        <v>89</v>
      </c>
      <c r="F51" s="157">
        <v>91</v>
      </c>
      <c r="G51" s="157">
        <v>91</v>
      </c>
      <c r="H51" s="157">
        <v>96</v>
      </c>
      <c r="I51" s="157">
        <v>91</v>
      </c>
      <c r="J51" s="157">
        <v>85</v>
      </c>
      <c r="K51" s="157">
        <v>94</v>
      </c>
      <c r="L51" s="107">
        <v>89</v>
      </c>
      <c r="M51" s="107">
        <v>93</v>
      </c>
      <c r="N51" s="107">
        <v>92</v>
      </c>
      <c r="O51" s="107">
        <v>90</v>
      </c>
      <c r="P51" s="107">
        <v>91</v>
      </c>
      <c r="Q51" s="107">
        <v>92</v>
      </c>
      <c r="R51" s="107">
        <v>92</v>
      </c>
      <c r="S51" s="107">
        <v>93</v>
      </c>
      <c r="T51" s="107">
        <v>92</v>
      </c>
      <c r="U51" s="107">
        <v>93</v>
      </c>
      <c r="V51" s="107">
        <v>92</v>
      </c>
      <c r="W51" s="107">
        <v>103</v>
      </c>
      <c r="X51" s="107">
        <v>92</v>
      </c>
      <c r="Y51" s="107">
        <v>93</v>
      </c>
      <c r="Z51" s="107">
        <v>93</v>
      </c>
      <c r="AA51" s="107">
        <v>93</v>
      </c>
      <c r="AB51" s="107">
        <v>91</v>
      </c>
      <c r="AC51" s="107">
        <v>94</v>
      </c>
      <c r="AD51" s="107">
        <v>96</v>
      </c>
      <c r="AE51" s="107">
        <v>93</v>
      </c>
      <c r="AF51" s="107">
        <v>91</v>
      </c>
      <c r="AG51" s="107">
        <v>84</v>
      </c>
      <c r="AH51" s="107">
        <v>97</v>
      </c>
      <c r="AI51" s="107">
        <v>91</v>
      </c>
      <c r="AJ51" s="107">
        <v>92</v>
      </c>
      <c r="AK51" s="107">
        <v>90</v>
      </c>
      <c r="AL51" s="107">
        <v>90</v>
      </c>
      <c r="AM51" s="107">
        <v>90</v>
      </c>
      <c r="AN51" s="107">
        <v>97</v>
      </c>
      <c r="AO51" s="107">
        <v>93</v>
      </c>
      <c r="AP51" s="107">
        <v>90</v>
      </c>
      <c r="AQ51" s="107">
        <v>90</v>
      </c>
      <c r="AR51" s="107">
        <v>90</v>
      </c>
      <c r="AS51" s="107">
        <v>91</v>
      </c>
      <c r="AT51" s="107">
        <v>92</v>
      </c>
      <c r="AU51" s="107">
        <v>93</v>
      </c>
      <c r="AV51" s="107">
        <v>92</v>
      </c>
      <c r="AW51" s="107">
        <v>90</v>
      </c>
      <c r="AX51" s="107">
        <v>89</v>
      </c>
      <c r="AY51" s="107">
        <v>90</v>
      </c>
      <c r="AZ51" s="107">
        <v>92</v>
      </c>
      <c r="BA51" s="106">
        <v>90</v>
      </c>
      <c r="BB51" s="106">
        <v>95</v>
      </c>
      <c r="BC51" s="106">
        <v>89</v>
      </c>
      <c r="BD51" s="106"/>
      <c r="BE51" s="106"/>
      <c r="BF51" s="106"/>
      <c r="BG51" s="106"/>
      <c r="BH51" s="106"/>
      <c r="BI51" s="106"/>
      <c r="BJ51" s="106"/>
      <c r="BK51" s="106"/>
      <c r="BL51" s="106"/>
      <c r="BM51" s="106"/>
      <c r="BN51" s="106"/>
      <c r="BO51" s="106"/>
      <c r="BP51" s="106"/>
      <c r="BQ51" s="106"/>
      <c r="BR51" s="106"/>
      <c r="BS51" s="106"/>
      <c r="BT51" s="106"/>
      <c r="BU51" s="106"/>
      <c r="BV51" s="106"/>
      <c r="BW51" s="106"/>
      <c r="BX51" s="106"/>
      <c r="BY51" s="106"/>
      <c r="BZ51" s="158">
        <f t="shared" si="1"/>
        <v>4868</v>
      </c>
    </row>
    <row r="52" spans="1:78" x14ac:dyDescent="0.35">
      <c r="A52" s="147" t="s">
        <v>52</v>
      </c>
      <c r="B52" s="148">
        <f t="shared" si="2"/>
        <v>16.666666666666668</v>
      </c>
      <c r="C52" s="159">
        <v>20</v>
      </c>
      <c r="D52" s="160">
        <v>10</v>
      </c>
      <c r="E52" s="160">
        <v>20</v>
      </c>
      <c r="F52" s="160">
        <v>20</v>
      </c>
      <c r="G52" s="160">
        <v>20</v>
      </c>
      <c r="H52" s="160">
        <v>20</v>
      </c>
      <c r="I52" s="160">
        <v>40</v>
      </c>
      <c r="J52" s="160">
        <v>20</v>
      </c>
      <c r="K52" s="160">
        <v>20</v>
      </c>
      <c r="L52" s="161">
        <v>20</v>
      </c>
      <c r="M52" s="161">
        <v>20</v>
      </c>
      <c r="N52" s="161">
        <v>20</v>
      </c>
      <c r="O52" s="161">
        <v>10</v>
      </c>
      <c r="P52" s="161">
        <v>20</v>
      </c>
      <c r="Q52" s="161">
        <v>20</v>
      </c>
      <c r="R52" s="161">
        <v>20</v>
      </c>
      <c r="S52" s="161">
        <v>20</v>
      </c>
      <c r="T52" s="161">
        <v>20</v>
      </c>
      <c r="U52" s="161">
        <v>20</v>
      </c>
      <c r="V52" s="161">
        <v>20</v>
      </c>
      <c r="W52" s="161">
        <v>20</v>
      </c>
      <c r="X52" s="161">
        <v>10</v>
      </c>
      <c r="Y52" s="161">
        <v>20</v>
      </c>
      <c r="Z52" s="161">
        <v>20</v>
      </c>
      <c r="AA52" s="161">
        <v>20</v>
      </c>
      <c r="AB52" s="161">
        <v>10</v>
      </c>
      <c r="AC52" s="161">
        <v>20</v>
      </c>
      <c r="AD52" s="161">
        <v>20</v>
      </c>
      <c r="AE52" s="161">
        <v>10</v>
      </c>
      <c r="AF52" s="161">
        <v>20</v>
      </c>
      <c r="AG52" s="161"/>
      <c r="AH52" s="161">
        <v>20</v>
      </c>
      <c r="AI52" s="161">
        <v>20</v>
      </c>
      <c r="AJ52" s="161">
        <v>10</v>
      </c>
      <c r="AK52" s="161">
        <v>10</v>
      </c>
      <c r="AL52" s="161">
        <v>20</v>
      </c>
      <c r="AM52" s="161">
        <v>20</v>
      </c>
      <c r="AN52" s="161">
        <v>10</v>
      </c>
      <c r="AO52" s="161">
        <v>10</v>
      </c>
      <c r="AP52" s="161">
        <v>10</v>
      </c>
      <c r="AQ52" s="161">
        <v>10</v>
      </c>
      <c r="AR52" s="161">
        <v>10</v>
      </c>
      <c r="AS52" s="161">
        <v>20</v>
      </c>
      <c r="AT52" s="161">
        <v>20</v>
      </c>
      <c r="AU52" s="161">
        <v>10</v>
      </c>
      <c r="AV52" s="161">
        <v>20</v>
      </c>
      <c r="AW52" s="161">
        <v>10</v>
      </c>
      <c r="AX52" s="161">
        <v>10</v>
      </c>
      <c r="AY52" s="161">
        <v>10</v>
      </c>
      <c r="AZ52" s="161">
        <v>10</v>
      </c>
      <c r="BA52" s="162">
        <v>10</v>
      </c>
      <c r="BB52" s="162">
        <v>10</v>
      </c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2"/>
      <c r="BX52" s="162"/>
      <c r="BY52" s="162"/>
      <c r="BZ52" s="163">
        <f t="shared" si="1"/>
        <v>850</v>
      </c>
    </row>
    <row r="53" spans="1:78" x14ac:dyDescent="0.35">
      <c r="A53" s="154"/>
      <c r="B53" s="155" t="str">
        <f t="shared" si="2"/>
        <v/>
      </c>
      <c r="C53" s="156"/>
      <c r="D53" s="157"/>
      <c r="E53" s="157"/>
      <c r="F53" s="157"/>
      <c r="G53" s="157"/>
      <c r="H53" s="157"/>
      <c r="I53" s="157"/>
      <c r="J53" s="157"/>
      <c r="K53" s="15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7"/>
      <c r="AZ53" s="107"/>
      <c r="BA53" s="106"/>
      <c r="BB53" s="106"/>
      <c r="BC53" s="106"/>
      <c r="BD53" s="106"/>
      <c r="BE53" s="106"/>
      <c r="BF53" s="106"/>
      <c r="BG53" s="106"/>
      <c r="BH53" s="106"/>
      <c r="BI53" s="106"/>
      <c r="BJ53" s="106"/>
      <c r="BK53" s="106"/>
      <c r="BL53" s="106"/>
      <c r="BM53" s="106"/>
      <c r="BN53" s="106"/>
      <c r="BO53" s="106"/>
      <c r="BP53" s="106"/>
      <c r="BQ53" s="106"/>
      <c r="BR53" s="106"/>
      <c r="BS53" s="106"/>
      <c r="BT53" s="106"/>
      <c r="BU53" s="106"/>
      <c r="BV53" s="106"/>
      <c r="BW53" s="106"/>
      <c r="BX53" s="106"/>
      <c r="BY53" s="106"/>
      <c r="BZ53" s="158">
        <f t="shared" si="1"/>
        <v>0</v>
      </c>
    </row>
    <row r="54" spans="1:78" x14ac:dyDescent="0.35">
      <c r="A54" s="147">
        <f>'[9]Set Up'!E58</f>
        <v>0</v>
      </c>
      <c r="B54" s="148" t="str">
        <f t="shared" si="2"/>
        <v/>
      </c>
      <c r="C54" s="159"/>
      <c r="D54" s="160"/>
      <c r="E54" s="160"/>
      <c r="F54" s="160"/>
      <c r="G54" s="160"/>
      <c r="H54" s="160"/>
      <c r="I54" s="160"/>
      <c r="J54" s="160"/>
      <c r="K54" s="160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  <c r="AB54" s="161"/>
      <c r="AC54" s="161"/>
      <c r="AD54" s="161"/>
      <c r="AE54" s="161"/>
      <c r="AF54" s="161"/>
      <c r="AG54" s="161"/>
      <c r="AH54" s="161"/>
      <c r="AI54" s="161"/>
      <c r="AJ54" s="161"/>
      <c r="AK54" s="161"/>
      <c r="AL54" s="161"/>
      <c r="AM54" s="161"/>
      <c r="AN54" s="161"/>
      <c r="AO54" s="161"/>
      <c r="AP54" s="161"/>
      <c r="AQ54" s="161"/>
      <c r="AR54" s="161"/>
      <c r="AS54" s="161"/>
      <c r="AT54" s="161"/>
      <c r="AU54" s="161"/>
      <c r="AV54" s="161"/>
      <c r="AW54" s="161"/>
      <c r="AX54" s="161"/>
      <c r="AY54" s="161"/>
      <c r="AZ54" s="161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2"/>
      <c r="BX54" s="162"/>
      <c r="BY54" s="162"/>
      <c r="BZ54" s="163">
        <f t="shared" si="1"/>
        <v>0</v>
      </c>
    </row>
    <row r="55" spans="1:78" x14ac:dyDescent="0.35">
      <c r="A55" s="154">
        <f>'[9]Set Up'!E59</f>
        <v>0</v>
      </c>
      <c r="B55" s="155" t="str">
        <f t="shared" si="2"/>
        <v/>
      </c>
      <c r="C55" s="156"/>
      <c r="D55" s="157"/>
      <c r="E55" s="157"/>
      <c r="F55" s="157"/>
      <c r="G55" s="157"/>
      <c r="H55" s="157"/>
      <c r="I55" s="157"/>
      <c r="J55" s="157"/>
      <c r="K55" s="157"/>
      <c r="L55" s="107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6"/>
      <c r="BB55" s="106"/>
      <c r="BC55" s="106"/>
      <c r="BD55" s="106"/>
      <c r="BE55" s="106"/>
      <c r="BF55" s="106"/>
      <c r="BG55" s="106"/>
      <c r="BH55" s="106"/>
      <c r="BI55" s="106"/>
      <c r="BJ55" s="106"/>
      <c r="BK55" s="106"/>
      <c r="BL55" s="106"/>
      <c r="BM55" s="106"/>
      <c r="BN55" s="106"/>
      <c r="BO55" s="106"/>
      <c r="BP55" s="106"/>
      <c r="BQ55" s="106"/>
      <c r="BR55" s="106"/>
      <c r="BS55" s="106"/>
      <c r="BT55" s="106"/>
      <c r="BU55" s="106"/>
      <c r="BV55" s="106"/>
      <c r="BW55" s="106"/>
      <c r="BX55" s="106"/>
      <c r="BY55" s="106"/>
      <c r="BZ55" s="158">
        <f t="shared" si="1"/>
        <v>0</v>
      </c>
    </row>
    <row r="56" spans="1:78" x14ac:dyDescent="0.35">
      <c r="A56" s="164">
        <f>'[9]Set Up'!E60</f>
        <v>0</v>
      </c>
      <c r="B56" s="165" t="str">
        <f t="shared" si="2"/>
        <v/>
      </c>
      <c r="C56" s="159"/>
      <c r="D56" s="160"/>
      <c r="E56" s="160"/>
      <c r="F56" s="160"/>
      <c r="G56" s="160"/>
      <c r="H56" s="160"/>
      <c r="I56" s="160"/>
      <c r="J56" s="160"/>
      <c r="K56" s="160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61"/>
      <c r="AM56" s="161"/>
      <c r="AN56" s="161"/>
      <c r="AO56" s="161"/>
      <c r="AP56" s="161"/>
      <c r="AQ56" s="161"/>
      <c r="AR56" s="161"/>
      <c r="AS56" s="161"/>
      <c r="AT56" s="161"/>
      <c r="AU56" s="161"/>
      <c r="AV56" s="161"/>
      <c r="AW56" s="161"/>
      <c r="AX56" s="161"/>
      <c r="AY56" s="161"/>
      <c r="AZ56" s="161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2"/>
      <c r="BX56" s="162"/>
      <c r="BY56" s="162"/>
      <c r="BZ56" s="163">
        <f t="shared" si="1"/>
        <v>0</v>
      </c>
    </row>
    <row r="57" spans="1:78" x14ac:dyDescent="0.35">
      <c r="A57" s="166" t="s">
        <v>45</v>
      </c>
      <c r="B57" s="167">
        <f t="shared" si="2"/>
        <v>1202.8301886792453</v>
      </c>
      <c r="C57" s="156">
        <v>1200</v>
      </c>
      <c r="D57" s="157">
        <v>1200</v>
      </c>
      <c r="E57" s="157">
        <v>1200</v>
      </c>
      <c r="F57" s="157">
        <v>1200</v>
      </c>
      <c r="G57" s="157">
        <v>1200</v>
      </c>
      <c r="H57" s="157">
        <v>1200</v>
      </c>
      <c r="I57" s="157">
        <v>1200</v>
      </c>
      <c r="J57" s="157">
        <v>1200</v>
      </c>
      <c r="K57" s="157">
        <v>1200</v>
      </c>
      <c r="L57" s="107">
        <v>1200</v>
      </c>
      <c r="M57" s="107">
        <v>1200</v>
      </c>
      <c r="N57" s="107">
        <v>1200</v>
      </c>
      <c r="O57" s="107">
        <v>1200</v>
      </c>
      <c r="P57" s="107">
        <v>1200</v>
      </c>
      <c r="Q57" s="107">
        <v>1200</v>
      </c>
      <c r="R57" s="107">
        <v>1200</v>
      </c>
      <c r="S57" s="107">
        <v>1200</v>
      </c>
      <c r="T57" s="107">
        <v>1200</v>
      </c>
      <c r="U57" s="107">
        <v>1200</v>
      </c>
      <c r="V57" s="107">
        <v>1200</v>
      </c>
      <c r="W57" s="107">
        <v>1200</v>
      </c>
      <c r="X57" s="107">
        <v>1200</v>
      </c>
      <c r="Y57" s="107">
        <v>1200</v>
      </c>
      <c r="Z57" s="107">
        <v>1200</v>
      </c>
      <c r="AA57" s="107">
        <v>1200</v>
      </c>
      <c r="AB57" s="107">
        <v>1200</v>
      </c>
      <c r="AC57" s="107">
        <v>1200</v>
      </c>
      <c r="AD57" s="107">
        <v>1200</v>
      </c>
      <c r="AE57" s="107">
        <v>1200</v>
      </c>
      <c r="AF57" s="107">
        <v>1200</v>
      </c>
      <c r="AG57" s="107">
        <v>1200</v>
      </c>
      <c r="AH57" s="107">
        <v>1200</v>
      </c>
      <c r="AI57" s="107">
        <v>1200</v>
      </c>
      <c r="AJ57" s="107">
        <v>1200</v>
      </c>
      <c r="AK57" s="107">
        <v>1200</v>
      </c>
      <c r="AL57" s="107">
        <v>1200</v>
      </c>
      <c r="AM57" s="107">
        <v>1200</v>
      </c>
      <c r="AN57" s="107">
        <v>1200</v>
      </c>
      <c r="AO57" s="107">
        <v>1200</v>
      </c>
      <c r="AP57" s="107">
        <v>1200</v>
      </c>
      <c r="AQ57" s="107">
        <v>1200</v>
      </c>
      <c r="AR57" s="107">
        <v>1200</v>
      </c>
      <c r="AS57" s="107">
        <v>1200</v>
      </c>
      <c r="AT57" s="107">
        <v>1200</v>
      </c>
      <c r="AU57" s="107">
        <v>1200</v>
      </c>
      <c r="AV57" s="107">
        <v>1200</v>
      </c>
      <c r="AW57" s="107">
        <v>1200</v>
      </c>
      <c r="AX57" s="107">
        <v>1200</v>
      </c>
      <c r="AY57" s="107">
        <v>1256</v>
      </c>
      <c r="AZ57" s="107">
        <v>1200</v>
      </c>
      <c r="BA57" s="107">
        <v>1190</v>
      </c>
      <c r="BB57" s="107">
        <v>1240</v>
      </c>
      <c r="BC57" s="107">
        <v>1264</v>
      </c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  <c r="BT57" s="107"/>
      <c r="BU57" s="107"/>
      <c r="BV57" s="107"/>
      <c r="BW57" s="107"/>
      <c r="BX57" s="107"/>
      <c r="BY57" s="107"/>
      <c r="BZ57" s="90">
        <f t="shared" si="1"/>
        <v>63750</v>
      </c>
    </row>
  </sheetData>
  <mergeCells count="14">
    <mergeCell ref="B1:D1"/>
    <mergeCell ref="F1:G1"/>
    <mergeCell ref="B2:D2"/>
    <mergeCell ref="F2:G2"/>
    <mergeCell ref="B3:D3"/>
    <mergeCell ref="F3:G3"/>
    <mergeCell ref="B12:B14"/>
    <mergeCell ref="C15:I15"/>
    <mergeCell ref="B4:D4"/>
    <mergeCell ref="F4:G4"/>
    <mergeCell ref="B5:E5"/>
    <mergeCell ref="F5:H5"/>
    <mergeCell ref="I5:K5"/>
    <mergeCell ref="B7:B1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Z58"/>
  <sheetViews>
    <sheetView topLeftCell="A31" workbookViewId="0">
      <selection sqref="A1:XFD1048576"/>
    </sheetView>
  </sheetViews>
  <sheetFormatPr defaultRowHeight="14.5" x14ac:dyDescent="0.35"/>
  <cols>
    <col min="1" max="1" width="21.1796875" bestFit="1" customWidth="1"/>
    <col min="2" max="2" width="17.81640625" bestFit="1" customWidth="1"/>
    <col min="3" max="4" width="7.453125" bestFit="1" customWidth="1"/>
    <col min="5" max="5" width="9.54296875" bestFit="1" customWidth="1"/>
    <col min="6" max="7" width="7.453125" bestFit="1" customWidth="1"/>
    <col min="8" max="8" width="8.1796875" bestFit="1" customWidth="1"/>
    <col min="9" max="9" width="7.453125" bestFit="1" customWidth="1"/>
    <col min="10" max="10" width="8" bestFit="1" customWidth="1"/>
    <col min="11" max="50" width="7.453125" bestFit="1" customWidth="1"/>
    <col min="51" max="77" width="3.1796875" bestFit="1" customWidth="1"/>
    <col min="78" max="78" width="9.81640625" bestFit="1" customWidth="1"/>
  </cols>
  <sheetData>
    <row r="1" spans="1:78" ht="24" thickTop="1" x14ac:dyDescent="0.35">
      <c r="A1" s="198"/>
      <c r="B1" s="199"/>
      <c r="C1" s="199"/>
      <c r="D1" s="199"/>
      <c r="E1" s="200" t="s">
        <v>0</v>
      </c>
      <c r="F1" s="199"/>
      <c r="G1" s="199"/>
      <c r="H1" s="199"/>
      <c r="I1" s="199"/>
      <c r="J1" s="199"/>
      <c r="K1" s="201"/>
      <c r="L1" s="202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2"/>
    </row>
    <row r="2" spans="1:78" x14ac:dyDescent="0.35">
      <c r="A2" s="3" t="s">
        <v>1</v>
      </c>
      <c r="B2" s="188" t="str">
        <f>'[10]Set Up'!E5</f>
        <v>Anadarko Petroleum Corporation</v>
      </c>
      <c r="C2" s="207"/>
      <c r="D2" s="208"/>
      <c r="E2" s="4" t="s">
        <v>2</v>
      </c>
      <c r="F2" s="209" t="str">
        <f>'[10]Set Up'!E9</f>
        <v>Wolfcamp Upper Beta</v>
      </c>
      <c r="G2" s="210"/>
      <c r="H2" s="5">
        <f>'[10]Set Up'!K15</f>
        <v>11845</v>
      </c>
      <c r="I2" s="6" t="str">
        <f>'[10]Set Up'!E15</f>
        <v>5-1/2"</v>
      </c>
      <c r="J2" s="7">
        <f>'[10]Set Up'!F15</f>
        <v>23</v>
      </c>
      <c r="K2" s="6" t="str">
        <f>'[10]Set Up'!H15</f>
        <v>P-110</v>
      </c>
      <c r="L2" s="204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8"/>
    </row>
    <row r="3" spans="1:78" x14ac:dyDescent="0.35">
      <c r="A3" s="3" t="s">
        <v>3</v>
      </c>
      <c r="B3" s="188" t="str">
        <f>'[10]Set Up'!E7</f>
        <v>Silvertip 76-7 Unit A 10H</v>
      </c>
      <c r="C3" s="207"/>
      <c r="D3" s="208"/>
      <c r="E3" s="4" t="s">
        <v>4</v>
      </c>
      <c r="F3" s="209" t="str">
        <f>'[10]Set Up'!J7</f>
        <v>2136267.CMP</v>
      </c>
      <c r="G3" s="210"/>
      <c r="H3" s="5">
        <f>'[10]Set Up'!K16</f>
        <v>11272</v>
      </c>
      <c r="I3" s="6" t="str">
        <f>'[10]Set Up'!E16</f>
        <v>4-1/2"</v>
      </c>
      <c r="J3" s="7">
        <f>'[10]Set Up'!F16</f>
        <v>13.5</v>
      </c>
      <c r="K3" s="6" t="str">
        <f>'[10]Set Up'!H16</f>
        <v>P-110</v>
      </c>
      <c r="L3" s="204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8"/>
    </row>
    <row r="4" spans="1:78" x14ac:dyDescent="0.35">
      <c r="A4" s="3" t="s">
        <v>5</v>
      </c>
      <c r="B4" s="188" t="str">
        <f>'[10]Set Up'!E6</f>
        <v>Matt Jones</v>
      </c>
      <c r="C4" s="207"/>
      <c r="D4" s="208"/>
      <c r="E4" s="4" t="s">
        <v>6</v>
      </c>
      <c r="F4" s="211">
        <f>'[10]Set Up'!R2</f>
        <v>12500</v>
      </c>
      <c r="G4" s="212"/>
      <c r="H4" s="5" t="str">
        <f>'[10]Set Up'!K17</f>
        <v/>
      </c>
      <c r="I4" s="6" t="str">
        <f>'[10]Set Up'!E17</f>
        <v/>
      </c>
      <c r="J4" s="7" t="str">
        <f>'[10]Set Up'!F17</f>
        <v/>
      </c>
      <c r="K4" s="6" t="str">
        <f>'[10]Set Up'!H17</f>
        <v/>
      </c>
      <c r="L4" s="204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9"/>
    </row>
    <row r="5" spans="1:78" x14ac:dyDescent="0.35">
      <c r="A5" s="3" t="s">
        <v>7</v>
      </c>
      <c r="B5" s="188" t="str">
        <f>'[10]Set Up'!E8</f>
        <v>Loving County, TX</v>
      </c>
      <c r="C5" s="207"/>
      <c r="D5" s="208"/>
      <c r="E5" s="10" t="s">
        <v>8</v>
      </c>
      <c r="F5" s="186" t="str">
        <f>'[10]Set Up'!R11</f>
        <v>48-Stage SW Plug &amp; Perf</v>
      </c>
      <c r="G5" s="187"/>
      <c r="H5" s="5" t="str">
        <f>'[10]Set Up'!K18</f>
        <v/>
      </c>
      <c r="I5" s="6" t="str">
        <f>'[10]Set Up'!E18</f>
        <v/>
      </c>
      <c r="J5" s="7" t="str">
        <f>'[10]Set Up'!F18</f>
        <v/>
      </c>
      <c r="K5" s="6" t="str">
        <f>'[10]Set Up'!H18</f>
        <v/>
      </c>
      <c r="L5" s="204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8"/>
    </row>
    <row r="6" spans="1:78" x14ac:dyDescent="0.35">
      <c r="A6" s="3" t="s">
        <v>9</v>
      </c>
      <c r="B6" s="188" t="str">
        <f>'[10]Set Up'!E10</f>
        <v>PumpCo 3</v>
      </c>
      <c r="C6" s="189"/>
      <c r="D6" s="189"/>
      <c r="E6" s="190"/>
      <c r="F6" s="191" t="str">
        <f>'[10]Set Up'!E11</f>
        <v>Odessa</v>
      </c>
      <c r="G6" s="192"/>
      <c r="H6" s="193"/>
      <c r="I6" s="191">
        <f>'[10]Set Up'!E12</f>
        <v>0</v>
      </c>
      <c r="J6" s="192"/>
      <c r="K6" s="193"/>
      <c r="L6" s="205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3"/>
    </row>
    <row r="7" spans="1:78" ht="15" thickBot="1" x14ac:dyDescent="0.4">
      <c r="A7" s="14" t="s">
        <v>10</v>
      </c>
      <c r="B7" s="15" t="s">
        <v>11</v>
      </c>
      <c r="C7" s="15">
        <v>1</v>
      </c>
      <c r="D7" s="15">
        <v>2</v>
      </c>
      <c r="E7" s="15">
        <v>3</v>
      </c>
      <c r="F7" s="16">
        <v>4</v>
      </c>
      <c r="G7" s="15">
        <v>5</v>
      </c>
      <c r="H7" s="15">
        <v>6</v>
      </c>
      <c r="I7" s="15">
        <v>7</v>
      </c>
      <c r="J7" s="15">
        <v>8</v>
      </c>
      <c r="K7" s="15">
        <v>9</v>
      </c>
      <c r="L7" s="15">
        <v>10</v>
      </c>
      <c r="M7" s="15">
        <v>11</v>
      </c>
      <c r="N7" s="15">
        <v>12</v>
      </c>
      <c r="O7" s="15">
        <v>13</v>
      </c>
      <c r="P7" s="15">
        <v>14</v>
      </c>
      <c r="Q7" s="15">
        <v>15</v>
      </c>
      <c r="R7" s="15">
        <v>16</v>
      </c>
      <c r="S7" s="15">
        <v>17</v>
      </c>
      <c r="T7" s="15">
        <v>18</v>
      </c>
      <c r="U7" s="15">
        <v>19</v>
      </c>
      <c r="V7" s="15">
        <v>20</v>
      </c>
      <c r="W7" s="15">
        <v>21</v>
      </c>
      <c r="X7" s="15">
        <v>22</v>
      </c>
      <c r="Y7" s="15">
        <v>23</v>
      </c>
      <c r="Z7" s="15">
        <v>24</v>
      </c>
      <c r="AA7" s="15">
        <v>25</v>
      </c>
      <c r="AB7" s="15">
        <v>26</v>
      </c>
      <c r="AC7" s="15">
        <v>27</v>
      </c>
      <c r="AD7" s="15">
        <v>28</v>
      </c>
      <c r="AE7" s="15">
        <v>29</v>
      </c>
      <c r="AF7" s="15">
        <v>30</v>
      </c>
      <c r="AG7" s="15">
        <v>31</v>
      </c>
      <c r="AH7" s="15">
        <v>32</v>
      </c>
      <c r="AI7" s="15">
        <v>33</v>
      </c>
      <c r="AJ7" s="15">
        <v>34</v>
      </c>
      <c r="AK7" s="15">
        <v>35</v>
      </c>
      <c r="AL7" s="15">
        <v>36</v>
      </c>
      <c r="AM7" s="15">
        <v>37</v>
      </c>
      <c r="AN7" s="15">
        <v>38</v>
      </c>
      <c r="AO7" s="15">
        <v>39</v>
      </c>
      <c r="AP7" s="15">
        <v>40</v>
      </c>
      <c r="AQ7" s="15">
        <v>41</v>
      </c>
      <c r="AR7" s="15">
        <v>42</v>
      </c>
      <c r="AS7" s="15">
        <v>43</v>
      </c>
      <c r="AT7" s="15">
        <v>44</v>
      </c>
      <c r="AU7" s="15">
        <v>45</v>
      </c>
      <c r="AV7" s="15">
        <v>46</v>
      </c>
      <c r="AW7" s="15">
        <v>47</v>
      </c>
      <c r="AX7" s="15">
        <v>48</v>
      </c>
      <c r="AY7" s="15">
        <v>49</v>
      </c>
      <c r="AZ7" s="15">
        <v>50</v>
      </c>
      <c r="BA7" s="15">
        <v>51</v>
      </c>
      <c r="BB7" s="15">
        <v>52</v>
      </c>
      <c r="BC7" s="15">
        <v>53</v>
      </c>
      <c r="BD7" s="15">
        <v>54</v>
      </c>
      <c r="BE7" s="15">
        <v>55</v>
      </c>
      <c r="BF7" s="15">
        <v>56</v>
      </c>
      <c r="BG7" s="15">
        <v>57</v>
      </c>
      <c r="BH7" s="15">
        <v>58</v>
      </c>
      <c r="BI7" s="15">
        <v>59</v>
      </c>
      <c r="BJ7" s="15">
        <v>60</v>
      </c>
      <c r="BK7" s="15">
        <v>61</v>
      </c>
      <c r="BL7" s="15">
        <v>62</v>
      </c>
      <c r="BM7" s="15">
        <v>63</v>
      </c>
      <c r="BN7" s="15">
        <v>64</v>
      </c>
      <c r="BO7" s="15">
        <v>65</v>
      </c>
      <c r="BP7" s="15">
        <v>66</v>
      </c>
      <c r="BQ7" s="15">
        <v>67</v>
      </c>
      <c r="BR7" s="15">
        <v>68</v>
      </c>
      <c r="BS7" s="15">
        <v>69</v>
      </c>
      <c r="BT7" s="15">
        <v>70</v>
      </c>
      <c r="BU7" s="15">
        <v>71</v>
      </c>
      <c r="BV7" s="15">
        <v>72</v>
      </c>
      <c r="BW7" s="15">
        <v>73</v>
      </c>
      <c r="BX7" s="15">
        <v>74</v>
      </c>
      <c r="BY7" s="15">
        <v>75</v>
      </c>
      <c r="BZ7" s="17" t="s">
        <v>12</v>
      </c>
    </row>
    <row r="8" spans="1:78" x14ac:dyDescent="0.35">
      <c r="A8" s="18" t="s">
        <v>13</v>
      </c>
      <c r="B8" s="194" t="s">
        <v>14</v>
      </c>
      <c r="C8" s="19">
        <f>'[10]Set Up'!$U$2</f>
        <v>21923</v>
      </c>
      <c r="D8" s="19">
        <f>'[10]Set Up'!$U$3</f>
        <v>21722</v>
      </c>
      <c r="E8" s="19">
        <f>'[10]Set Up'!$U$4</f>
        <v>21521</v>
      </c>
      <c r="F8" s="19">
        <f>'[10]Set Up'!$U$5</f>
        <v>21320</v>
      </c>
      <c r="G8" s="19">
        <f>'[10]Set Up'!$U$6</f>
        <v>21119</v>
      </c>
      <c r="H8" s="19">
        <f>'[10]Set Up'!$U$7</f>
        <v>20918</v>
      </c>
      <c r="I8" s="19">
        <f>'[10]Set Up'!$U$8</f>
        <v>20717</v>
      </c>
      <c r="J8" s="19">
        <f>'[10]Set Up'!$U$9</f>
        <v>20516</v>
      </c>
      <c r="K8" s="19">
        <f>'[10]Set Up'!$U$10</f>
        <v>20314</v>
      </c>
      <c r="L8" s="19">
        <f>'[10]Set Up'!$U$11</f>
        <v>20113</v>
      </c>
      <c r="M8" s="19">
        <f>'[10]Set Up'!$U$12</f>
        <v>19912</v>
      </c>
      <c r="N8" s="19">
        <f>'[10]Set Up'!$U$13</f>
        <v>19711</v>
      </c>
      <c r="O8" s="19">
        <f>'[10]Set Up'!$U$14</f>
        <v>19510</v>
      </c>
      <c r="P8" s="19">
        <f>'[10]Set Up'!$U$15</f>
        <v>19309</v>
      </c>
      <c r="Q8" s="19">
        <f>'[10]Set Up'!$U$16</f>
        <v>19108</v>
      </c>
      <c r="R8" s="19">
        <f>'[10]Set Up'!$U$17</f>
        <v>18907</v>
      </c>
      <c r="S8" s="19">
        <f>'[10]Set Up'!$U$18</f>
        <v>18706</v>
      </c>
      <c r="T8" s="19">
        <f>'[10]Set Up'!$U$19</f>
        <v>18505</v>
      </c>
      <c r="U8" s="19">
        <f>'[10]Set Up'!$U$20</f>
        <v>18304</v>
      </c>
      <c r="V8" s="19">
        <f>'[10]Set Up'!$U$21</f>
        <v>18103</v>
      </c>
      <c r="W8" s="19">
        <f>'[10]Set Up'!$U$22</f>
        <v>17902</v>
      </c>
      <c r="X8" s="19">
        <f>'[10]Set Up'!$U$23</f>
        <v>17701</v>
      </c>
      <c r="Y8" s="19">
        <f>'[10]Set Up'!$U$24</f>
        <v>17500</v>
      </c>
      <c r="Z8" s="19">
        <f>'[10]Set Up'!$U$25</f>
        <v>17299</v>
      </c>
      <c r="AA8" s="19">
        <f>'[10]Set Up'!$U$26</f>
        <v>17098</v>
      </c>
      <c r="AB8" s="19">
        <f>'[10]Set Up'!$U$27</f>
        <v>16897</v>
      </c>
      <c r="AC8" s="19">
        <f>'[10]Set Up'!$U$28</f>
        <v>16696</v>
      </c>
      <c r="AD8" s="19">
        <f>'[10]Set Up'!$U$29</f>
        <v>16495</v>
      </c>
      <c r="AE8" s="19">
        <f>'[10]Set Up'!$U$30</f>
        <v>16294</v>
      </c>
      <c r="AF8" s="19">
        <f>'[10]Set Up'!$U$31</f>
        <v>16093</v>
      </c>
      <c r="AG8" s="19">
        <f>'[10]Set Up'!$U$32</f>
        <v>15892</v>
      </c>
      <c r="AH8" s="19">
        <f>'[10]Set Up'!$U$33</f>
        <v>15691</v>
      </c>
      <c r="AI8" s="19">
        <f>'[10]Set Up'!$U$34</f>
        <v>15490</v>
      </c>
      <c r="AJ8" s="19">
        <f>'[10]Set Up'!$U$35</f>
        <v>15289</v>
      </c>
      <c r="AK8" s="19">
        <f>'[10]Set Up'!$U$36</f>
        <v>15087</v>
      </c>
      <c r="AL8" s="19">
        <f>'[10]Set Up'!$U$37</f>
        <v>14886</v>
      </c>
      <c r="AM8" s="19">
        <f>'[10]Set Up'!$U$38</f>
        <v>14685</v>
      </c>
      <c r="AN8" s="19">
        <f>'[10]Set Up'!$U$39</f>
        <v>14484</v>
      </c>
      <c r="AO8" s="19">
        <f>'[10]Set Up'!$U$40</f>
        <v>14283</v>
      </c>
      <c r="AP8" s="19">
        <f>'[10]Set Up'!$U$41</f>
        <v>14082</v>
      </c>
      <c r="AQ8" s="19">
        <f>'[10]Set Up'!$U$42</f>
        <v>13881</v>
      </c>
      <c r="AR8" s="19">
        <f>'[10]Set Up'!$U$43</f>
        <v>13680</v>
      </c>
      <c r="AS8" s="19">
        <f>'[10]Set Up'!$U$44</f>
        <v>13479</v>
      </c>
      <c r="AT8" s="19">
        <f>'[10]Set Up'!$U$45</f>
        <v>13278</v>
      </c>
      <c r="AU8" s="19">
        <f>'[10]Set Up'!$U$46</f>
        <v>13077</v>
      </c>
      <c r="AV8" s="19">
        <f>'[10]Set Up'!$U$47</f>
        <v>12876</v>
      </c>
      <c r="AW8" s="19">
        <f>'[10]Set Up'!$U$48</f>
        <v>12675</v>
      </c>
      <c r="AX8" s="19">
        <f>'[10]Set Up'!$U$49</f>
        <v>12474</v>
      </c>
      <c r="AY8" s="19">
        <f>'[10]Set Up'!$U$50</f>
        <v>0</v>
      </c>
      <c r="AZ8" s="19">
        <f>'[10]Set Up'!$U$51</f>
        <v>0</v>
      </c>
      <c r="BA8" s="19">
        <f>'[10]Set Up'!$U$52</f>
        <v>0</v>
      </c>
      <c r="BB8" s="19">
        <f>'[10]Set Up'!$U$53</f>
        <v>0</v>
      </c>
      <c r="BC8" s="19">
        <f>'[10]Set Up'!$U$54</f>
        <v>0</v>
      </c>
      <c r="BD8" s="19">
        <f>'[10]Set Up'!$U$55</f>
        <v>0</v>
      </c>
      <c r="BE8" s="19">
        <f>'[10]Set Up'!$U$56</f>
        <v>0</v>
      </c>
      <c r="BF8" s="19">
        <f>'[10]Set Up'!$U$57</f>
        <v>0</v>
      </c>
      <c r="BG8" s="19">
        <f>'[10]Set Up'!$U$58</f>
        <v>0</v>
      </c>
      <c r="BH8" s="19">
        <f>'[10]Set Up'!$U$59</f>
        <v>0</v>
      </c>
      <c r="BI8" s="19">
        <f>'[10]Set Up'!$U$60</f>
        <v>0</v>
      </c>
      <c r="BJ8" s="19">
        <f>'[10]Set Up'!$U$61</f>
        <v>0</v>
      </c>
      <c r="BK8" s="19">
        <f>'[10]Set Up'!$U$62</f>
        <v>0</v>
      </c>
      <c r="BL8" s="19">
        <f>'[10]Set Up'!$U$63</f>
        <v>0</v>
      </c>
      <c r="BM8" s="19">
        <f>'[10]Set Up'!$U$64</f>
        <v>0</v>
      </c>
      <c r="BN8" s="19">
        <f>'[10]Set Up'!$U$65</f>
        <v>0</v>
      </c>
      <c r="BO8" s="19">
        <f>'[10]Set Up'!$U$66</f>
        <v>0</v>
      </c>
      <c r="BP8" s="19">
        <f>'[10]Set Up'!$U$67</f>
        <v>0</v>
      </c>
      <c r="BQ8" s="19">
        <f>'[10]Set Up'!$U$68</f>
        <v>0</v>
      </c>
      <c r="BR8" s="19">
        <f>'[10]Set Up'!$U$69</f>
        <v>0</v>
      </c>
      <c r="BS8" s="19">
        <f>'[10]Set Up'!$U$70</f>
        <v>0</v>
      </c>
      <c r="BT8" s="19">
        <f>'[10]Set Up'!$U$71</f>
        <v>0</v>
      </c>
      <c r="BU8" s="19">
        <f>'[10]Set Up'!$U$72</f>
        <v>0</v>
      </c>
      <c r="BV8" s="19">
        <f>'[10]Set Up'!$U$73</f>
        <v>0</v>
      </c>
      <c r="BW8" s="19">
        <f>'[10]Set Up'!$U$74</f>
        <v>0</v>
      </c>
      <c r="BX8" s="19">
        <f>'[10]Set Up'!$U$75</f>
        <v>0</v>
      </c>
      <c r="BY8" s="19">
        <f>'[10]Set Up'!$U$76</f>
        <v>0</v>
      </c>
      <c r="BZ8" s="8"/>
    </row>
    <row r="9" spans="1:78" x14ac:dyDescent="0.35">
      <c r="A9" s="20" t="s">
        <v>15</v>
      </c>
      <c r="B9" s="195"/>
      <c r="C9" s="21">
        <f>'[10]Set Up'!$V2</f>
        <v>22085</v>
      </c>
      <c r="D9" s="21">
        <f>'[10]Set Up'!$V3</f>
        <v>21884</v>
      </c>
      <c r="E9" s="21">
        <f>'[10]Set Up'!$V4</f>
        <v>21683</v>
      </c>
      <c r="F9" s="21">
        <f>'[10]Set Up'!$V5</f>
        <v>21482</v>
      </c>
      <c r="G9" s="21">
        <f>'[10]Set Up'!$V6</f>
        <v>21281</v>
      </c>
      <c r="H9" s="21">
        <f>'[10]Set Up'!$V7</f>
        <v>21080</v>
      </c>
      <c r="I9" s="21">
        <f>'[10]Set Up'!$V8</f>
        <v>20879</v>
      </c>
      <c r="J9" s="21">
        <f>'[10]Set Up'!$V9</f>
        <v>20678</v>
      </c>
      <c r="K9" s="21">
        <f>'[10]Set Up'!$V10</f>
        <v>20477</v>
      </c>
      <c r="L9" s="21">
        <f>'[10]Set Up'!$V11</f>
        <v>20275</v>
      </c>
      <c r="M9" s="21">
        <f>'[10]Set Up'!$V12</f>
        <v>20074</v>
      </c>
      <c r="N9" s="21">
        <f>'[10]Set Up'!$V13</f>
        <v>19873</v>
      </c>
      <c r="O9" s="21">
        <f>'[10]Set Up'!$V14</f>
        <v>19672</v>
      </c>
      <c r="P9" s="21">
        <f>'[10]Set Up'!$V15</f>
        <v>19471</v>
      </c>
      <c r="Q9" s="21">
        <f>'[10]Set Up'!$V16</f>
        <v>19270</v>
      </c>
      <c r="R9" s="21">
        <f>'[10]Set Up'!$V17</f>
        <v>19069</v>
      </c>
      <c r="S9" s="21">
        <f>'[10]Set Up'!$V18</f>
        <v>18868</v>
      </c>
      <c r="T9" s="21">
        <f>'[10]Set Up'!$V19</f>
        <v>18667</v>
      </c>
      <c r="U9" s="21">
        <f>'[10]Set Up'!$V20</f>
        <v>18466</v>
      </c>
      <c r="V9" s="21">
        <f>'[10]Set Up'!$V21</f>
        <v>18265</v>
      </c>
      <c r="W9" s="21">
        <f>'[10]Set Up'!$V22</f>
        <v>18064</v>
      </c>
      <c r="X9" s="21">
        <f>'[10]Set Up'!$V23</f>
        <v>17863</v>
      </c>
      <c r="Y9" s="21">
        <f>'[10]Set Up'!$V24</f>
        <v>17662</v>
      </c>
      <c r="Z9" s="21">
        <f>'[10]Set Up'!$V25</f>
        <v>17461</v>
      </c>
      <c r="AA9" s="21">
        <f>'[10]Set Up'!$V26</f>
        <v>17260</v>
      </c>
      <c r="AB9" s="21">
        <f>'[10]Set Up'!$V27</f>
        <v>17059</v>
      </c>
      <c r="AC9" s="21">
        <f>'[10]Set Up'!$V28</f>
        <v>16858</v>
      </c>
      <c r="AD9" s="21">
        <f>'[10]Set Up'!$V29</f>
        <v>16657</v>
      </c>
      <c r="AE9" s="21">
        <f>'[10]Set Up'!$V30</f>
        <v>16456</v>
      </c>
      <c r="AF9" s="21">
        <f>'[10]Set Up'!$V31</f>
        <v>16255</v>
      </c>
      <c r="AG9" s="21">
        <f>'[10]Set Up'!$V32</f>
        <v>16054</v>
      </c>
      <c r="AH9" s="21">
        <f>'[10]Set Up'!$V33</f>
        <v>15853</v>
      </c>
      <c r="AI9" s="21">
        <f>'[10]Set Up'!$V34</f>
        <v>15652</v>
      </c>
      <c r="AJ9" s="21">
        <f>'[10]Set Up'!$V35</f>
        <v>15451</v>
      </c>
      <c r="AK9" s="21">
        <f>'[10]Set Up'!$V36</f>
        <v>15250</v>
      </c>
      <c r="AL9" s="21">
        <f>'[10]Set Up'!$V37</f>
        <v>15048</v>
      </c>
      <c r="AM9" s="21">
        <f>'[10]Set Up'!$V38</f>
        <v>14847</v>
      </c>
      <c r="AN9" s="21">
        <f>'[10]Set Up'!$V39</f>
        <v>14646</v>
      </c>
      <c r="AO9" s="21">
        <f>'[10]Set Up'!$V40</f>
        <v>14445</v>
      </c>
      <c r="AP9" s="21">
        <f>'[10]Set Up'!$V41</f>
        <v>14244</v>
      </c>
      <c r="AQ9" s="21">
        <f>'[10]Set Up'!$V42</f>
        <v>14043</v>
      </c>
      <c r="AR9" s="21">
        <f>'[10]Set Up'!$V43</f>
        <v>13842</v>
      </c>
      <c r="AS9" s="21">
        <f>'[10]Set Up'!$V44</f>
        <v>13541</v>
      </c>
      <c r="AT9" s="21">
        <f>'[10]Set Up'!$V45</f>
        <v>13440</v>
      </c>
      <c r="AU9" s="21">
        <f>'[10]Set Up'!$V46</f>
        <v>13239</v>
      </c>
      <c r="AV9" s="21">
        <f>'[10]Set Up'!$V47</f>
        <v>13038</v>
      </c>
      <c r="AW9" s="21">
        <f>'[10]Set Up'!$V48</f>
        <v>12837</v>
      </c>
      <c r="AX9" s="21">
        <f>'[10]Set Up'!$V49</f>
        <v>12636</v>
      </c>
      <c r="AY9" s="21">
        <f>'[10]Set Up'!$V50</f>
        <v>0</v>
      </c>
      <c r="AZ9" s="21">
        <f>'[10]Set Up'!$V51</f>
        <v>0</v>
      </c>
      <c r="BA9" s="21">
        <f>'[10]Set Up'!$V52</f>
        <v>0</v>
      </c>
      <c r="BB9" s="21">
        <f>'[10]Set Up'!$V53</f>
        <v>0</v>
      </c>
      <c r="BC9" s="21">
        <f>'[10]Set Up'!$V54</f>
        <v>0</v>
      </c>
      <c r="BD9" s="21">
        <f>'[10]Set Up'!$V55</f>
        <v>0</v>
      </c>
      <c r="BE9" s="21">
        <f>'[10]Set Up'!$V56</f>
        <v>0</v>
      </c>
      <c r="BF9" s="21">
        <f>'[10]Set Up'!$V57</f>
        <v>0</v>
      </c>
      <c r="BG9" s="21">
        <f>'[10]Set Up'!$V58</f>
        <v>0</v>
      </c>
      <c r="BH9" s="21">
        <f>'[10]Set Up'!$V59</f>
        <v>0</v>
      </c>
      <c r="BI9" s="21">
        <f>'[10]Set Up'!$V60</f>
        <v>0</v>
      </c>
      <c r="BJ9" s="21">
        <f>'[10]Set Up'!$V61</f>
        <v>0</v>
      </c>
      <c r="BK9" s="21">
        <f>'[10]Set Up'!$V62</f>
        <v>0</v>
      </c>
      <c r="BL9" s="21">
        <f>'[10]Set Up'!$V63</f>
        <v>0</v>
      </c>
      <c r="BM9" s="21">
        <f>'[10]Set Up'!$V64</f>
        <v>0</v>
      </c>
      <c r="BN9" s="21">
        <f>'[10]Set Up'!$V65</f>
        <v>0</v>
      </c>
      <c r="BO9" s="21">
        <f>'[10]Set Up'!$V66</f>
        <v>0</v>
      </c>
      <c r="BP9" s="21">
        <f>'[10]Set Up'!$V67</f>
        <v>0</v>
      </c>
      <c r="BQ9" s="21">
        <f>'[10]Set Up'!$V68</f>
        <v>0</v>
      </c>
      <c r="BR9" s="21">
        <f>'[10]Set Up'!$V69</f>
        <v>0</v>
      </c>
      <c r="BS9" s="21">
        <f>'[10]Set Up'!$V70</f>
        <v>0</v>
      </c>
      <c r="BT9" s="21">
        <f>'[10]Set Up'!$V71</f>
        <v>0</v>
      </c>
      <c r="BU9" s="21">
        <f>'[10]Set Up'!$V72</f>
        <v>0</v>
      </c>
      <c r="BV9" s="21">
        <f>'[10]Set Up'!$V73</f>
        <v>0</v>
      </c>
      <c r="BW9" s="21">
        <f>'[10]Set Up'!$V74</f>
        <v>0</v>
      </c>
      <c r="BX9" s="21">
        <f>'[10]Set Up'!$V75</f>
        <v>0</v>
      </c>
      <c r="BY9" s="21">
        <f>'[10]Set Up'!$V76</f>
        <v>0</v>
      </c>
      <c r="BZ9" s="8"/>
    </row>
    <row r="10" spans="1:78" ht="15" thickBot="1" x14ac:dyDescent="0.4">
      <c r="A10" s="22" t="s">
        <v>16</v>
      </c>
      <c r="B10" s="195"/>
      <c r="C10" s="23">
        <f>'[10]Set Up'!$W2</f>
        <v>24</v>
      </c>
      <c r="D10" s="23">
        <f>'[10]Set Up'!$W3</f>
        <v>24</v>
      </c>
      <c r="E10" s="23">
        <f>'[10]Set Up'!$W4</f>
        <v>24</v>
      </c>
      <c r="F10" s="23">
        <f>'[10]Set Up'!$W5</f>
        <v>24</v>
      </c>
      <c r="G10" s="23">
        <f>'[10]Set Up'!$W6</f>
        <v>24</v>
      </c>
      <c r="H10" s="23">
        <f>'[10]Set Up'!$W7</f>
        <v>24</v>
      </c>
      <c r="I10" s="23">
        <f>'[10]Set Up'!$W8</f>
        <v>24</v>
      </c>
      <c r="J10" s="23">
        <f>'[10]Set Up'!$W9</f>
        <v>24</v>
      </c>
      <c r="K10" s="23">
        <f>'[10]Set Up'!$W10</f>
        <v>24</v>
      </c>
      <c r="L10" s="23">
        <f>'[10]Set Up'!$W11</f>
        <v>24</v>
      </c>
      <c r="M10" s="23">
        <f>'[10]Set Up'!$W12</f>
        <v>24</v>
      </c>
      <c r="N10" s="23">
        <f>'[10]Set Up'!$W13</f>
        <v>24</v>
      </c>
      <c r="O10" s="23">
        <f>'[10]Set Up'!$W14</f>
        <v>24</v>
      </c>
      <c r="P10" s="23">
        <f>'[10]Set Up'!$W15</f>
        <v>24</v>
      </c>
      <c r="Q10" s="23">
        <f>'[10]Set Up'!$W16</f>
        <v>24</v>
      </c>
      <c r="R10" s="23">
        <f>'[10]Set Up'!$W17</f>
        <v>24</v>
      </c>
      <c r="S10" s="23">
        <f>'[10]Set Up'!$W18</f>
        <v>24</v>
      </c>
      <c r="T10" s="23">
        <f>'[10]Set Up'!$W19</f>
        <v>24</v>
      </c>
      <c r="U10" s="23">
        <f>'[10]Set Up'!$W20</f>
        <v>24</v>
      </c>
      <c r="V10" s="23">
        <f>'[10]Set Up'!$W21</f>
        <v>24</v>
      </c>
      <c r="W10" s="23">
        <f>'[10]Set Up'!$W22</f>
        <v>24</v>
      </c>
      <c r="X10" s="23">
        <f>'[10]Set Up'!$W23</f>
        <v>24</v>
      </c>
      <c r="Y10" s="23">
        <f>'[10]Set Up'!$W24</f>
        <v>24</v>
      </c>
      <c r="Z10" s="23">
        <f>'[10]Set Up'!$W25</f>
        <v>24</v>
      </c>
      <c r="AA10" s="23">
        <f>'[10]Set Up'!$W26</f>
        <v>24</v>
      </c>
      <c r="AB10" s="23">
        <f>'[10]Set Up'!$W27</f>
        <v>24</v>
      </c>
      <c r="AC10" s="23">
        <f>'[10]Set Up'!$W28</f>
        <v>24</v>
      </c>
      <c r="AD10" s="23">
        <f>'[10]Set Up'!$W29</f>
        <v>24</v>
      </c>
      <c r="AE10" s="23">
        <f>'[10]Set Up'!$W30</f>
        <v>24</v>
      </c>
      <c r="AF10" s="23">
        <f>'[10]Set Up'!$W31</f>
        <v>24</v>
      </c>
      <c r="AG10" s="23">
        <f>'[10]Set Up'!$W32</f>
        <v>24</v>
      </c>
      <c r="AH10" s="23">
        <f>'[10]Set Up'!$W33</f>
        <v>24</v>
      </c>
      <c r="AI10" s="23">
        <f>'[10]Set Up'!$W34</f>
        <v>24</v>
      </c>
      <c r="AJ10" s="23">
        <f>'[10]Set Up'!$W35</f>
        <v>24</v>
      </c>
      <c r="AK10" s="23">
        <f>'[10]Set Up'!$W36</f>
        <v>24</v>
      </c>
      <c r="AL10" s="23">
        <f>'[10]Set Up'!$W37</f>
        <v>24</v>
      </c>
      <c r="AM10" s="23">
        <f>'[10]Set Up'!$W38</f>
        <v>24</v>
      </c>
      <c r="AN10" s="23">
        <f>'[10]Set Up'!$W39</f>
        <v>24</v>
      </c>
      <c r="AO10" s="23">
        <f>'[10]Set Up'!$W40</f>
        <v>24</v>
      </c>
      <c r="AP10" s="23">
        <f>'[10]Set Up'!$W41</f>
        <v>24</v>
      </c>
      <c r="AQ10" s="23">
        <f>'[10]Set Up'!$W42</f>
        <v>24</v>
      </c>
      <c r="AR10" s="23">
        <f>'[10]Set Up'!$W43</f>
        <v>24</v>
      </c>
      <c r="AS10" s="23">
        <f>'[10]Set Up'!$W44</f>
        <v>24</v>
      </c>
      <c r="AT10" s="23">
        <f>'[10]Set Up'!$W45</f>
        <v>24</v>
      </c>
      <c r="AU10" s="23">
        <f>'[10]Set Up'!$W46</f>
        <v>24</v>
      </c>
      <c r="AV10" s="23">
        <f>'[10]Set Up'!$W47</f>
        <v>24</v>
      </c>
      <c r="AW10" s="23">
        <f>'[10]Set Up'!$W48</f>
        <v>24</v>
      </c>
      <c r="AX10" s="23">
        <f>'[10]Set Up'!$W49</f>
        <v>24</v>
      </c>
      <c r="AY10" s="23">
        <f>'[10]Set Up'!$W50</f>
        <v>0</v>
      </c>
      <c r="AZ10" s="23">
        <f>'[10]Set Up'!$W51</f>
        <v>0</v>
      </c>
      <c r="BA10" s="23">
        <f>'[10]Set Up'!$W52</f>
        <v>0</v>
      </c>
      <c r="BB10" s="23">
        <f>'[10]Set Up'!$W53</f>
        <v>0</v>
      </c>
      <c r="BC10" s="23">
        <f>'[10]Set Up'!$W54</f>
        <v>0</v>
      </c>
      <c r="BD10" s="23">
        <f>'[10]Set Up'!$W55</f>
        <v>0</v>
      </c>
      <c r="BE10" s="23">
        <f>'[10]Set Up'!$W56</f>
        <v>0</v>
      </c>
      <c r="BF10" s="23">
        <f>'[10]Set Up'!$W57</f>
        <v>0</v>
      </c>
      <c r="BG10" s="23">
        <f>'[10]Set Up'!$W58</f>
        <v>0</v>
      </c>
      <c r="BH10" s="23">
        <f>'[10]Set Up'!$W59</f>
        <v>0</v>
      </c>
      <c r="BI10" s="23">
        <f>'[10]Set Up'!$W60</f>
        <v>0</v>
      </c>
      <c r="BJ10" s="23">
        <f>'[10]Set Up'!$W61</f>
        <v>0</v>
      </c>
      <c r="BK10" s="23">
        <f>'[10]Set Up'!$W62</f>
        <v>0</v>
      </c>
      <c r="BL10" s="23">
        <f>'[10]Set Up'!$W63</f>
        <v>0</v>
      </c>
      <c r="BM10" s="23">
        <f>'[10]Set Up'!$W64</f>
        <v>0</v>
      </c>
      <c r="BN10" s="23">
        <f>'[10]Set Up'!$W65</f>
        <v>0</v>
      </c>
      <c r="BO10" s="23">
        <f>'[10]Set Up'!$W66</f>
        <v>0</v>
      </c>
      <c r="BP10" s="23">
        <f>'[10]Set Up'!$W67</f>
        <v>0</v>
      </c>
      <c r="BQ10" s="23">
        <f>'[10]Set Up'!$W68</f>
        <v>0</v>
      </c>
      <c r="BR10" s="23">
        <f>'[10]Set Up'!$W69</f>
        <v>0</v>
      </c>
      <c r="BS10" s="23">
        <f>'[10]Set Up'!$W70</f>
        <v>0</v>
      </c>
      <c r="BT10" s="23">
        <f>'[10]Set Up'!$W71</f>
        <v>0</v>
      </c>
      <c r="BU10" s="23">
        <f>'[10]Set Up'!$W72</f>
        <v>0</v>
      </c>
      <c r="BV10" s="23">
        <f>'[10]Set Up'!$W73</f>
        <v>0</v>
      </c>
      <c r="BW10" s="23">
        <f>'[10]Set Up'!$W74</f>
        <v>0</v>
      </c>
      <c r="BX10" s="23">
        <f>'[10]Set Up'!$W75</f>
        <v>0</v>
      </c>
      <c r="BY10" s="23">
        <f>'[10]Set Up'!$W76</f>
        <v>0</v>
      </c>
      <c r="BZ10" s="8"/>
    </row>
    <row r="11" spans="1:78" x14ac:dyDescent="0.35">
      <c r="A11" s="18" t="s">
        <v>17</v>
      </c>
      <c r="B11" s="195"/>
      <c r="C11" s="19">
        <f>'[10]Set Up'!$X2</f>
        <v>22104</v>
      </c>
      <c r="D11" s="19">
        <f>'[10]Set Up'!$X3</f>
        <v>21903</v>
      </c>
      <c r="E11" s="19">
        <f>'[10]Set Up'!$X4</f>
        <v>21702</v>
      </c>
      <c r="F11" s="19">
        <f>'[10]Set Up'!$X5</f>
        <v>21501</v>
      </c>
      <c r="G11" s="19">
        <f>'[10]Set Up'!$X6</f>
        <v>21300</v>
      </c>
      <c r="H11" s="19">
        <f>'[10]Set Up'!$X7</f>
        <v>21099</v>
      </c>
      <c r="I11" s="19">
        <f>'[10]Set Up'!$X8</f>
        <v>20898</v>
      </c>
      <c r="J11" s="19">
        <f>'[10]Set Up'!$X9</f>
        <v>20697</v>
      </c>
      <c r="K11" s="19">
        <f>'[10]Set Up'!$X10</f>
        <v>20496</v>
      </c>
      <c r="L11" s="19">
        <f>'[10]Set Up'!$X11</f>
        <v>20294</v>
      </c>
      <c r="M11" s="19">
        <f>'[10]Set Up'!$X12</f>
        <v>20093</v>
      </c>
      <c r="N11" s="19">
        <f>'[10]Set Up'!$X13</f>
        <v>19892</v>
      </c>
      <c r="O11" s="19">
        <f>'[10]Set Up'!$X14</f>
        <v>19691</v>
      </c>
      <c r="P11" s="19">
        <f>'[10]Set Up'!$X15</f>
        <v>19490</v>
      </c>
      <c r="Q11" s="19">
        <f>'[10]Set Up'!$X16</f>
        <v>19289</v>
      </c>
      <c r="R11" s="19">
        <f>'[10]Set Up'!$X17</f>
        <v>19088</v>
      </c>
      <c r="S11" s="19">
        <f>'[10]Set Up'!$X18</f>
        <v>18887</v>
      </c>
      <c r="T11" s="19">
        <f>'[10]Set Up'!$X19</f>
        <v>18686</v>
      </c>
      <c r="U11" s="19">
        <f>'[10]Set Up'!$X20</f>
        <v>18485</v>
      </c>
      <c r="V11" s="19">
        <f>'[10]Set Up'!$X21</f>
        <v>18284</v>
      </c>
      <c r="W11" s="19">
        <f>'[10]Set Up'!$X22</f>
        <v>18083</v>
      </c>
      <c r="X11" s="19">
        <f>'[10]Set Up'!$X23</f>
        <v>17882</v>
      </c>
      <c r="Y11" s="19">
        <f>'[10]Set Up'!$X24</f>
        <v>17681</v>
      </c>
      <c r="Z11" s="19">
        <f>'[10]Set Up'!$X25</f>
        <v>17480</v>
      </c>
      <c r="AA11" s="19">
        <f>'[10]Set Up'!$X26</f>
        <v>17279</v>
      </c>
      <c r="AB11" s="19">
        <f>'[10]Set Up'!$X27</f>
        <v>17078</v>
      </c>
      <c r="AC11" s="19">
        <f>'[10]Set Up'!$X28</f>
        <v>16877</v>
      </c>
      <c r="AD11" s="19">
        <f>'[10]Set Up'!$X29</f>
        <v>16676</v>
      </c>
      <c r="AE11" s="19">
        <f>'[10]Set Up'!$X30</f>
        <v>16475</v>
      </c>
      <c r="AF11" s="19">
        <f>'[10]Set Up'!$X31</f>
        <v>16274</v>
      </c>
      <c r="AG11" s="19">
        <f>'[10]Set Up'!$X32</f>
        <v>16073</v>
      </c>
      <c r="AH11" s="19">
        <f>'[10]Set Up'!$X33</f>
        <v>15872</v>
      </c>
      <c r="AI11" s="19">
        <f>'[10]Set Up'!$X34</f>
        <v>15671</v>
      </c>
      <c r="AJ11" s="19">
        <f>'[10]Set Up'!$X35</f>
        <v>15470</v>
      </c>
      <c r="AK11" s="19">
        <f>'[10]Set Up'!$X36</f>
        <v>15269</v>
      </c>
      <c r="AL11" s="19">
        <f>'[10]Set Up'!$X37</f>
        <v>15067</v>
      </c>
      <c r="AM11" s="19">
        <f>'[10]Set Up'!$X38</f>
        <v>14866</v>
      </c>
      <c r="AN11" s="19">
        <f>'[10]Set Up'!$X39</f>
        <v>14665</v>
      </c>
      <c r="AO11" s="19">
        <f>'[10]Set Up'!$X40</f>
        <v>14464</v>
      </c>
      <c r="AP11" s="19">
        <f>'[10]Set Up'!$X41</f>
        <v>14263</v>
      </c>
      <c r="AQ11" s="19">
        <f>'[10]Set Up'!$X42</f>
        <v>14062</v>
      </c>
      <c r="AR11" s="19">
        <f>'[10]Set Up'!$X43</f>
        <v>13861</v>
      </c>
      <c r="AS11" s="19">
        <f>'[10]Set Up'!$X44</f>
        <v>13660</v>
      </c>
      <c r="AT11" s="19">
        <f>'[10]Set Up'!$X45</f>
        <v>13459</v>
      </c>
      <c r="AU11" s="19">
        <f>'[10]Set Up'!$X46</f>
        <v>13258</v>
      </c>
      <c r="AV11" s="19">
        <f>'[10]Set Up'!$X47</f>
        <v>13057</v>
      </c>
      <c r="AW11" s="19">
        <f>'[10]Set Up'!$X48</f>
        <v>12856</v>
      </c>
      <c r="AX11" s="19">
        <f>'[10]Set Up'!$X49</f>
        <v>12655</v>
      </c>
      <c r="AY11" s="19">
        <f>'[10]Set Up'!$X50</f>
        <v>0</v>
      </c>
      <c r="AZ11" s="19">
        <f>'[10]Set Up'!$X51</f>
        <v>0</v>
      </c>
      <c r="BA11" s="19">
        <f>'[10]Set Up'!$X52</f>
        <v>0</v>
      </c>
      <c r="BB11" s="19">
        <f>'[10]Set Up'!$X53</f>
        <v>0</v>
      </c>
      <c r="BC11" s="19">
        <f>'[10]Set Up'!$X54</f>
        <v>0</v>
      </c>
      <c r="BD11" s="19">
        <f>'[10]Set Up'!$X55</f>
        <v>0</v>
      </c>
      <c r="BE11" s="19">
        <f>'[10]Set Up'!$X56</f>
        <v>0</v>
      </c>
      <c r="BF11" s="19">
        <f>'[10]Set Up'!$X57</f>
        <v>0</v>
      </c>
      <c r="BG11" s="19">
        <f>'[10]Set Up'!$X58</f>
        <v>0</v>
      </c>
      <c r="BH11" s="19">
        <f>'[10]Set Up'!$X59</f>
        <v>0</v>
      </c>
      <c r="BI11" s="19">
        <f>'[10]Set Up'!$X60</f>
        <v>0</v>
      </c>
      <c r="BJ11" s="19">
        <f>'[10]Set Up'!$X61</f>
        <v>0</v>
      </c>
      <c r="BK11" s="19">
        <f>'[10]Set Up'!$X62</f>
        <v>0</v>
      </c>
      <c r="BL11" s="19">
        <f>'[10]Set Up'!$X63</f>
        <v>0</v>
      </c>
      <c r="BM11" s="19">
        <f>'[10]Set Up'!$X64</f>
        <v>0</v>
      </c>
      <c r="BN11" s="19">
        <f>'[10]Set Up'!$X65</f>
        <v>0</v>
      </c>
      <c r="BO11" s="19">
        <f>'[10]Set Up'!$X66</f>
        <v>0</v>
      </c>
      <c r="BP11" s="19">
        <f>'[10]Set Up'!$X67</f>
        <v>0</v>
      </c>
      <c r="BQ11" s="19">
        <f>'[10]Set Up'!$X68</f>
        <v>0</v>
      </c>
      <c r="BR11" s="19">
        <f>'[10]Set Up'!$X69</f>
        <v>0</v>
      </c>
      <c r="BS11" s="19">
        <f>'[10]Set Up'!$X70</f>
        <v>0</v>
      </c>
      <c r="BT11" s="19">
        <f>'[10]Set Up'!$X71</f>
        <v>0</v>
      </c>
      <c r="BU11" s="19">
        <f>'[10]Set Up'!$X72</f>
        <v>0</v>
      </c>
      <c r="BV11" s="19">
        <f>'[10]Set Up'!$X73</f>
        <v>0</v>
      </c>
      <c r="BW11" s="19">
        <f>'[10]Set Up'!$X74</f>
        <v>0</v>
      </c>
      <c r="BX11" s="19">
        <f>'[10]Set Up'!$X75</f>
        <v>0</v>
      </c>
      <c r="BY11" s="19">
        <f>'[10]Set Up'!$X76</f>
        <v>0</v>
      </c>
      <c r="BZ11" s="8"/>
    </row>
    <row r="12" spans="1:78" ht="15" thickBot="1" x14ac:dyDescent="0.4">
      <c r="A12" s="20" t="s">
        <v>18</v>
      </c>
      <c r="B12" s="195"/>
      <c r="C12" s="24">
        <f>'[10]Set Up'!$AA2</f>
        <v>12137.7</v>
      </c>
      <c r="D12" s="24">
        <f>'[10]Set Up'!$AA3</f>
        <v>12144.1</v>
      </c>
      <c r="E12" s="24">
        <f>'[10]Set Up'!$AA4</f>
        <v>12144.1</v>
      </c>
      <c r="F12" s="24">
        <f>'[10]Set Up'!$AA5</f>
        <v>12143.6</v>
      </c>
      <c r="G12" s="24">
        <f>'[10]Set Up'!$AA6</f>
        <v>12143.6</v>
      </c>
      <c r="H12" s="24">
        <f>'[10]Set Up'!$AA7</f>
        <v>12146</v>
      </c>
      <c r="I12" s="24">
        <f>'[10]Set Up'!$AA8</f>
        <v>12148.8</v>
      </c>
      <c r="J12" s="24">
        <f>'[10]Set Up'!$AA9</f>
        <v>12152.8</v>
      </c>
      <c r="K12" s="24">
        <f>'[10]Set Up'!$AA10</f>
        <v>12156.9</v>
      </c>
      <c r="L12" s="24">
        <f>'[10]Set Up'!$AA11</f>
        <v>12159.5</v>
      </c>
      <c r="M12" s="24">
        <f>'[10]Set Up'!$AA12</f>
        <v>12163.2</v>
      </c>
      <c r="N12" s="24">
        <f>'[10]Set Up'!$AA13</f>
        <v>12166.8</v>
      </c>
      <c r="O12" s="24">
        <f>'[10]Set Up'!$AA14</f>
        <v>12169.5</v>
      </c>
      <c r="P12" s="24">
        <f>'[10]Set Up'!$AA15</f>
        <v>12172.8</v>
      </c>
      <c r="Q12" s="24">
        <f>'[10]Set Up'!$AA16</f>
        <v>12176.4</v>
      </c>
      <c r="R12" s="24">
        <f>'[10]Set Up'!$AA17</f>
        <v>12179.4</v>
      </c>
      <c r="S12" s="24">
        <f>'[10]Set Up'!$AA18</f>
        <v>12181.2</v>
      </c>
      <c r="T12" s="24">
        <f>'[10]Set Up'!$AA19</f>
        <v>12184.5</v>
      </c>
      <c r="U12" s="24">
        <f>'[10]Set Up'!$AA20</f>
        <v>12188.8</v>
      </c>
      <c r="V12" s="24">
        <f>'[10]Set Up'!$AA21</f>
        <v>12192.3</v>
      </c>
      <c r="W12" s="24">
        <f>'[10]Set Up'!$AA22</f>
        <v>12195.2</v>
      </c>
      <c r="X12" s="24">
        <f>'[10]Set Up'!$AA23</f>
        <v>12198.2</v>
      </c>
      <c r="Y12" s="24">
        <f>'[10]Set Up'!$AA24</f>
        <v>12202.6</v>
      </c>
      <c r="Z12" s="24">
        <f>'[10]Set Up'!$AA25</f>
        <v>12205</v>
      </c>
      <c r="AA12" s="24">
        <f>'[10]Set Up'!$AA26</f>
        <v>12208.6</v>
      </c>
      <c r="AB12" s="24">
        <f>'[10]Set Up'!$AA27</f>
        <v>12211.9</v>
      </c>
      <c r="AC12" s="24">
        <f>'[10]Set Up'!$AA28</f>
        <v>12214.6</v>
      </c>
      <c r="AD12" s="24">
        <f>'[10]Set Up'!$AA29</f>
        <v>12217.2</v>
      </c>
      <c r="AE12" s="24">
        <f>'[10]Set Up'!$AA30</f>
        <v>12219.3</v>
      </c>
      <c r="AF12" s="24">
        <f>'[10]Set Up'!$AA31</f>
        <v>12220</v>
      </c>
      <c r="AG12" s="24">
        <f>'[10]Set Up'!$AA32</f>
        <v>12220.7</v>
      </c>
      <c r="AH12" s="24">
        <f>'[10]Set Up'!$AA33</f>
        <v>12223.2</v>
      </c>
      <c r="AI12" s="24">
        <f>'[10]Set Up'!$AA34</f>
        <v>12226.4</v>
      </c>
      <c r="AJ12" s="24">
        <f>'[10]Set Up'!$AA35</f>
        <v>12227.7</v>
      </c>
      <c r="AK12" s="24">
        <f>'[10]Set Up'!$AA36</f>
        <v>12229.3</v>
      </c>
      <c r="AL12" s="24">
        <f>'[10]Set Up'!$AA37</f>
        <v>12230.6</v>
      </c>
      <c r="AM12" s="24">
        <f>'[10]Set Up'!$AA38</f>
        <v>12232</v>
      </c>
      <c r="AN12" s="24">
        <f>'[10]Set Up'!$AA39</f>
        <v>12235.8</v>
      </c>
      <c r="AO12" s="24">
        <f>'[10]Set Up'!$AA40</f>
        <v>12238.3</v>
      </c>
      <c r="AP12" s="24">
        <f>'[10]Set Up'!$AA41</f>
        <v>12239.5</v>
      </c>
      <c r="AQ12" s="24">
        <f>'[10]Set Up'!$AA42</f>
        <v>12241.3</v>
      </c>
      <c r="AR12" s="24">
        <f>'[10]Set Up'!$AA43</f>
        <v>12243.3</v>
      </c>
      <c r="AS12" s="24">
        <f>'[10]Set Up'!$AA44</f>
        <v>12245.3</v>
      </c>
      <c r="AT12" s="24">
        <f>'[10]Set Up'!$AA45</f>
        <v>12246.6</v>
      </c>
      <c r="AU12" s="24">
        <f>'[10]Set Up'!$AA46</f>
        <v>12247.8</v>
      </c>
      <c r="AV12" s="24">
        <f>'[10]Set Up'!$AA47</f>
        <v>12248.9</v>
      </c>
      <c r="AW12" s="24">
        <f>'[10]Set Up'!$AA48</f>
        <v>12249.9</v>
      </c>
      <c r="AX12" s="24">
        <f>'[10]Set Up'!$AA49</f>
        <v>12250.6</v>
      </c>
      <c r="AY12" s="24">
        <f>'[10]Set Up'!$AA50</f>
        <v>0</v>
      </c>
      <c r="AZ12" s="24">
        <f>'[10]Set Up'!$AA51</f>
        <v>0</v>
      </c>
      <c r="BA12" s="24">
        <f>'[10]Set Up'!$AA52</f>
        <v>0</v>
      </c>
      <c r="BB12" s="24">
        <f>'[10]Set Up'!$AA53</f>
        <v>0</v>
      </c>
      <c r="BC12" s="24">
        <f>'[10]Set Up'!$AA54</f>
        <v>0</v>
      </c>
      <c r="BD12" s="24">
        <f>'[10]Set Up'!$AA55</f>
        <v>0</v>
      </c>
      <c r="BE12" s="24">
        <f>'[10]Set Up'!$AA56</f>
        <v>0</v>
      </c>
      <c r="BF12" s="24">
        <f>'[10]Set Up'!$AA57</f>
        <v>0</v>
      </c>
      <c r="BG12" s="24">
        <f>'[10]Set Up'!$AA58</f>
        <v>0</v>
      </c>
      <c r="BH12" s="24">
        <f>'[10]Set Up'!$AA59</f>
        <v>0</v>
      </c>
      <c r="BI12" s="24">
        <f>'[10]Set Up'!$AA60</f>
        <v>0</v>
      </c>
      <c r="BJ12" s="24">
        <f>'[10]Set Up'!$AA61</f>
        <v>0</v>
      </c>
      <c r="BK12" s="24">
        <f>'[10]Set Up'!$AA62</f>
        <v>0</v>
      </c>
      <c r="BL12" s="24">
        <f>'[10]Set Up'!$AA63</f>
        <v>0</v>
      </c>
      <c r="BM12" s="24">
        <f>'[10]Set Up'!$AA64</f>
        <v>0</v>
      </c>
      <c r="BN12" s="24">
        <f>'[10]Set Up'!$AA65</f>
        <v>0</v>
      </c>
      <c r="BO12" s="24">
        <f>'[10]Set Up'!$AA66</f>
        <v>0</v>
      </c>
      <c r="BP12" s="24">
        <f>'[10]Set Up'!$AA67</f>
        <v>0</v>
      </c>
      <c r="BQ12" s="24">
        <f>'[10]Set Up'!$AA68</f>
        <v>0</v>
      </c>
      <c r="BR12" s="24">
        <f>'[10]Set Up'!$AA69</f>
        <v>0</v>
      </c>
      <c r="BS12" s="24">
        <f>'[10]Set Up'!$AA70</f>
        <v>0</v>
      </c>
      <c r="BT12" s="24">
        <f>'[10]Set Up'!$AA71</f>
        <v>0</v>
      </c>
      <c r="BU12" s="24">
        <f>'[10]Set Up'!$AA72</f>
        <v>0</v>
      </c>
      <c r="BV12" s="24">
        <f>'[10]Set Up'!$AA73</f>
        <v>0</v>
      </c>
      <c r="BW12" s="24">
        <f>'[10]Set Up'!$AA74</f>
        <v>0</v>
      </c>
      <c r="BX12" s="24">
        <f>'[10]Set Up'!$AA75</f>
        <v>0</v>
      </c>
      <c r="BY12" s="24">
        <f>'[10]Set Up'!$AA76</f>
        <v>0</v>
      </c>
      <c r="BZ12" s="8"/>
    </row>
    <row r="13" spans="1:78" x14ac:dyDescent="0.35">
      <c r="A13" s="25" t="s">
        <v>19</v>
      </c>
      <c r="B13" s="196" t="s">
        <v>20</v>
      </c>
      <c r="C13" s="26">
        <f>IF(C8="","",IF(C8&lt;'[10]Set Up'!$J$15,C8*'[10]Set Up'!$N$15,IF(C8&lt;'[10]Set Up'!$J$16,(C8-'[10]Set Up'!$J$15)*'[10]Set Up'!$N$16+'[10]Set Up'!$O$15,IF(C8&lt;'[10]Set Up'!$J$17,(C8-'[10]Set Up'!$J$16)*'[10]Set Up'!$N$17+'[10]Set Up'!$O$15+'[10]Set Up'!$O$16,(C8-'[10]Set Up'!$J$17)*'[10]Set Up'!$N$18 + SUM('[10]Set Up'!$O$15:'[10]Set Up'!$O$17)))))</f>
        <v>401.49352299230577</v>
      </c>
      <c r="D13" s="26">
        <f>IF(D8="","",IF(D8&lt;'[10]Set Up'!$J$15,D8*'[10]Set Up'!$N$15,IF(D8&lt;'[10]Set Up'!$J$16,(D8-'[10]Set Up'!$J$15)*'[10]Set Up'!$N$16+'[10]Set Up'!$O$15,IF(D8&lt;'[10]Set Up'!$J$17,(D8-'[10]Set Up'!$J$16)*'[10]Set Up'!$N$17+'[10]Set Up'!$O$15+'[10]Set Up'!$O$16,(D8-'[10]Set Up'!$J$17)*'[10]Set Up'!$N$18 + SUM('[10]Set Up'!$O$15:'[10]Set Up'!$O$17)))))</f>
        <v>398.49230194016286</v>
      </c>
      <c r="E13" s="26">
        <f>IF(E8="","",IF(E8&lt;'[10]Set Up'!$J$15,E8*'[10]Set Up'!$N$15,IF(E8&lt;'[10]Set Up'!$J$16,(E8-'[10]Set Up'!$J$15)*'[10]Set Up'!$N$16+'[10]Set Up'!$O$15,IF(E8&lt;'[10]Set Up'!$J$17,(E8-'[10]Set Up'!$J$16)*'[10]Set Up'!$N$17+'[10]Set Up'!$O$15+'[10]Set Up'!$O$16,(E8-'[10]Set Up'!$J$17)*'[10]Set Up'!$N$18 + SUM('[10]Set Up'!$O$15:'[10]Set Up'!$O$17)))))</f>
        <v>395.49108088801995</v>
      </c>
      <c r="F13" s="26">
        <f>IF(F8="","",IF(F8&lt;'[10]Set Up'!$J$15,F8*'[10]Set Up'!$N$15,IF(F8&lt;'[10]Set Up'!$J$16,(F8-'[10]Set Up'!$J$15)*'[10]Set Up'!$N$16+'[10]Set Up'!$O$15,IF(F8&lt;'[10]Set Up'!$J$17,(F8-'[10]Set Up'!$J$16)*'[10]Set Up'!$N$17+'[10]Set Up'!$O$15+'[10]Set Up'!$O$16,(F8-'[10]Set Up'!$J$17)*'[10]Set Up'!$N$18 + SUM('[10]Set Up'!$O$15:'[10]Set Up'!$O$17)))))</f>
        <v>392.48985983587704</v>
      </c>
      <c r="G13" s="26">
        <f>IF(G8="","",IF(G8&lt;'[10]Set Up'!$J$15,G8*'[10]Set Up'!$N$15,IF(G8&lt;'[10]Set Up'!$J$16,(G8-'[10]Set Up'!$J$15)*'[10]Set Up'!$N$16+'[10]Set Up'!$O$15,IF(G8&lt;'[10]Set Up'!$J$17,(G8-'[10]Set Up'!$J$16)*'[10]Set Up'!$N$17+'[10]Set Up'!$O$15+'[10]Set Up'!$O$16,(G8-'[10]Set Up'!$J$17)*'[10]Set Up'!$N$18 + SUM('[10]Set Up'!$O$15:'[10]Set Up'!$O$17)))))</f>
        <v>389.48863878373413</v>
      </c>
      <c r="H13" s="26">
        <f>IF(H8="","",IF(H8&lt;'[10]Set Up'!$J$15,H8*'[10]Set Up'!$N$15,IF(H8&lt;'[10]Set Up'!$J$16,(H8-'[10]Set Up'!$J$15)*'[10]Set Up'!$N$16+'[10]Set Up'!$O$15,IF(H8&lt;'[10]Set Up'!$J$17,(H8-'[10]Set Up'!$J$16)*'[10]Set Up'!$N$17+'[10]Set Up'!$O$15+'[10]Set Up'!$O$16,(H8-'[10]Set Up'!$J$17)*'[10]Set Up'!$N$18 + SUM('[10]Set Up'!$O$15:'[10]Set Up'!$O$17)))))</f>
        <v>386.48741773159128</v>
      </c>
      <c r="I13" s="26">
        <f>IF(I8="","",IF(I8&lt;'[10]Set Up'!$J$15,I8*'[10]Set Up'!$N$15,IF(I8&lt;'[10]Set Up'!$J$16,(I8-'[10]Set Up'!$J$15)*'[10]Set Up'!$N$16+'[10]Set Up'!$O$15,IF(I8&lt;'[10]Set Up'!$J$17,(I8-'[10]Set Up'!$J$16)*'[10]Set Up'!$N$17+'[10]Set Up'!$O$15+'[10]Set Up'!$O$16,(I8-'[10]Set Up'!$J$17)*'[10]Set Up'!$N$18 + SUM('[10]Set Up'!$O$15:'[10]Set Up'!$O$17)))))</f>
        <v>383.48619667944843</v>
      </c>
      <c r="J13" s="26">
        <f>IF(J8="","",IF(J8&lt;'[10]Set Up'!$J$15,J8*'[10]Set Up'!$N$15,IF(J8&lt;'[10]Set Up'!$J$16,(J8-'[10]Set Up'!$J$15)*'[10]Set Up'!$N$16+'[10]Set Up'!$O$15,IF(J8&lt;'[10]Set Up'!$J$17,(J8-'[10]Set Up'!$J$16)*'[10]Set Up'!$N$17+'[10]Set Up'!$O$15+'[10]Set Up'!$O$16,(J8-'[10]Set Up'!$J$17)*'[10]Set Up'!$N$18 + SUM('[10]Set Up'!$O$15:'[10]Set Up'!$O$17)))))</f>
        <v>380.48497562730552</v>
      </c>
      <c r="K13" s="26">
        <f>IF(K8="","",IF(K8&lt;'[10]Set Up'!$J$15,K8*'[10]Set Up'!$N$15,IF(K8&lt;'[10]Set Up'!$J$16,(K8-'[10]Set Up'!$J$15)*'[10]Set Up'!$N$16+'[10]Set Up'!$O$15,IF(K8&lt;'[10]Set Up'!$J$17,(K8-'[10]Set Up'!$J$16)*'[10]Set Up'!$N$17+'[10]Set Up'!$O$15+'[10]Set Up'!$O$16,(K8-'[10]Set Up'!$J$17)*'[10]Set Up'!$N$18 + SUM('[10]Set Up'!$O$15:'[10]Set Up'!$O$17)))))</f>
        <v>377.468823127142</v>
      </c>
      <c r="L13" s="26">
        <f>IF(L8="","",IF(L8&lt;'[10]Set Up'!$J$15,L8*'[10]Set Up'!$N$15,IF(L8&lt;'[10]Set Up'!$J$16,(L8-'[10]Set Up'!$J$15)*'[10]Set Up'!$N$16+'[10]Set Up'!$O$15,IF(L8&lt;'[10]Set Up'!$J$17,(L8-'[10]Set Up'!$J$16)*'[10]Set Up'!$N$17+'[10]Set Up'!$O$15+'[10]Set Up'!$O$16,(L8-'[10]Set Up'!$J$17)*'[10]Set Up'!$N$18 + SUM('[10]Set Up'!$O$15:'[10]Set Up'!$O$17)))))</f>
        <v>374.46760207499909</v>
      </c>
      <c r="M13" s="26">
        <f>IF(M8="","",IF(M8&lt;'[10]Set Up'!$J$15,M8*'[10]Set Up'!$N$15,IF(M8&lt;'[10]Set Up'!$J$16,(M8-'[10]Set Up'!$J$15)*'[10]Set Up'!$N$16+'[10]Set Up'!$O$15,IF(M8&lt;'[10]Set Up'!$J$17,(M8-'[10]Set Up'!$J$16)*'[10]Set Up'!$N$17+'[10]Set Up'!$O$15+'[10]Set Up'!$O$16,(M8-'[10]Set Up'!$J$17)*'[10]Set Up'!$N$18 + SUM('[10]Set Up'!$O$15:'[10]Set Up'!$O$17)))))</f>
        <v>371.46638102285624</v>
      </c>
      <c r="N13" s="26">
        <f>IF(N8="","",IF(N8&lt;'[10]Set Up'!$J$15,N8*'[10]Set Up'!$N$15,IF(N8&lt;'[10]Set Up'!$J$16,(N8-'[10]Set Up'!$J$15)*'[10]Set Up'!$N$16+'[10]Set Up'!$O$15,IF(N8&lt;'[10]Set Up'!$J$17,(N8-'[10]Set Up'!$J$16)*'[10]Set Up'!$N$17+'[10]Set Up'!$O$15+'[10]Set Up'!$O$16,(N8-'[10]Set Up'!$J$17)*'[10]Set Up'!$N$18 + SUM('[10]Set Up'!$O$15:'[10]Set Up'!$O$17)))))</f>
        <v>368.46515997071333</v>
      </c>
      <c r="O13" s="26">
        <f>IF(O8="","",IF(O8&lt;'[10]Set Up'!$J$15,O8*'[10]Set Up'!$N$15,IF(O8&lt;'[10]Set Up'!$J$16,(O8-'[10]Set Up'!$J$15)*'[10]Set Up'!$N$16+'[10]Set Up'!$O$15,IF(O8&lt;'[10]Set Up'!$J$17,(O8-'[10]Set Up'!$J$16)*'[10]Set Up'!$N$17+'[10]Set Up'!$O$15+'[10]Set Up'!$O$16,(O8-'[10]Set Up'!$J$17)*'[10]Set Up'!$N$18 + SUM('[10]Set Up'!$O$15:'[10]Set Up'!$O$17)))))</f>
        <v>365.46393891857042</v>
      </c>
      <c r="P13" s="26">
        <f>IF(P8="","",IF(P8&lt;'[10]Set Up'!$J$15,P8*'[10]Set Up'!$N$15,IF(P8&lt;'[10]Set Up'!$J$16,(P8-'[10]Set Up'!$J$15)*'[10]Set Up'!$N$16+'[10]Set Up'!$O$15,IF(P8&lt;'[10]Set Up'!$J$17,(P8-'[10]Set Up'!$J$16)*'[10]Set Up'!$N$17+'[10]Set Up'!$O$15+'[10]Set Up'!$O$16,(P8-'[10]Set Up'!$J$17)*'[10]Set Up'!$N$18 + SUM('[10]Set Up'!$O$15:'[10]Set Up'!$O$17)))))</f>
        <v>362.46271786642757</v>
      </c>
      <c r="Q13" s="26">
        <f>IF(Q8="","",IF(Q8&lt;'[10]Set Up'!$J$15,Q8*'[10]Set Up'!$N$15,IF(Q8&lt;'[10]Set Up'!$J$16,(Q8-'[10]Set Up'!$J$15)*'[10]Set Up'!$N$16+'[10]Set Up'!$O$15,IF(Q8&lt;'[10]Set Up'!$J$17,(Q8-'[10]Set Up'!$J$16)*'[10]Set Up'!$N$17+'[10]Set Up'!$O$15+'[10]Set Up'!$O$16,(Q8-'[10]Set Up'!$J$17)*'[10]Set Up'!$N$18 + SUM('[10]Set Up'!$O$15:'[10]Set Up'!$O$17)))))</f>
        <v>359.46149681428466</v>
      </c>
      <c r="R13" s="26">
        <f>IF(R8="","",IF(R8&lt;'[10]Set Up'!$J$15,R8*'[10]Set Up'!$N$15,IF(R8&lt;'[10]Set Up'!$J$16,(R8-'[10]Set Up'!$J$15)*'[10]Set Up'!$N$16+'[10]Set Up'!$O$15,IF(R8&lt;'[10]Set Up'!$J$17,(R8-'[10]Set Up'!$J$16)*'[10]Set Up'!$N$17+'[10]Set Up'!$O$15+'[10]Set Up'!$O$16,(R8-'[10]Set Up'!$J$17)*'[10]Set Up'!$N$18 + SUM('[10]Set Up'!$O$15:'[10]Set Up'!$O$17)))))</f>
        <v>356.46027576214175</v>
      </c>
      <c r="S13" s="26">
        <f>IF(S8="","",IF(S8&lt;'[10]Set Up'!$J$15,S8*'[10]Set Up'!$N$15,IF(S8&lt;'[10]Set Up'!$J$16,(S8-'[10]Set Up'!$J$15)*'[10]Set Up'!$N$16+'[10]Set Up'!$O$15,IF(S8&lt;'[10]Set Up'!$J$17,(S8-'[10]Set Up'!$J$16)*'[10]Set Up'!$N$17+'[10]Set Up'!$O$15+'[10]Set Up'!$O$16,(S8-'[10]Set Up'!$J$17)*'[10]Set Up'!$N$18 + SUM('[10]Set Up'!$O$15:'[10]Set Up'!$O$17)))))</f>
        <v>353.4590547099989</v>
      </c>
      <c r="T13" s="26">
        <f>IF(T8="","",IF(T8&lt;'[10]Set Up'!$J$15,T8*'[10]Set Up'!$N$15,IF(T8&lt;'[10]Set Up'!$J$16,(T8-'[10]Set Up'!$J$15)*'[10]Set Up'!$N$16+'[10]Set Up'!$O$15,IF(T8&lt;'[10]Set Up'!$J$17,(T8-'[10]Set Up'!$J$16)*'[10]Set Up'!$N$17+'[10]Set Up'!$O$15+'[10]Set Up'!$O$16,(T8-'[10]Set Up'!$J$17)*'[10]Set Up'!$N$18 + SUM('[10]Set Up'!$O$15:'[10]Set Up'!$O$17)))))</f>
        <v>350.45783365785599</v>
      </c>
      <c r="U13" s="26">
        <f>IF(U8="","",IF(U8&lt;'[10]Set Up'!$J$15,U8*'[10]Set Up'!$N$15,IF(U8&lt;'[10]Set Up'!$J$16,(U8-'[10]Set Up'!$J$15)*'[10]Set Up'!$N$16+'[10]Set Up'!$O$15,IF(U8&lt;'[10]Set Up'!$J$17,(U8-'[10]Set Up'!$J$16)*'[10]Set Up'!$N$17+'[10]Set Up'!$O$15+'[10]Set Up'!$O$16,(U8-'[10]Set Up'!$J$17)*'[10]Set Up'!$N$18 + SUM('[10]Set Up'!$O$15:'[10]Set Up'!$O$17)))))</f>
        <v>347.45661260571308</v>
      </c>
      <c r="V13" s="26">
        <f>IF(V8="","",IF(V8&lt;'[10]Set Up'!$J$15,V8*'[10]Set Up'!$N$15,IF(V8&lt;'[10]Set Up'!$J$16,(V8-'[10]Set Up'!$J$15)*'[10]Set Up'!$N$16+'[10]Set Up'!$O$15,IF(V8&lt;'[10]Set Up'!$J$17,(V8-'[10]Set Up'!$J$16)*'[10]Set Up'!$N$17+'[10]Set Up'!$O$15+'[10]Set Up'!$O$16,(V8-'[10]Set Up'!$J$17)*'[10]Set Up'!$N$18 + SUM('[10]Set Up'!$O$15:'[10]Set Up'!$O$17)))))</f>
        <v>344.45539155357022</v>
      </c>
      <c r="W13" s="26">
        <f>IF(W8="","",IF(W8&lt;'[10]Set Up'!$J$15,W8*'[10]Set Up'!$N$15,IF(W8&lt;'[10]Set Up'!$J$16,(W8-'[10]Set Up'!$J$15)*'[10]Set Up'!$N$16+'[10]Set Up'!$O$15,IF(W8&lt;'[10]Set Up'!$J$17,(W8-'[10]Set Up'!$J$16)*'[10]Set Up'!$N$17+'[10]Set Up'!$O$15+'[10]Set Up'!$O$16,(W8-'[10]Set Up'!$J$17)*'[10]Set Up'!$N$18 + SUM('[10]Set Up'!$O$15:'[10]Set Up'!$O$17)))))</f>
        <v>341.45417050142731</v>
      </c>
      <c r="X13" s="26">
        <f>IF(X8="","",IF(X8&lt;'[10]Set Up'!$J$15,X8*'[10]Set Up'!$N$15,IF(X8&lt;'[10]Set Up'!$J$16,(X8-'[10]Set Up'!$J$15)*'[10]Set Up'!$N$16+'[10]Set Up'!$O$15,IF(X8&lt;'[10]Set Up'!$J$17,(X8-'[10]Set Up'!$J$16)*'[10]Set Up'!$N$17+'[10]Set Up'!$O$15+'[10]Set Up'!$O$16,(X8-'[10]Set Up'!$J$17)*'[10]Set Up'!$N$18 + SUM('[10]Set Up'!$O$15:'[10]Set Up'!$O$17)))))</f>
        <v>338.45294944928446</v>
      </c>
      <c r="Y13" s="26">
        <f>IF(Y8="","",IF(Y8&lt;'[10]Set Up'!$J$15,Y8*'[10]Set Up'!$N$15,IF(Y8&lt;'[10]Set Up'!$J$16,(Y8-'[10]Set Up'!$J$15)*'[10]Set Up'!$N$16+'[10]Set Up'!$O$15,IF(Y8&lt;'[10]Set Up'!$J$17,(Y8-'[10]Set Up'!$J$16)*'[10]Set Up'!$N$17+'[10]Set Up'!$O$15+'[10]Set Up'!$O$16,(Y8-'[10]Set Up'!$J$17)*'[10]Set Up'!$N$18 + SUM('[10]Set Up'!$O$15:'[10]Set Up'!$O$17)))))</f>
        <v>335.45172839714155</v>
      </c>
      <c r="Z13" s="26">
        <f>IF(Z8="","",IF(Z8&lt;'[10]Set Up'!$J$15,Z8*'[10]Set Up'!$N$15,IF(Z8&lt;'[10]Set Up'!$J$16,(Z8-'[10]Set Up'!$J$15)*'[10]Set Up'!$N$16+'[10]Set Up'!$O$15,IF(Z8&lt;'[10]Set Up'!$J$17,(Z8-'[10]Set Up'!$J$16)*'[10]Set Up'!$N$17+'[10]Set Up'!$O$15+'[10]Set Up'!$O$16,(Z8-'[10]Set Up'!$J$17)*'[10]Set Up'!$N$18 + SUM('[10]Set Up'!$O$15:'[10]Set Up'!$O$17)))))</f>
        <v>332.45050734499864</v>
      </c>
      <c r="AA13" s="26">
        <f>IF(AA8="","",IF(AA8&lt;'[10]Set Up'!$J$15,AA8*'[10]Set Up'!$N$15,IF(AA8&lt;'[10]Set Up'!$J$16,(AA8-'[10]Set Up'!$J$15)*'[10]Set Up'!$N$16+'[10]Set Up'!$O$15,IF(AA8&lt;'[10]Set Up'!$J$17,(AA8-'[10]Set Up'!$J$16)*'[10]Set Up'!$N$17+'[10]Set Up'!$O$15+'[10]Set Up'!$O$16,(AA8-'[10]Set Up'!$J$17)*'[10]Set Up'!$N$18 + SUM('[10]Set Up'!$O$15:'[10]Set Up'!$O$17)))))</f>
        <v>329.44928629285573</v>
      </c>
      <c r="AB13" s="26">
        <f>IF(AB8="","",IF(AB8&lt;'[10]Set Up'!$J$15,AB8*'[10]Set Up'!$N$15,IF(AB8&lt;'[10]Set Up'!$J$16,(AB8-'[10]Set Up'!$J$15)*'[10]Set Up'!$N$16+'[10]Set Up'!$O$15,IF(AB8&lt;'[10]Set Up'!$J$17,(AB8-'[10]Set Up'!$J$16)*'[10]Set Up'!$N$17+'[10]Set Up'!$O$15+'[10]Set Up'!$O$16,(AB8-'[10]Set Up'!$J$17)*'[10]Set Up'!$N$18 + SUM('[10]Set Up'!$O$15:'[10]Set Up'!$O$17)))))</f>
        <v>326.44806524071288</v>
      </c>
      <c r="AC13" s="26">
        <f>IF(AC8="","",IF(AC8&lt;'[10]Set Up'!$J$15,AC8*'[10]Set Up'!$N$15,IF(AC8&lt;'[10]Set Up'!$J$16,(AC8-'[10]Set Up'!$J$15)*'[10]Set Up'!$N$16+'[10]Set Up'!$O$15,IF(AC8&lt;'[10]Set Up'!$J$17,(AC8-'[10]Set Up'!$J$16)*'[10]Set Up'!$N$17+'[10]Set Up'!$O$15+'[10]Set Up'!$O$16,(AC8-'[10]Set Up'!$J$17)*'[10]Set Up'!$N$18 + SUM('[10]Set Up'!$O$15:'[10]Set Up'!$O$17)))))</f>
        <v>323.44684418856997</v>
      </c>
      <c r="AD13" s="26">
        <f>IF(AD8="","",IF(AD8&lt;'[10]Set Up'!$J$15,AD8*'[10]Set Up'!$N$15,IF(AD8&lt;'[10]Set Up'!$J$16,(AD8-'[10]Set Up'!$J$15)*'[10]Set Up'!$N$16+'[10]Set Up'!$O$15,IF(AD8&lt;'[10]Set Up'!$J$17,(AD8-'[10]Set Up'!$J$16)*'[10]Set Up'!$N$17+'[10]Set Up'!$O$15+'[10]Set Up'!$O$16,(AD8-'[10]Set Up'!$J$17)*'[10]Set Up'!$N$18 + SUM('[10]Set Up'!$O$15:'[10]Set Up'!$O$17)))))</f>
        <v>320.44562313642712</v>
      </c>
      <c r="AE13" s="26">
        <f>IF(AE8="","",IF(AE8&lt;'[10]Set Up'!$J$15,AE8*'[10]Set Up'!$N$15,IF(AE8&lt;'[10]Set Up'!$J$16,(AE8-'[10]Set Up'!$J$15)*'[10]Set Up'!$N$16+'[10]Set Up'!$O$15,IF(AE8&lt;'[10]Set Up'!$J$17,(AE8-'[10]Set Up'!$J$16)*'[10]Set Up'!$N$17+'[10]Set Up'!$O$15+'[10]Set Up'!$O$16,(AE8-'[10]Set Up'!$J$17)*'[10]Set Up'!$N$18 + SUM('[10]Set Up'!$O$15:'[10]Set Up'!$O$17)))))</f>
        <v>317.44440208428421</v>
      </c>
      <c r="AF13" s="26">
        <f>IF(AF8="","",IF(AF8&lt;'[10]Set Up'!$J$15,AF8*'[10]Set Up'!$N$15,IF(AF8&lt;'[10]Set Up'!$J$16,(AF8-'[10]Set Up'!$J$15)*'[10]Set Up'!$N$16+'[10]Set Up'!$O$15,IF(AF8&lt;'[10]Set Up'!$J$17,(AF8-'[10]Set Up'!$J$16)*'[10]Set Up'!$N$17+'[10]Set Up'!$O$15+'[10]Set Up'!$O$16,(AF8-'[10]Set Up'!$J$17)*'[10]Set Up'!$N$18 + SUM('[10]Set Up'!$O$15:'[10]Set Up'!$O$17)))))</f>
        <v>314.4431810321413</v>
      </c>
      <c r="AG13" s="26">
        <f>IF(AG8="","",IF(AG8&lt;'[10]Set Up'!$J$15,AG8*'[10]Set Up'!$N$15,IF(AG8&lt;'[10]Set Up'!$J$16,(AG8-'[10]Set Up'!$J$15)*'[10]Set Up'!$N$16+'[10]Set Up'!$O$15,IF(AG8&lt;'[10]Set Up'!$J$17,(AG8-'[10]Set Up'!$J$16)*'[10]Set Up'!$N$17+'[10]Set Up'!$O$15+'[10]Set Up'!$O$16,(AG8-'[10]Set Up'!$J$17)*'[10]Set Up'!$N$18 + SUM('[10]Set Up'!$O$15:'[10]Set Up'!$O$17)))))</f>
        <v>311.44195997999839</v>
      </c>
      <c r="AH13" s="26">
        <f>IF(AH8="","",IF(AH8&lt;'[10]Set Up'!$J$15,AH8*'[10]Set Up'!$N$15,IF(AH8&lt;'[10]Set Up'!$J$16,(AH8-'[10]Set Up'!$J$15)*'[10]Set Up'!$N$16+'[10]Set Up'!$O$15,IF(AH8&lt;'[10]Set Up'!$J$17,(AH8-'[10]Set Up'!$J$16)*'[10]Set Up'!$N$17+'[10]Set Up'!$O$15+'[10]Set Up'!$O$16,(AH8-'[10]Set Up'!$J$17)*'[10]Set Up'!$N$18 + SUM('[10]Set Up'!$O$15:'[10]Set Up'!$O$17)))))</f>
        <v>308.44073892785553</v>
      </c>
      <c r="AI13" s="26">
        <f>IF(AI8="","",IF(AI8&lt;'[10]Set Up'!$J$15,AI8*'[10]Set Up'!$N$15,IF(AI8&lt;'[10]Set Up'!$J$16,(AI8-'[10]Set Up'!$J$15)*'[10]Set Up'!$N$16+'[10]Set Up'!$O$15,IF(AI8&lt;'[10]Set Up'!$J$17,(AI8-'[10]Set Up'!$J$16)*'[10]Set Up'!$N$17+'[10]Set Up'!$O$15+'[10]Set Up'!$O$16,(AI8-'[10]Set Up'!$J$17)*'[10]Set Up'!$N$18 + SUM('[10]Set Up'!$O$15:'[10]Set Up'!$O$17)))))</f>
        <v>305.43951787571262</v>
      </c>
      <c r="AJ13" s="26">
        <f>IF(AJ8="","",IF(AJ8&lt;'[10]Set Up'!$J$15,AJ8*'[10]Set Up'!$N$15,IF(AJ8&lt;'[10]Set Up'!$J$16,(AJ8-'[10]Set Up'!$J$15)*'[10]Set Up'!$N$16+'[10]Set Up'!$O$15,IF(AJ8&lt;'[10]Set Up'!$J$17,(AJ8-'[10]Set Up'!$J$16)*'[10]Set Up'!$N$17+'[10]Set Up'!$O$15+'[10]Set Up'!$O$16,(AJ8-'[10]Set Up'!$J$17)*'[10]Set Up'!$N$18 + SUM('[10]Set Up'!$O$15:'[10]Set Up'!$O$17)))))</f>
        <v>302.43829682356977</v>
      </c>
      <c r="AK13" s="26">
        <f>IF(AK8="","",IF(AK8&lt;'[10]Set Up'!$J$15,AK8*'[10]Set Up'!$N$15,IF(AK8&lt;'[10]Set Up'!$J$16,(AK8-'[10]Set Up'!$J$15)*'[10]Set Up'!$N$16+'[10]Set Up'!$O$15,IF(AK8&lt;'[10]Set Up'!$J$17,(AK8-'[10]Set Up'!$J$16)*'[10]Set Up'!$N$17+'[10]Set Up'!$O$15+'[10]Set Up'!$O$16,(AK8-'[10]Set Up'!$J$17)*'[10]Set Up'!$N$18 + SUM('[10]Set Up'!$O$15:'[10]Set Up'!$O$17)))))</f>
        <v>299.42214432340626</v>
      </c>
      <c r="AL13" s="26">
        <f>IF(AL8="","",IF(AL8&lt;'[10]Set Up'!$J$15,AL8*'[10]Set Up'!$N$15,IF(AL8&lt;'[10]Set Up'!$J$16,(AL8-'[10]Set Up'!$J$15)*'[10]Set Up'!$N$16+'[10]Set Up'!$O$15,IF(AL8&lt;'[10]Set Up'!$J$17,(AL8-'[10]Set Up'!$J$16)*'[10]Set Up'!$N$17+'[10]Set Up'!$O$15+'[10]Set Up'!$O$16,(AL8-'[10]Set Up'!$J$17)*'[10]Set Up'!$N$18 + SUM('[10]Set Up'!$O$15:'[10]Set Up'!$O$17)))))</f>
        <v>296.42092327126335</v>
      </c>
      <c r="AM13" s="26">
        <f>IF(AM8="","",IF(AM8&lt;'[10]Set Up'!$J$15,AM8*'[10]Set Up'!$N$15,IF(AM8&lt;'[10]Set Up'!$J$16,(AM8-'[10]Set Up'!$J$15)*'[10]Set Up'!$N$16+'[10]Set Up'!$O$15,IF(AM8&lt;'[10]Set Up'!$J$17,(AM8-'[10]Set Up'!$J$16)*'[10]Set Up'!$N$17+'[10]Set Up'!$O$15+'[10]Set Up'!$O$16,(AM8-'[10]Set Up'!$J$17)*'[10]Set Up'!$N$18 + SUM('[10]Set Up'!$O$15:'[10]Set Up'!$O$17)))))</f>
        <v>293.41970221912044</v>
      </c>
      <c r="AN13" s="26">
        <f>IF(AN8="","",IF(AN8&lt;'[10]Set Up'!$J$15,AN8*'[10]Set Up'!$N$15,IF(AN8&lt;'[10]Set Up'!$J$16,(AN8-'[10]Set Up'!$J$15)*'[10]Set Up'!$N$16+'[10]Set Up'!$O$15,IF(AN8&lt;'[10]Set Up'!$J$17,(AN8-'[10]Set Up'!$J$16)*'[10]Set Up'!$N$17+'[10]Set Up'!$O$15+'[10]Set Up'!$O$16,(AN8-'[10]Set Up'!$J$17)*'[10]Set Up'!$N$18 + SUM('[10]Set Up'!$O$15:'[10]Set Up'!$O$17)))))</f>
        <v>290.41848116697759</v>
      </c>
      <c r="AO13" s="26">
        <f>IF(AO8="","",IF(AO8&lt;'[10]Set Up'!$J$15,AO8*'[10]Set Up'!$N$15,IF(AO8&lt;'[10]Set Up'!$J$16,(AO8-'[10]Set Up'!$J$15)*'[10]Set Up'!$N$16+'[10]Set Up'!$O$15,IF(AO8&lt;'[10]Set Up'!$J$17,(AO8-'[10]Set Up'!$J$16)*'[10]Set Up'!$N$17+'[10]Set Up'!$O$15+'[10]Set Up'!$O$16,(AO8-'[10]Set Up'!$J$17)*'[10]Set Up'!$N$18 + SUM('[10]Set Up'!$O$15:'[10]Set Up'!$O$17)))))</f>
        <v>287.41726011483468</v>
      </c>
      <c r="AP13" s="26">
        <f>IF(AP8="","",IF(AP8&lt;'[10]Set Up'!$J$15,AP8*'[10]Set Up'!$N$15,IF(AP8&lt;'[10]Set Up'!$J$16,(AP8-'[10]Set Up'!$J$15)*'[10]Set Up'!$N$16+'[10]Set Up'!$O$15,IF(AP8&lt;'[10]Set Up'!$J$17,(AP8-'[10]Set Up'!$J$16)*'[10]Set Up'!$N$17+'[10]Set Up'!$O$15+'[10]Set Up'!$O$16,(AP8-'[10]Set Up'!$J$17)*'[10]Set Up'!$N$18 + SUM('[10]Set Up'!$O$15:'[10]Set Up'!$O$17)))))</f>
        <v>284.41603906269177</v>
      </c>
      <c r="AQ13" s="26">
        <f>IF(AQ8="","",IF(AQ8&lt;'[10]Set Up'!$J$15,AQ8*'[10]Set Up'!$N$15,IF(AQ8&lt;'[10]Set Up'!$J$16,(AQ8-'[10]Set Up'!$J$15)*'[10]Set Up'!$N$16+'[10]Set Up'!$O$15,IF(AQ8&lt;'[10]Set Up'!$J$17,(AQ8-'[10]Set Up'!$J$16)*'[10]Set Up'!$N$17+'[10]Set Up'!$O$15+'[10]Set Up'!$O$16,(AQ8-'[10]Set Up'!$J$17)*'[10]Set Up'!$N$18 + SUM('[10]Set Up'!$O$15:'[10]Set Up'!$O$17)))))</f>
        <v>281.41481801054891</v>
      </c>
      <c r="AR13" s="26">
        <f>IF(AR8="","",IF(AR8&lt;'[10]Set Up'!$J$15,AR8*'[10]Set Up'!$N$15,IF(AR8&lt;'[10]Set Up'!$J$16,(AR8-'[10]Set Up'!$J$15)*'[10]Set Up'!$N$16+'[10]Set Up'!$O$15,IF(AR8&lt;'[10]Set Up'!$J$17,(AR8-'[10]Set Up'!$J$16)*'[10]Set Up'!$N$17+'[10]Set Up'!$O$15+'[10]Set Up'!$O$16,(AR8-'[10]Set Up'!$J$17)*'[10]Set Up'!$N$18 + SUM('[10]Set Up'!$O$15:'[10]Set Up'!$O$17)))))</f>
        <v>278.413596958406</v>
      </c>
      <c r="AS13" s="26">
        <f>IF(AS8="","",IF(AS8&lt;'[10]Set Up'!$J$15,AS8*'[10]Set Up'!$N$15,IF(AS8&lt;'[10]Set Up'!$J$16,(AS8-'[10]Set Up'!$J$15)*'[10]Set Up'!$N$16+'[10]Set Up'!$O$15,IF(AS8&lt;'[10]Set Up'!$J$17,(AS8-'[10]Set Up'!$J$16)*'[10]Set Up'!$N$17+'[10]Set Up'!$O$15+'[10]Set Up'!$O$16,(AS8-'[10]Set Up'!$J$17)*'[10]Set Up'!$N$18 + SUM('[10]Set Up'!$O$15:'[10]Set Up'!$O$17)))))</f>
        <v>275.41237590626309</v>
      </c>
      <c r="AT13" s="26">
        <f>IF(AT8="","",IF(AT8&lt;'[10]Set Up'!$J$15,AT8*'[10]Set Up'!$N$15,IF(AT8&lt;'[10]Set Up'!$J$16,(AT8-'[10]Set Up'!$J$15)*'[10]Set Up'!$N$16+'[10]Set Up'!$O$15,IF(AT8&lt;'[10]Set Up'!$J$17,(AT8-'[10]Set Up'!$J$16)*'[10]Set Up'!$N$17+'[10]Set Up'!$O$15+'[10]Set Up'!$O$16,(AT8-'[10]Set Up'!$J$17)*'[10]Set Up'!$N$18 + SUM('[10]Set Up'!$O$15:'[10]Set Up'!$O$17)))))</f>
        <v>272.41115485412024</v>
      </c>
      <c r="AU13" s="26">
        <f>IF(AU8="","",IF(AU8&lt;'[10]Set Up'!$J$15,AU8*'[10]Set Up'!$N$15,IF(AU8&lt;'[10]Set Up'!$J$16,(AU8-'[10]Set Up'!$J$15)*'[10]Set Up'!$N$16+'[10]Set Up'!$O$15,IF(AU8&lt;'[10]Set Up'!$J$17,(AU8-'[10]Set Up'!$J$16)*'[10]Set Up'!$N$17+'[10]Set Up'!$O$15+'[10]Set Up'!$O$16,(AU8-'[10]Set Up'!$J$17)*'[10]Set Up'!$N$18 + SUM('[10]Set Up'!$O$15:'[10]Set Up'!$O$17)))))</f>
        <v>269.40993380197733</v>
      </c>
      <c r="AV13" s="26">
        <f>IF(AV8="","",IF(AV8&lt;'[10]Set Up'!$J$15,AV8*'[10]Set Up'!$N$15,IF(AV8&lt;'[10]Set Up'!$J$16,(AV8-'[10]Set Up'!$J$15)*'[10]Set Up'!$N$16+'[10]Set Up'!$O$15,IF(AV8&lt;'[10]Set Up'!$J$17,(AV8-'[10]Set Up'!$J$16)*'[10]Set Up'!$N$17+'[10]Set Up'!$O$15+'[10]Set Up'!$O$16,(AV8-'[10]Set Up'!$J$17)*'[10]Set Up'!$N$18 + SUM('[10]Set Up'!$O$15:'[10]Set Up'!$O$17)))))</f>
        <v>266.40871274983442</v>
      </c>
      <c r="AW13" s="26">
        <f>IF(AW8="","",IF(AW8&lt;'[10]Set Up'!$J$15,AW8*'[10]Set Up'!$N$15,IF(AW8&lt;'[10]Set Up'!$J$16,(AW8-'[10]Set Up'!$J$15)*'[10]Set Up'!$N$16+'[10]Set Up'!$O$15,IF(AW8&lt;'[10]Set Up'!$J$17,(AW8-'[10]Set Up'!$J$16)*'[10]Set Up'!$N$17+'[10]Set Up'!$O$15+'[10]Set Up'!$O$16,(AW8-'[10]Set Up'!$J$17)*'[10]Set Up'!$N$18 + SUM('[10]Set Up'!$O$15:'[10]Set Up'!$O$17)))))</f>
        <v>263.40749169769157</v>
      </c>
      <c r="AX13" s="26">
        <f>IF(AX8="","",IF(AX8&lt;'[10]Set Up'!$J$15,AX8*'[10]Set Up'!$N$15,IF(AX8&lt;'[10]Set Up'!$J$16,(AX8-'[10]Set Up'!$J$15)*'[10]Set Up'!$N$16+'[10]Set Up'!$O$15,IF(AX8&lt;'[10]Set Up'!$J$17,(AX8-'[10]Set Up'!$J$16)*'[10]Set Up'!$N$17+'[10]Set Up'!$O$15+'[10]Set Up'!$O$16,(AX8-'[10]Set Up'!$J$17)*'[10]Set Up'!$N$18 + SUM('[10]Set Up'!$O$15:'[10]Set Up'!$O$17)))))</f>
        <v>260.40627064554866</v>
      </c>
      <c r="AY13" s="26">
        <f>IF(AY8="","",IF(AY8&lt;'[10]Set Up'!$J$15,AY8*'[10]Set Up'!$N$15,IF(AY8&lt;'[10]Set Up'!$J$16,(AY8-'[10]Set Up'!$J$15)*'[10]Set Up'!$N$16+'[10]Set Up'!$O$15,IF(AY8&lt;'[10]Set Up'!$J$17,(AY8-'[10]Set Up'!$J$16)*'[10]Set Up'!$N$17+'[10]Set Up'!$O$15+'[10]Set Up'!$O$16,(AY8-'[10]Set Up'!$J$17)*'[10]Set Up'!$N$18 + SUM('[10]Set Up'!$O$15:'[10]Set Up'!$O$17)))))</f>
        <v>0</v>
      </c>
      <c r="AZ13" s="26">
        <f>IF(AZ8="","",IF(AZ8&lt;'[10]Set Up'!$J$15,AZ8*'[10]Set Up'!$N$15,IF(AZ8&lt;'[10]Set Up'!$J$16,(AZ8-'[10]Set Up'!$J$15)*'[10]Set Up'!$N$16+'[10]Set Up'!$O$15,IF(AZ8&lt;'[10]Set Up'!$J$17,(AZ8-'[10]Set Up'!$J$16)*'[10]Set Up'!$N$17+'[10]Set Up'!$O$15+'[10]Set Up'!$O$16,(AZ8-'[10]Set Up'!$J$17)*'[10]Set Up'!$N$18 + SUM('[10]Set Up'!$O$15:'[10]Set Up'!$O$17)))))</f>
        <v>0</v>
      </c>
      <c r="BA13" s="26">
        <f>IF(BA8="","",IF(BA8&lt;'[10]Set Up'!$J$15,BA8*'[10]Set Up'!$N$15,IF(BA8&lt;'[10]Set Up'!$J$16,(BA8-'[10]Set Up'!$J$15)*'[10]Set Up'!$N$16+'[10]Set Up'!$O$15,IF(BA8&lt;'[10]Set Up'!$J$17,(BA8-'[10]Set Up'!$J$16)*'[10]Set Up'!$N$17+'[10]Set Up'!$O$15+'[10]Set Up'!$O$16,(BA8-'[10]Set Up'!$J$17)*'[10]Set Up'!$N$18 + SUM('[10]Set Up'!$O$15:'[10]Set Up'!$O$17)))))</f>
        <v>0</v>
      </c>
      <c r="BB13" s="26">
        <f>IF(BB8="","",IF(BB8&lt;'[10]Set Up'!$J$15,BB8*'[10]Set Up'!$N$15,IF(BB8&lt;'[10]Set Up'!$J$16,(BB8-'[10]Set Up'!$J$15)*'[10]Set Up'!$N$16+'[10]Set Up'!$O$15,IF(BB8&lt;'[10]Set Up'!$J$17,(BB8-'[10]Set Up'!$J$16)*'[10]Set Up'!$N$17+'[10]Set Up'!$O$15+'[10]Set Up'!$O$16,(BB8-'[10]Set Up'!$J$17)*'[10]Set Up'!$N$18 + SUM('[10]Set Up'!$O$15:'[10]Set Up'!$O$17)))))</f>
        <v>0</v>
      </c>
      <c r="BC13" s="26">
        <f>IF(BC8="","",IF(BC8&lt;'[10]Set Up'!$J$15,BC8*'[10]Set Up'!$N$15,IF(BC8&lt;'[10]Set Up'!$J$16,(BC8-'[10]Set Up'!$J$15)*'[10]Set Up'!$N$16+'[10]Set Up'!$O$15,IF(BC8&lt;'[10]Set Up'!$J$17,(BC8-'[10]Set Up'!$J$16)*'[10]Set Up'!$N$17+'[10]Set Up'!$O$15+'[10]Set Up'!$O$16,(BC8-'[10]Set Up'!$J$17)*'[10]Set Up'!$N$18 + SUM('[10]Set Up'!$O$15:'[10]Set Up'!$O$17)))))</f>
        <v>0</v>
      </c>
      <c r="BD13" s="26">
        <f>IF(BD8="","",IF(BD8&lt;'[10]Set Up'!$J$15,BD8*'[10]Set Up'!$N$15,IF(BD8&lt;'[10]Set Up'!$J$16,(BD8-'[10]Set Up'!$J$15)*'[10]Set Up'!$N$16+'[10]Set Up'!$O$15,IF(BD8&lt;'[10]Set Up'!$J$17,(BD8-'[10]Set Up'!$J$16)*'[10]Set Up'!$N$17+'[10]Set Up'!$O$15+'[10]Set Up'!$O$16,(BD8-'[10]Set Up'!$J$17)*'[10]Set Up'!$N$18 + SUM('[10]Set Up'!$O$15:'[10]Set Up'!$O$17)))))</f>
        <v>0</v>
      </c>
      <c r="BE13" s="26">
        <f>IF(BE8="","",IF(BE8&lt;'[10]Set Up'!$J$15,BE8*'[10]Set Up'!$N$15,IF(BE8&lt;'[10]Set Up'!$J$16,(BE8-'[10]Set Up'!$J$15)*'[10]Set Up'!$N$16+'[10]Set Up'!$O$15,IF(BE8&lt;'[10]Set Up'!$J$17,(BE8-'[10]Set Up'!$J$16)*'[10]Set Up'!$N$17+'[10]Set Up'!$O$15+'[10]Set Up'!$O$16,(BE8-'[10]Set Up'!$J$17)*'[10]Set Up'!$N$18 + SUM('[10]Set Up'!$O$15:'[10]Set Up'!$O$17)))))</f>
        <v>0</v>
      </c>
      <c r="BF13" s="26">
        <f>IF(BF8="","",IF(BF8&lt;'[10]Set Up'!$J$15,BF8*'[10]Set Up'!$N$15,IF(BF8&lt;'[10]Set Up'!$J$16,(BF8-'[10]Set Up'!$J$15)*'[10]Set Up'!$N$16+'[10]Set Up'!$O$15,IF(BF8&lt;'[10]Set Up'!$J$17,(BF8-'[10]Set Up'!$J$16)*'[10]Set Up'!$N$17+'[10]Set Up'!$O$15+'[10]Set Up'!$O$16,(BF8-'[10]Set Up'!$J$17)*'[10]Set Up'!$N$18 + SUM('[10]Set Up'!$O$15:'[10]Set Up'!$O$17)))))</f>
        <v>0</v>
      </c>
      <c r="BG13" s="26">
        <f>IF(BG8="","",IF(BG8&lt;'[10]Set Up'!$J$15,BG8*'[10]Set Up'!$N$15,IF(BG8&lt;'[10]Set Up'!$J$16,(BG8-'[10]Set Up'!$J$15)*'[10]Set Up'!$N$16+'[10]Set Up'!$O$15,IF(BG8&lt;'[10]Set Up'!$J$17,(BG8-'[10]Set Up'!$J$16)*'[10]Set Up'!$N$17+'[10]Set Up'!$O$15+'[10]Set Up'!$O$16,(BG8-'[10]Set Up'!$J$17)*'[10]Set Up'!$N$18 + SUM('[10]Set Up'!$O$15:'[10]Set Up'!$O$17)))))</f>
        <v>0</v>
      </c>
      <c r="BH13" s="26">
        <f>IF(BH8="","",IF(BH8&lt;'[10]Set Up'!$J$15,BH8*'[10]Set Up'!$N$15,IF(BH8&lt;'[10]Set Up'!$J$16,(BH8-'[10]Set Up'!$J$15)*'[10]Set Up'!$N$16+'[10]Set Up'!$O$15,IF(BH8&lt;'[10]Set Up'!$J$17,(BH8-'[10]Set Up'!$J$16)*'[10]Set Up'!$N$17+'[10]Set Up'!$O$15+'[10]Set Up'!$O$16,(BH8-'[10]Set Up'!$J$17)*'[10]Set Up'!$N$18 + SUM('[10]Set Up'!$O$15:'[10]Set Up'!$O$17)))))</f>
        <v>0</v>
      </c>
      <c r="BI13" s="26">
        <f>IF(BI8="","",IF(BI8&lt;'[10]Set Up'!$J$15,BI8*'[10]Set Up'!$N$15,IF(BI8&lt;'[10]Set Up'!$J$16,(BI8-'[10]Set Up'!$J$15)*'[10]Set Up'!$N$16+'[10]Set Up'!$O$15,IF(BI8&lt;'[10]Set Up'!$J$17,(BI8-'[10]Set Up'!$J$16)*'[10]Set Up'!$N$17+'[10]Set Up'!$O$15+'[10]Set Up'!$O$16,(BI8-'[10]Set Up'!$J$17)*'[10]Set Up'!$N$18 + SUM('[10]Set Up'!$O$15:'[10]Set Up'!$O$17)))))</f>
        <v>0</v>
      </c>
      <c r="BJ13" s="26">
        <f>IF(BJ8="","",IF(BJ8&lt;'[10]Set Up'!$J$15,BJ8*'[10]Set Up'!$N$15,IF(BJ8&lt;'[10]Set Up'!$J$16,(BJ8-'[10]Set Up'!$J$15)*'[10]Set Up'!$N$16+'[10]Set Up'!$O$15,IF(BJ8&lt;'[10]Set Up'!$J$17,(BJ8-'[10]Set Up'!$J$16)*'[10]Set Up'!$N$17+'[10]Set Up'!$O$15+'[10]Set Up'!$O$16,(BJ8-'[10]Set Up'!$J$17)*'[10]Set Up'!$N$18 + SUM('[10]Set Up'!$O$15:'[10]Set Up'!$O$17)))))</f>
        <v>0</v>
      </c>
      <c r="BK13" s="26">
        <f>IF(BK8="","",IF(BK8&lt;'[10]Set Up'!$J$15,BK8*'[10]Set Up'!$N$15,IF(BK8&lt;'[10]Set Up'!$J$16,(BK8-'[10]Set Up'!$J$15)*'[10]Set Up'!$N$16+'[10]Set Up'!$O$15,IF(BK8&lt;'[10]Set Up'!$J$17,(BK8-'[10]Set Up'!$J$16)*'[10]Set Up'!$N$17+'[10]Set Up'!$O$15+'[10]Set Up'!$O$16,(BK8-'[10]Set Up'!$J$17)*'[10]Set Up'!$N$18 + SUM('[10]Set Up'!$O$15:'[10]Set Up'!$O$17)))))</f>
        <v>0</v>
      </c>
      <c r="BL13" s="26">
        <f>IF(BL8="","",IF(BL8&lt;'[10]Set Up'!$J$15,BL8*'[10]Set Up'!$N$15,IF(BL8&lt;'[10]Set Up'!$J$16,(BL8-'[10]Set Up'!$J$15)*'[10]Set Up'!$N$16+'[10]Set Up'!$O$15,IF(BL8&lt;'[10]Set Up'!$J$17,(BL8-'[10]Set Up'!$J$16)*'[10]Set Up'!$N$17+'[10]Set Up'!$O$15+'[10]Set Up'!$O$16,(BL8-'[10]Set Up'!$J$17)*'[10]Set Up'!$N$18 + SUM('[10]Set Up'!$O$15:'[10]Set Up'!$O$17)))))</f>
        <v>0</v>
      </c>
      <c r="BM13" s="26">
        <f>IF(BM8="","",IF(BM8&lt;'[10]Set Up'!$J$15,BM8*'[10]Set Up'!$N$15,IF(BM8&lt;'[10]Set Up'!$J$16,(BM8-'[10]Set Up'!$J$15)*'[10]Set Up'!$N$16+'[10]Set Up'!$O$15,IF(BM8&lt;'[10]Set Up'!$J$17,(BM8-'[10]Set Up'!$J$16)*'[10]Set Up'!$N$17+'[10]Set Up'!$O$15+'[10]Set Up'!$O$16,(BM8-'[10]Set Up'!$J$17)*'[10]Set Up'!$N$18 + SUM('[10]Set Up'!$O$15:'[10]Set Up'!$O$17)))))</f>
        <v>0</v>
      </c>
      <c r="BN13" s="26">
        <f>IF(BN8="","",IF(BN8&lt;'[10]Set Up'!$J$15,BN8*'[10]Set Up'!$N$15,IF(BN8&lt;'[10]Set Up'!$J$16,(BN8-'[10]Set Up'!$J$15)*'[10]Set Up'!$N$16+'[10]Set Up'!$O$15,IF(BN8&lt;'[10]Set Up'!$J$17,(BN8-'[10]Set Up'!$J$16)*'[10]Set Up'!$N$17+'[10]Set Up'!$O$15+'[10]Set Up'!$O$16,(BN8-'[10]Set Up'!$J$17)*'[10]Set Up'!$N$18 + SUM('[10]Set Up'!$O$15:'[10]Set Up'!$O$17)))))</f>
        <v>0</v>
      </c>
      <c r="BO13" s="26">
        <f>IF(BO8="","",IF(BO8&lt;'[10]Set Up'!$J$15,BO8*'[10]Set Up'!$N$15,IF(BO8&lt;'[10]Set Up'!$J$16,(BO8-'[10]Set Up'!$J$15)*'[10]Set Up'!$N$16+'[10]Set Up'!$O$15,IF(BO8&lt;'[10]Set Up'!$J$17,(BO8-'[10]Set Up'!$J$16)*'[10]Set Up'!$N$17+'[10]Set Up'!$O$15+'[10]Set Up'!$O$16,(BO8-'[10]Set Up'!$J$17)*'[10]Set Up'!$N$18 + SUM('[10]Set Up'!$O$15:'[10]Set Up'!$O$17)))))</f>
        <v>0</v>
      </c>
      <c r="BP13" s="26">
        <f>IF(BP8="","",IF(BP8&lt;'[10]Set Up'!$J$15,BP8*'[10]Set Up'!$N$15,IF(BP8&lt;'[10]Set Up'!$J$16,(BP8-'[10]Set Up'!$J$15)*'[10]Set Up'!$N$16+'[10]Set Up'!$O$15,IF(BP8&lt;'[10]Set Up'!$J$17,(BP8-'[10]Set Up'!$J$16)*'[10]Set Up'!$N$17+'[10]Set Up'!$O$15+'[10]Set Up'!$O$16,(BP8-'[10]Set Up'!$J$17)*'[10]Set Up'!$N$18 + SUM('[10]Set Up'!$O$15:'[10]Set Up'!$O$17)))))</f>
        <v>0</v>
      </c>
      <c r="BQ13" s="26">
        <f>IF(BQ8="","",IF(BQ8&lt;'[10]Set Up'!$J$15,BQ8*'[10]Set Up'!$N$15,IF(BQ8&lt;'[10]Set Up'!$J$16,(BQ8-'[10]Set Up'!$J$15)*'[10]Set Up'!$N$16+'[10]Set Up'!$O$15,IF(BQ8&lt;'[10]Set Up'!$J$17,(BQ8-'[10]Set Up'!$J$16)*'[10]Set Up'!$N$17+'[10]Set Up'!$O$15+'[10]Set Up'!$O$16,(BQ8-'[10]Set Up'!$J$17)*'[10]Set Up'!$N$18 + SUM('[10]Set Up'!$O$15:'[10]Set Up'!$O$17)))))</f>
        <v>0</v>
      </c>
      <c r="BR13" s="26">
        <f>IF(BR8="","",IF(BR8&lt;'[10]Set Up'!$J$15,BR8*'[10]Set Up'!$N$15,IF(BR8&lt;'[10]Set Up'!$J$16,(BR8-'[10]Set Up'!$J$15)*'[10]Set Up'!$N$16+'[10]Set Up'!$O$15,IF(BR8&lt;'[10]Set Up'!$J$17,(BR8-'[10]Set Up'!$J$16)*'[10]Set Up'!$N$17+'[10]Set Up'!$O$15+'[10]Set Up'!$O$16,(BR8-'[10]Set Up'!$J$17)*'[10]Set Up'!$N$18 + SUM('[10]Set Up'!$O$15:'[10]Set Up'!$O$17)))))</f>
        <v>0</v>
      </c>
      <c r="BS13" s="26">
        <f>IF(BS8="","",IF(BS8&lt;'[10]Set Up'!$J$15,BS8*'[10]Set Up'!$N$15,IF(BS8&lt;'[10]Set Up'!$J$16,(BS8-'[10]Set Up'!$J$15)*'[10]Set Up'!$N$16+'[10]Set Up'!$O$15,IF(BS8&lt;'[10]Set Up'!$J$17,(BS8-'[10]Set Up'!$J$16)*'[10]Set Up'!$N$17+'[10]Set Up'!$O$15+'[10]Set Up'!$O$16,(BS8-'[10]Set Up'!$J$17)*'[10]Set Up'!$N$18 + SUM('[10]Set Up'!$O$15:'[10]Set Up'!$O$17)))))</f>
        <v>0</v>
      </c>
      <c r="BT13" s="26">
        <f>IF(BT8="","",IF(BT8&lt;'[10]Set Up'!$J$15,BT8*'[10]Set Up'!$N$15,IF(BT8&lt;'[10]Set Up'!$J$16,(BT8-'[10]Set Up'!$J$15)*'[10]Set Up'!$N$16+'[10]Set Up'!$O$15,IF(BT8&lt;'[10]Set Up'!$J$17,(BT8-'[10]Set Up'!$J$16)*'[10]Set Up'!$N$17+'[10]Set Up'!$O$15+'[10]Set Up'!$O$16,(BT8-'[10]Set Up'!$J$17)*'[10]Set Up'!$N$18 + SUM('[10]Set Up'!$O$15:'[10]Set Up'!$O$17)))))</f>
        <v>0</v>
      </c>
      <c r="BU13" s="26">
        <f>IF(BU8="","",IF(BU8&lt;'[10]Set Up'!$J$15,BU8*'[10]Set Up'!$N$15,IF(BU8&lt;'[10]Set Up'!$J$16,(BU8-'[10]Set Up'!$J$15)*'[10]Set Up'!$N$16+'[10]Set Up'!$O$15,IF(BU8&lt;'[10]Set Up'!$J$17,(BU8-'[10]Set Up'!$J$16)*'[10]Set Up'!$N$17+'[10]Set Up'!$O$15+'[10]Set Up'!$O$16,(BU8-'[10]Set Up'!$J$17)*'[10]Set Up'!$N$18 + SUM('[10]Set Up'!$O$15:'[10]Set Up'!$O$17)))))</f>
        <v>0</v>
      </c>
      <c r="BV13" s="26">
        <f>IF(BV8="","",IF(BV8&lt;'[10]Set Up'!$J$15,BV8*'[10]Set Up'!$N$15,IF(BV8&lt;'[10]Set Up'!$J$16,(BV8-'[10]Set Up'!$J$15)*'[10]Set Up'!$N$16+'[10]Set Up'!$O$15,IF(BV8&lt;'[10]Set Up'!$J$17,(BV8-'[10]Set Up'!$J$16)*'[10]Set Up'!$N$17+'[10]Set Up'!$O$15+'[10]Set Up'!$O$16,(BV8-'[10]Set Up'!$J$17)*'[10]Set Up'!$N$18 + SUM('[10]Set Up'!$O$15:'[10]Set Up'!$O$17)))))</f>
        <v>0</v>
      </c>
      <c r="BW13" s="26">
        <f>IF(BW8="","",IF(BW8&lt;'[10]Set Up'!$J$15,BW8*'[10]Set Up'!$N$15,IF(BW8&lt;'[10]Set Up'!$J$16,(BW8-'[10]Set Up'!$J$15)*'[10]Set Up'!$N$16+'[10]Set Up'!$O$15,IF(BW8&lt;'[10]Set Up'!$J$17,(BW8-'[10]Set Up'!$J$16)*'[10]Set Up'!$N$17+'[10]Set Up'!$O$15+'[10]Set Up'!$O$16,(BW8-'[10]Set Up'!$J$17)*'[10]Set Up'!$N$18 + SUM('[10]Set Up'!$O$15:'[10]Set Up'!$O$17)))))</f>
        <v>0</v>
      </c>
      <c r="BX13" s="26">
        <f>IF(BX8="","",IF(BX8&lt;'[10]Set Up'!$J$15,BX8*'[10]Set Up'!$N$15,IF(BX8&lt;'[10]Set Up'!$J$16,(BX8-'[10]Set Up'!$J$15)*'[10]Set Up'!$N$16+'[10]Set Up'!$O$15,IF(BX8&lt;'[10]Set Up'!$J$17,(BX8-'[10]Set Up'!$J$16)*'[10]Set Up'!$N$17+'[10]Set Up'!$O$15+'[10]Set Up'!$O$16,(BX8-'[10]Set Up'!$J$17)*'[10]Set Up'!$N$18 + SUM('[10]Set Up'!$O$15:'[10]Set Up'!$O$17)))))</f>
        <v>0</v>
      </c>
      <c r="BY13" s="26">
        <f>IF(BY8="","",IF(BY8&lt;'[10]Set Up'!$J$15,BY8*'[10]Set Up'!$N$15,IF(BY8&lt;'[10]Set Up'!$J$16,(BY8-'[10]Set Up'!$J$15)*'[10]Set Up'!$N$16+'[10]Set Up'!$O$15,IF(BY8&lt;'[10]Set Up'!$J$17,(BY8-'[10]Set Up'!$J$16)*'[10]Set Up'!$N$17+'[10]Set Up'!$O$15+'[10]Set Up'!$O$16,(BY8-'[10]Set Up'!$J$17)*'[10]Set Up'!$N$18 + SUM('[10]Set Up'!$O$15:'[10]Set Up'!$O$17)))))</f>
        <v>0</v>
      </c>
      <c r="BZ13" s="8"/>
    </row>
    <row r="14" spans="1:78" x14ac:dyDescent="0.35">
      <c r="A14" s="27" t="s">
        <v>21</v>
      </c>
      <c r="B14" s="195"/>
      <c r="C14" s="28">
        <f>IF(C9="","",IF(C9&lt;'[10]Set Up'!$J$15,C9*'[10]Set Up'!$N$15,IF(C9&lt;'[10]Set Up'!$J$16,(C9-'[10]Set Up'!$J$15)*'[10]Set Up'!$N$16+'[10]Set Up'!$O$15,IF(C9&lt;'[10]Set Up'!$J$17,(C9-'[10]Set Up'!$J$16)*'[10]Set Up'!$N$17+'[10]Set Up'!$O$15+'[10]Set Up'!$O$16,(C9-'[10]Set Up'!$J$17)*'[10]Set Up'!$N$18 + SUM('[10]Set Up'!$O$15:'[10]Set Up'!$O$17)))))</f>
        <v>403.91241757164477</v>
      </c>
      <c r="D14" s="28">
        <f>IF(D9="","",IF(D9&lt;'[10]Set Up'!$J$15,D9*'[10]Set Up'!$N$15,IF(D9&lt;'[10]Set Up'!$J$16,(D9-'[10]Set Up'!$J$15)*'[10]Set Up'!$N$16+'[10]Set Up'!$O$15,IF(D9&lt;'[10]Set Up'!$J$17,(D9-'[10]Set Up'!$J$16)*'[10]Set Up'!$N$17+'[10]Set Up'!$O$15+'[10]Set Up'!$O$16,(D9-'[10]Set Up'!$J$17)*'[10]Set Up'!$N$18 + SUM('[10]Set Up'!$O$15:'[10]Set Up'!$O$17)))))</f>
        <v>400.91119651950191</v>
      </c>
      <c r="E14" s="28">
        <f>IF(E9="","",IF(E9&lt;'[10]Set Up'!$J$15,E9*'[10]Set Up'!$N$15,IF(E9&lt;'[10]Set Up'!$J$16,(E9-'[10]Set Up'!$J$15)*'[10]Set Up'!$N$16+'[10]Set Up'!$O$15,IF(E9&lt;'[10]Set Up'!$J$17,(E9-'[10]Set Up'!$J$16)*'[10]Set Up'!$N$17+'[10]Set Up'!$O$15+'[10]Set Up'!$O$16,(E9-'[10]Set Up'!$J$17)*'[10]Set Up'!$N$18 + SUM('[10]Set Up'!$O$15:'[10]Set Up'!$O$17)))))</f>
        <v>397.909975467359</v>
      </c>
      <c r="F14" s="28">
        <f>IF(F9="","",IF(F9&lt;'[10]Set Up'!$J$15,F9*'[10]Set Up'!$N$15,IF(F9&lt;'[10]Set Up'!$J$16,(F9-'[10]Set Up'!$J$15)*'[10]Set Up'!$N$16+'[10]Set Up'!$O$15,IF(F9&lt;'[10]Set Up'!$J$17,(F9-'[10]Set Up'!$J$16)*'[10]Set Up'!$N$17+'[10]Set Up'!$O$15+'[10]Set Up'!$O$16,(F9-'[10]Set Up'!$J$17)*'[10]Set Up'!$N$18 + SUM('[10]Set Up'!$O$15:'[10]Set Up'!$O$17)))))</f>
        <v>394.90875441521609</v>
      </c>
      <c r="G14" s="28">
        <f>IF(G9="","",IF(G9&lt;'[10]Set Up'!$J$15,G9*'[10]Set Up'!$N$15,IF(G9&lt;'[10]Set Up'!$J$16,(G9-'[10]Set Up'!$J$15)*'[10]Set Up'!$N$16+'[10]Set Up'!$O$15,IF(G9&lt;'[10]Set Up'!$J$17,(G9-'[10]Set Up'!$J$16)*'[10]Set Up'!$N$17+'[10]Set Up'!$O$15+'[10]Set Up'!$O$16,(G9-'[10]Set Up'!$J$17)*'[10]Set Up'!$N$18 + SUM('[10]Set Up'!$O$15:'[10]Set Up'!$O$17)))))</f>
        <v>391.90753336307318</v>
      </c>
      <c r="H14" s="28">
        <f>IF(H9="","",IF(H9&lt;'[10]Set Up'!$J$15,H9*'[10]Set Up'!$N$15,IF(H9&lt;'[10]Set Up'!$J$16,(H9-'[10]Set Up'!$J$15)*'[10]Set Up'!$N$16+'[10]Set Up'!$O$15,IF(H9&lt;'[10]Set Up'!$J$17,(H9-'[10]Set Up'!$J$16)*'[10]Set Up'!$N$17+'[10]Set Up'!$O$15+'[10]Set Up'!$O$16,(H9-'[10]Set Up'!$J$17)*'[10]Set Up'!$N$18 + SUM('[10]Set Up'!$O$15:'[10]Set Up'!$O$17)))))</f>
        <v>388.90631231093033</v>
      </c>
      <c r="I14" s="28">
        <f>IF(I9="","",IF(I9&lt;'[10]Set Up'!$J$15,I9*'[10]Set Up'!$N$15,IF(I9&lt;'[10]Set Up'!$J$16,(I9-'[10]Set Up'!$J$15)*'[10]Set Up'!$N$16+'[10]Set Up'!$O$15,IF(I9&lt;'[10]Set Up'!$J$17,(I9-'[10]Set Up'!$J$16)*'[10]Set Up'!$N$17+'[10]Set Up'!$O$15+'[10]Set Up'!$O$16,(I9-'[10]Set Up'!$J$17)*'[10]Set Up'!$N$18 + SUM('[10]Set Up'!$O$15:'[10]Set Up'!$O$17)))))</f>
        <v>385.90509125878748</v>
      </c>
      <c r="J14" s="28">
        <f>IF(J9="","",IF(J9&lt;'[10]Set Up'!$J$15,J9*'[10]Set Up'!$N$15,IF(J9&lt;'[10]Set Up'!$J$16,(J9-'[10]Set Up'!$J$15)*'[10]Set Up'!$N$16+'[10]Set Up'!$O$15,IF(J9&lt;'[10]Set Up'!$J$17,(J9-'[10]Set Up'!$J$16)*'[10]Set Up'!$N$17+'[10]Set Up'!$O$15+'[10]Set Up'!$O$16,(J9-'[10]Set Up'!$J$17)*'[10]Set Up'!$N$18 + SUM('[10]Set Up'!$O$15:'[10]Set Up'!$O$17)))))</f>
        <v>382.90387020664457</v>
      </c>
      <c r="K14" s="28">
        <f>IF(K9="","",IF(K9&lt;'[10]Set Up'!$J$15,K9*'[10]Set Up'!$N$15,IF(K9&lt;'[10]Set Up'!$J$16,(K9-'[10]Set Up'!$J$15)*'[10]Set Up'!$N$16+'[10]Set Up'!$O$15,IF(K9&lt;'[10]Set Up'!$J$17,(K9-'[10]Set Up'!$J$16)*'[10]Set Up'!$N$17+'[10]Set Up'!$O$15+'[10]Set Up'!$O$16,(K9-'[10]Set Up'!$J$17)*'[10]Set Up'!$N$18 + SUM('[10]Set Up'!$O$15:'[10]Set Up'!$O$17)))))</f>
        <v>379.90264915450166</v>
      </c>
      <c r="L14" s="28">
        <f>IF(L9="","",IF(L9&lt;'[10]Set Up'!$J$15,L9*'[10]Set Up'!$N$15,IF(L9&lt;'[10]Set Up'!$J$16,(L9-'[10]Set Up'!$J$15)*'[10]Set Up'!$N$16+'[10]Set Up'!$O$15,IF(L9&lt;'[10]Set Up'!$J$17,(L9-'[10]Set Up'!$J$16)*'[10]Set Up'!$N$17+'[10]Set Up'!$O$15+'[10]Set Up'!$O$16,(L9-'[10]Set Up'!$J$17)*'[10]Set Up'!$N$18 + SUM('[10]Set Up'!$O$15:'[10]Set Up'!$O$17)))))</f>
        <v>376.88649665433815</v>
      </c>
      <c r="M14" s="28">
        <f>IF(M9="","",IF(M9&lt;'[10]Set Up'!$J$15,M9*'[10]Set Up'!$N$15,IF(M9&lt;'[10]Set Up'!$J$16,(M9-'[10]Set Up'!$J$15)*'[10]Set Up'!$N$16+'[10]Set Up'!$O$15,IF(M9&lt;'[10]Set Up'!$J$17,(M9-'[10]Set Up'!$J$16)*'[10]Set Up'!$N$17+'[10]Set Up'!$O$15+'[10]Set Up'!$O$16,(M9-'[10]Set Up'!$J$17)*'[10]Set Up'!$N$18 + SUM('[10]Set Up'!$O$15:'[10]Set Up'!$O$17)))))</f>
        <v>373.88527560219529</v>
      </c>
      <c r="N14" s="28">
        <f>IF(N9="","",IF(N9&lt;'[10]Set Up'!$J$15,N9*'[10]Set Up'!$N$15,IF(N9&lt;'[10]Set Up'!$J$16,(N9-'[10]Set Up'!$J$15)*'[10]Set Up'!$N$16+'[10]Set Up'!$O$15,IF(N9&lt;'[10]Set Up'!$J$17,(N9-'[10]Set Up'!$J$16)*'[10]Set Up'!$N$17+'[10]Set Up'!$O$15+'[10]Set Up'!$O$16,(N9-'[10]Set Up'!$J$17)*'[10]Set Up'!$N$18 + SUM('[10]Set Up'!$O$15:'[10]Set Up'!$O$17)))))</f>
        <v>370.88405455005238</v>
      </c>
      <c r="O14" s="28">
        <f>IF(O9="","",IF(O9&lt;'[10]Set Up'!$J$15,O9*'[10]Set Up'!$N$15,IF(O9&lt;'[10]Set Up'!$J$16,(O9-'[10]Set Up'!$J$15)*'[10]Set Up'!$N$16+'[10]Set Up'!$O$15,IF(O9&lt;'[10]Set Up'!$J$17,(O9-'[10]Set Up'!$J$16)*'[10]Set Up'!$N$17+'[10]Set Up'!$O$15+'[10]Set Up'!$O$16,(O9-'[10]Set Up'!$J$17)*'[10]Set Up'!$N$18 + SUM('[10]Set Up'!$O$15:'[10]Set Up'!$O$17)))))</f>
        <v>367.88283349790947</v>
      </c>
      <c r="P14" s="28">
        <f>IF(P9="","",IF(P9&lt;'[10]Set Up'!$J$15,P9*'[10]Set Up'!$N$15,IF(P9&lt;'[10]Set Up'!$J$16,(P9-'[10]Set Up'!$J$15)*'[10]Set Up'!$N$16+'[10]Set Up'!$O$15,IF(P9&lt;'[10]Set Up'!$J$17,(P9-'[10]Set Up'!$J$16)*'[10]Set Up'!$N$17+'[10]Set Up'!$O$15+'[10]Set Up'!$O$16,(P9-'[10]Set Up'!$J$17)*'[10]Set Up'!$N$18 + SUM('[10]Set Up'!$O$15:'[10]Set Up'!$O$17)))))</f>
        <v>364.88161244576656</v>
      </c>
      <c r="Q14" s="28">
        <f>IF(Q9="","",IF(Q9&lt;'[10]Set Up'!$J$15,Q9*'[10]Set Up'!$N$15,IF(Q9&lt;'[10]Set Up'!$J$16,(Q9-'[10]Set Up'!$J$15)*'[10]Set Up'!$N$16+'[10]Set Up'!$O$15,IF(Q9&lt;'[10]Set Up'!$J$17,(Q9-'[10]Set Up'!$J$16)*'[10]Set Up'!$N$17+'[10]Set Up'!$O$15+'[10]Set Up'!$O$16,(Q9-'[10]Set Up'!$J$17)*'[10]Set Up'!$N$18 + SUM('[10]Set Up'!$O$15:'[10]Set Up'!$O$17)))))</f>
        <v>361.88039139362371</v>
      </c>
      <c r="R14" s="28">
        <f>IF(R9="","",IF(R9&lt;'[10]Set Up'!$J$15,R9*'[10]Set Up'!$N$15,IF(R9&lt;'[10]Set Up'!$J$16,(R9-'[10]Set Up'!$J$15)*'[10]Set Up'!$N$16+'[10]Set Up'!$O$15,IF(R9&lt;'[10]Set Up'!$J$17,(R9-'[10]Set Up'!$J$16)*'[10]Set Up'!$N$17+'[10]Set Up'!$O$15+'[10]Set Up'!$O$16,(R9-'[10]Set Up'!$J$17)*'[10]Set Up'!$N$18 + SUM('[10]Set Up'!$O$15:'[10]Set Up'!$O$17)))))</f>
        <v>358.8791703414808</v>
      </c>
      <c r="S14" s="28">
        <f>IF(S9="","",IF(S9&lt;'[10]Set Up'!$J$15,S9*'[10]Set Up'!$N$15,IF(S9&lt;'[10]Set Up'!$J$16,(S9-'[10]Set Up'!$J$15)*'[10]Set Up'!$N$16+'[10]Set Up'!$O$15,IF(S9&lt;'[10]Set Up'!$J$17,(S9-'[10]Set Up'!$J$16)*'[10]Set Up'!$N$17+'[10]Set Up'!$O$15+'[10]Set Up'!$O$16,(S9-'[10]Set Up'!$J$17)*'[10]Set Up'!$N$18 + SUM('[10]Set Up'!$O$15:'[10]Set Up'!$O$17)))))</f>
        <v>355.87794928933795</v>
      </c>
      <c r="T14" s="28">
        <f>IF(T9="","",IF(T9&lt;'[10]Set Up'!$J$15,T9*'[10]Set Up'!$N$15,IF(T9&lt;'[10]Set Up'!$J$16,(T9-'[10]Set Up'!$J$15)*'[10]Set Up'!$N$16+'[10]Set Up'!$O$15,IF(T9&lt;'[10]Set Up'!$J$17,(T9-'[10]Set Up'!$J$16)*'[10]Set Up'!$N$17+'[10]Set Up'!$O$15+'[10]Set Up'!$O$16,(T9-'[10]Set Up'!$J$17)*'[10]Set Up'!$N$18 + SUM('[10]Set Up'!$O$15:'[10]Set Up'!$O$17)))))</f>
        <v>352.87672823719504</v>
      </c>
      <c r="U14" s="28">
        <f>IF(U9="","",IF(U9&lt;'[10]Set Up'!$J$15,U9*'[10]Set Up'!$N$15,IF(U9&lt;'[10]Set Up'!$J$16,(U9-'[10]Set Up'!$J$15)*'[10]Set Up'!$N$16+'[10]Set Up'!$O$15,IF(U9&lt;'[10]Set Up'!$J$17,(U9-'[10]Set Up'!$J$16)*'[10]Set Up'!$N$17+'[10]Set Up'!$O$15+'[10]Set Up'!$O$16,(U9-'[10]Set Up'!$J$17)*'[10]Set Up'!$N$18 + SUM('[10]Set Up'!$O$15:'[10]Set Up'!$O$17)))))</f>
        <v>349.87550718505213</v>
      </c>
      <c r="V14" s="28">
        <f>IF(V9="","",IF(V9&lt;'[10]Set Up'!$J$15,V9*'[10]Set Up'!$N$15,IF(V9&lt;'[10]Set Up'!$J$16,(V9-'[10]Set Up'!$J$15)*'[10]Set Up'!$N$16+'[10]Set Up'!$O$15,IF(V9&lt;'[10]Set Up'!$J$17,(V9-'[10]Set Up'!$J$16)*'[10]Set Up'!$N$17+'[10]Set Up'!$O$15+'[10]Set Up'!$O$16,(V9-'[10]Set Up'!$J$17)*'[10]Set Up'!$N$18 + SUM('[10]Set Up'!$O$15:'[10]Set Up'!$O$17)))))</f>
        <v>346.87428613290922</v>
      </c>
      <c r="W14" s="28">
        <f>IF(W9="","",IF(W9&lt;'[10]Set Up'!$J$15,W9*'[10]Set Up'!$N$15,IF(W9&lt;'[10]Set Up'!$J$16,(W9-'[10]Set Up'!$J$15)*'[10]Set Up'!$N$16+'[10]Set Up'!$O$15,IF(W9&lt;'[10]Set Up'!$J$17,(W9-'[10]Set Up'!$J$16)*'[10]Set Up'!$N$17+'[10]Set Up'!$O$15+'[10]Set Up'!$O$16,(W9-'[10]Set Up'!$J$17)*'[10]Set Up'!$N$18 + SUM('[10]Set Up'!$O$15:'[10]Set Up'!$O$17)))))</f>
        <v>343.87306508076637</v>
      </c>
      <c r="X14" s="28">
        <f>IF(X9="","",IF(X9&lt;'[10]Set Up'!$J$15,X9*'[10]Set Up'!$N$15,IF(X9&lt;'[10]Set Up'!$J$16,(X9-'[10]Set Up'!$J$15)*'[10]Set Up'!$N$16+'[10]Set Up'!$O$15,IF(X9&lt;'[10]Set Up'!$J$17,(X9-'[10]Set Up'!$J$16)*'[10]Set Up'!$N$17+'[10]Set Up'!$O$15+'[10]Set Up'!$O$16,(X9-'[10]Set Up'!$J$17)*'[10]Set Up'!$N$18 + SUM('[10]Set Up'!$O$15:'[10]Set Up'!$O$17)))))</f>
        <v>340.87184402862346</v>
      </c>
      <c r="Y14" s="28">
        <f>IF(Y9="","",IF(Y9&lt;'[10]Set Up'!$J$15,Y9*'[10]Set Up'!$N$15,IF(Y9&lt;'[10]Set Up'!$J$16,(Y9-'[10]Set Up'!$J$15)*'[10]Set Up'!$N$16+'[10]Set Up'!$O$15,IF(Y9&lt;'[10]Set Up'!$J$17,(Y9-'[10]Set Up'!$J$16)*'[10]Set Up'!$N$17+'[10]Set Up'!$O$15+'[10]Set Up'!$O$16,(Y9-'[10]Set Up'!$J$17)*'[10]Set Up'!$N$18 + SUM('[10]Set Up'!$O$15:'[10]Set Up'!$O$17)))))</f>
        <v>337.8706229764806</v>
      </c>
      <c r="Z14" s="28">
        <f>IF(Z9="","",IF(Z9&lt;'[10]Set Up'!$J$15,Z9*'[10]Set Up'!$N$15,IF(Z9&lt;'[10]Set Up'!$J$16,(Z9-'[10]Set Up'!$J$15)*'[10]Set Up'!$N$16+'[10]Set Up'!$O$15,IF(Z9&lt;'[10]Set Up'!$J$17,(Z9-'[10]Set Up'!$J$16)*'[10]Set Up'!$N$17+'[10]Set Up'!$O$15+'[10]Set Up'!$O$16,(Z9-'[10]Set Up'!$J$17)*'[10]Set Up'!$N$18 + SUM('[10]Set Up'!$O$15:'[10]Set Up'!$O$17)))))</f>
        <v>334.86940192433769</v>
      </c>
      <c r="AA14" s="28">
        <f>IF(AA9="","",IF(AA9&lt;'[10]Set Up'!$J$15,AA9*'[10]Set Up'!$N$15,IF(AA9&lt;'[10]Set Up'!$J$16,(AA9-'[10]Set Up'!$J$15)*'[10]Set Up'!$N$16+'[10]Set Up'!$O$15,IF(AA9&lt;'[10]Set Up'!$J$17,(AA9-'[10]Set Up'!$J$16)*'[10]Set Up'!$N$17+'[10]Set Up'!$O$15+'[10]Set Up'!$O$16,(AA9-'[10]Set Up'!$J$17)*'[10]Set Up'!$N$18 + SUM('[10]Set Up'!$O$15:'[10]Set Up'!$O$17)))))</f>
        <v>331.86818087219478</v>
      </c>
      <c r="AB14" s="28">
        <f>IF(AB9="","",IF(AB9&lt;'[10]Set Up'!$J$15,AB9*'[10]Set Up'!$N$15,IF(AB9&lt;'[10]Set Up'!$J$16,(AB9-'[10]Set Up'!$J$15)*'[10]Set Up'!$N$16+'[10]Set Up'!$O$15,IF(AB9&lt;'[10]Set Up'!$J$17,(AB9-'[10]Set Up'!$J$16)*'[10]Set Up'!$N$17+'[10]Set Up'!$O$15+'[10]Set Up'!$O$16,(AB9-'[10]Set Up'!$J$17)*'[10]Set Up'!$N$18 + SUM('[10]Set Up'!$O$15:'[10]Set Up'!$O$17)))))</f>
        <v>328.86695982005193</v>
      </c>
      <c r="AC14" s="28">
        <f>IF(AC9="","",IF(AC9&lt;'[10]Set Up'!$J$15,AC9*'[10]Set Up'!$N$15,IF(AC9&lt;'[10]Set Up'!$J$16,(AC9-'[10]Set Up'!$J$15)*'[10]Set Up'!$N$16+'[10]Set Up'!$O$15,IF(AC9&lt;'[10]Set Up'!$J$17,(AC9-'[10]Set Up'!$J$16)*'[10]Set Up'!$N$17+'[10]Set Up'!$O$15+'[10]Set Up'!$O$16,(AC9-'[10]Set Up'!$J$17)*'[10]Set Up'!$N$18 + SUM('[10]Set Up'!$O$15:'[10]Set Up'!$O$17)))))</f>
        <v>325.86573876790902</v>
      </c>
      <c r="AD14" s="28">
        <f>IF(AD9="","",IF(AD9&lt;'[10]Set Up'!$J$15,AD9*'[10]Set Up'!$N$15,IF(AD9&lt;'[10]Set Up'!$J$16,(AD9-'[10]Set Up'!$J$15)*'[10]Set Up'!$N$16+'[10]Set Up'!$O$15,IF(AD9&lt;'[10]Set Up'!$J$17,(AD9-'[10]Set Up'!$J$16)*'[10]Set Up'!$N$17+'[10]Set Up'!$O$15+'[10]Set Up'!$O$16,(AD9-'[10]Set Up'!$J$17)*'[10]Set Up'!$N$18 + SUM('[10]Set Up'!$O$15:'[10]Set Up'!$O$17)))))</f>
        <v>322.86451771576611</v>
      </c>
      <c r="AE14" s="28">
        <f>IF(AE9="","",IF(AE9&lt;'[10]Set Up'!$J$15,AE9*'[10]Set Up'!$N$15,IF(AE9&lt;'[10]Set Up'!$J$16,(AE9-'[10]Set Up'!$J$15)*'[10]Set Up'!$N$16+'[10]Set Up'!$O$15,IF(AE9&lt;'[10]Set Up'!$J$17,(AE9-'[10]Set Up'!$J$16)*'[10]Set Up'!$N$17+'[10]Set Up'!$O$15+'[10]Set Up'!$O$16,(AE9-'[10]Set Up'!$J$17)*'[10]Set Up'!$N$18 + SUM('[10]Set Up'!$O$15:'[10]Set Up'!$O$17)))))</f>
        <v>319.86329666362326</v>
      </c>
      <c r="AF14" s="28">
        <f>IF(AF9="","",IF(AF9&lt;'[10]Set Up'!$J$15,AF9*'[10]Set Up'!$N$15,IF(AF9&lt;'[10]Set Up'!$J$16,(AF9-'[10]Set Up'!$J$15)*'[10]Set Up'!$N$16+'[10]Set Up'!$O$15,IF(AF9&lt;'[10]Set Up'!$J$17,(AF9-'[10]Set Up'!$J$16)*'[10]Set Up'!$N$17+'[10]Set Up'!$O$15+'[10]Set Up'!$O$16,(AF9-'[10]Set Up'!$J$17)*'[10]Set Up'!$N$18 + SUM('[10]Set Up'!$O$15:'[10]Set Up'!$O$17)))))</f>
        <v>316.86207561148035</v>
      </c>
      <c r="AG14" s="28">
        <f>IF(AG9="","",IF(AG9&lt;'[10]Set Up'!$J$15,AG9*'[10]Set Up'!$N$15,IF(AG9&lt;'[10]Set Up'!$J$16,(AG9-'[10]Set Up'!$J$15)*'[10]Set Up'!$N$16+'[10]Set Up'!$O$15,IF(AG9&lt;'[10]Set Up'!$J$17,(AG9-'[10]Set Up'!$J$16)*'[10]Set Up'!$N$17+'[10]Set Up'!$O$15+'[10]Set Up'!$O$16,(AG9-'[10]Set Up'!$J$17)*'[10]Set Up'!$N$18 + SUM('[10]Set Up'!$O$15:'[10]Set Up'!$O$17)))))</f>
        <v>313.86085455933744</v>
      </c>
      <c r="AH14" s="28">
        <f>IF(AH9="","",IF(AH9&lt;'[10]Set Up'!$J$15,AH9*'[10]Set Up'!$N$15,IF(AH9&lt;'[10]Set Up'!$J$16,(AH9-'[10]Set Up'!$J$15)*'[10]Set Up'!$N$16+'[10]Set Up'!$O$15,IF(AH9&lt;'[10]Set Up'!$J$17,(AH9-'[10]Set Up'!$J$16)*'[10]Set Up'!$N$17+'[10]Set Up'!$O$15+'[10]Set Up'!$O$16,(AH9-'[10]Set Up'!$J$17)*'[10]Set Up'!$N$18 + SUM('[10]Set Up'!$O$15:'[10]Set Up'!$O$17)))))</f>
        <v>310.85963350719459</v>
      </c>
      <c r="AI14" s="28">
        <f>IF(AI9="","",IF(AI9&lt;'[10]Set Up'!$J$15,AI9*'[10]Set Up'!$N$15,IF(AI9&lt;'[10]Set Up'!$J$16,(AI9-'[10]Set Up'!$J$15)*'[10]Set Up'!$N$16+'[10]Set Up'!$O$15,IF(AI9&lt;'[10]Set Up'!$J$17,(AI9-'[10]Set Up'!$J$16)*'[10]Set Up'!$N$17+'[10]Set Up'!$O$15+'[10]Set Up'!$O$16,(AI9-'[10]Set Up'!$J$17)*'[10]Set Up'!$N$18 + SUM('[10]Set Up'!$O$15:'[10]Set Up'!$O$17)))))</f>
        <v>307.85841245505168</v>
      </c>
      <c r="AJ14" s="28">
        <f>IF(AJ9="","",IF(AJ9&lt;'[10]Set Up'!$J$15,AJ9*'[10]Set Up'!$N$15,IF(AJ9&lt;'[10]Set Up'!$J$16,(AJ9-'[10]Set Up'!$J$15)*'[10]Set Up'!$N$16+'[10]Set Up'!$O$15,IF(AJ9&lt;'[10]Set Up'!$J$17,(AJ9-'[10]Set Up'!$J$16)*'[10]Set Up'!$N$17+'[10]Set Up'!$O$15+'[10]Set Up'!$O$16,(AJ9-'[10]Set Up'!$J$17)*'[10]Set Up'!$N$18 + SUM('[10]Set Up'!$O$15:'[10]Set Up'!$O$17)))))</f>
        <v>304.85719140290877</v>
      </c>
      <c r="AK14" s="28">
        <f>IF(AK9="","",IF(AK9&lt;'[10]Set Up'!$J$15,AK9*'[10]Set Up'!$N$15,IF(AK9&lt;'[10]Set Up'!$J$16,(AK9-'[10]Set Up'!$J$15)*'[10]Set Up'!$N$16+'[10]Set Up'!$O$15,IF(AK9&lt;'[10]Set Up'!$J$17,(AK9-'[10]Set Up'!$J$16)*'[10]Set Up'!$N$17+'[10]Set Up'!$O$15+'[10]Set Up'!$O$16,(AK9-'[10]Set Up'!$J$17)*'[10]Set Up'!$N$18 + SUM('[10]Set Up'!$O$15:'[10]Set Up'!$O$17)))))</f>
        <v>301.85597035076592</v>
      </c>
      <c r="AL14" s="28">
        <f>IF(AL9="","",IF(AL9&lt;'[10]Set Up'!$J$15,AL9*'[10]Set Up'!$N$15,IF(AL9&lt;'[10]Set Up'!$J$16,(AL9-'[10]Set Up'!$J$15)*'[10]Set Up'!$N$16+'[10]Set Up'!$O$15,IF(AL9&lt;'[10]Set Up'!$J$17,(AL9-'[10]Set Up'!$J$16)*'[10]Set Up'!$N$17+'[10]Set Up'!$O$15+'[10]Set Up'!$O$16,(AL9-'[10]Set Up'!$J$17)*'[10]Set Up'!$N$18 + SUM('[10]Set Up'!$O$15:'[10]Set Up'!$O$17)))))</f>
        <v>298.8398178506024</v>
      </c>
      <c r="AM14" s="28">
        <f>IF(AM9="","",IF(AM9&lt;'[10]Set Up'!$J$15,AM9*'[10]Set Up'!$N$15,IF(AM9&lt;'[10]Set Up'!$J$16,(AM9-'[10]Set Up'!$J$15)*'[10]Set Up'!$N$16+'[10]Set Up'!$O$15,IF(AM9&lt;'[10]Set Up'!$J$17,(AM9-'[10]Set Up'!$J$16)*'[10]Set Up'!$N$17+'[10]Set Up'!$O$15+'[10]Set Up'!$O$16,(AM9-'[10]Set Up'!$J$17)*'[10]Set Up'!$N$18 + SUM('[10]Set Up'!$O$15:'[10]Set Up'!$O$17)))))</f>
        <v>295.83859679845949</v>
      </c>
      <c r="AN14" s="28">
        <f>IF(AN9="","",IF(AN9&lt;'[10]Set Up'!$J$15,AN9*'[10]Set Up'!$N$15,IF(AN9&lt;'[10]Set Up'!$J$16,(AN9-'[10]Set Up'!$J$15)*'[10]Set Up'!$N$16+'[10]Set Up'!$O$15,IF(AN9&lt;'[10]Set Up'!$J$17,(AN9-'[10]Set Up'!$J$16)*'[10]Set Up'!$N$17+'[10]Set Up'!$O$15+'[10]Set Up'!$O$16,(AN9-'[10]Set Up'!$J$17)*'[10]Set Up'!$N$18 + SUM('[10]Set Up'!$O$15:'[10]Set Up'!$O$17)))))</f>
        <v>292.83737574631664</v>
      </c>
      <c r="AO14" s="28">
        <f>IF(AO9="","",IF(AO9&lt;'[10]Set Up'!$J$15,AO9*'[10]Set Up'!$N$15,IF(AO9&lt;'[10]Set Up'!$J$16,(AO9-'[10]Set Up'!$J$15)*'[10]Set Up'!$N$16+'[10]Set Up'!$O$15,IF(AO9&lt;'[10]Set Up'!$J$17,(AO9-'[10]Set Up'!$J$16)*'[10]Set Up'!$N$17+'[10]Set Up'!$O$15+'[10]Set Up'!$O$16,(AO9-'[10]Set Up'!$J$17)*'[10]Set Up'!$N$18 + SUM('[10]Set Up'!$O$15:'[10]Set Up'!$O$17)))))</f>
        <v>289.83615469417373</v>
      </c>
      <c r="AP14" s="28">
        <f>IF(AP9="","",IF(AP9&lt;'[10]Set Up'!$J$15,AP9*'[10]Set Up'!$N$15,IF(AP9&lt;'[10]Set Up'!$J$16,(AP9-'[10]Set Up'!$J$15)*'[10]Set Up'!$N$16+'[10]Set Up'!$O$15,IF(AP9&lt;'[10]Set Up'!$J$17,(AP9-'[10]Set Up'!$J$16)*'[10]Set Up'!$N$17+'[10]Set Up'!$O$15+'[10]Set Up'!$O$16,(AP9-'[10]Set Up'!$J$17)*'[10]Set Up'!$N$18 + SUM('[10]Set Up'!$O$15:'[10]Set Up'!$O$17)))))</f>
        <v>286.83493364203082</v>
      </c>
      <c r="AQ14" s="28">
        <f>IF(AQ9="","",IF(AQ9&lt;'[10]Set Up'!$J$15,AQ9*'[10]Set Up'!$N$15,IF(AQ9&lt;'[10]Set Up'!$J$16,(AQ9-'[10]Set Up'!$J$15)*'[10]Set Up'!$N$16+'[10]Set Up'!$O$15,IF(AQ9&lt;'[10]Set Up'!$J$17,(AQ9-'[10]Set Up'!$J$16)*'[10]Set Up'!$N$17+'[10]Set Up'!$O$15+'[10]Set Up'!$O$16,(AQ9-'[10]Set Up'!$J$17)*'[10]Set Up'!$N$18 + SUM('[10]Set Up'!$O$15:'[10]Set Up'!$O$17)))))</f>
        <v>283.83371258988797</v>
      </c>
      <c r="AR14" s="28">
        <f>IF(AR9="","",IF(AR9&lt;'[10]Set Up'!$J$15,AR9*'[10]Set Up'!$N$15,IF(AR9&lt;'[10]Set Up'!$J$16,(AR9-'[10]Set Up'!$J$15)*'[10]Set Up'!$N$16+'[10]Set Up'!$O$15,IF(AR9&lt;'[10]Set Up'!$J$17,(AR9-'[10]Set Up'!$J$16)*'[10]Set Up'!$N$17+'[10]Set Up'!$O$15+'[10]Set Up'!$O$16,(AR9-'[10]Set Up'!$J$17)*'[10]Set Up'!$N$18 + SUM('[10]Set Up'!$O$15:'[10]Set Up'!$O$17)))))</f>
        <v>280.83249153774506</v>
      </c>
      <c r="AS14" s="28">
        <f>IF(AS9="","",IF(AS9&lt;'[10]Set Up'!$J$15,AS9*'[10]Set Up'!$N$15,IF(AS9&lt;'[10]Set Up'!$J$16,(AS9-'[10]Set Up'!$J$15)*'[10]Set Up'!$N$16+'[10]Set Up'!$O$15,IF(AS9&lt;'[10]Set Up'!$J$17,(AS9-'[10]Set Up'!$J$16)*'[10]Set Up'!$N$17+'[10]Set Up'!$O$15+'[10]Set Up'!$O$16,(AS9-'[10]Set Up'!$J$17)*'[10]Set Up'!$N$18 + SUM('[10]Set Up'!$O$15:'[10]Set Up'!$O$17)))))</f>
        <v>276.33812568354102</v>
      </c>
      <c r="AT14" s="28">
        <f>IF(AT9="","",IF(AT9&lt;'[10]Set Up'!$J$15,AT9*'[10]Set Up'!$N$15,IF(AT9&lt;'[10]Set Up'!$J$16,(AT9-'[10]Set Up'!$J$15)*'[10]Set Up'!$N$16+'[10]Set Up'!$O$15,IF(AT9&lt;'[10]Set Up'!$J$17,(AT9-'[10]Set Up'!$J$16)*'[10]Set Up'!$N$17+'[10]Set Up'!$O$15+'[10]Set Up'!$O$16,(AT9-'[10]Set Up'!$J$17)*'[10]Set Up'!$N$18 + SUM('[10]Set Up'!$O$15:'[10]Set Up'!$O$17)))))</f>
        <v>274.83004943345929</v>
      </c>
      <c r="AU14" s="28">
        <f>IF(AU9="","",IF(AU9&lt;'[10]Set Up'!$J$15,AU9*'[10]Set Up'!$N$15,IF(AU9&lt;'[10]Set Up'!$J$16,(AU9-'[10]Set Up'!$J$15)*'[10]Set Up'!$N$16+'[10]Set Up'!$O$15,IF(AU9&lt;'[10]Set Up'!$J$17,(AU9-'[10]Set Up'!$J$16)*'[10]Set Up'!$N$17+'[10]Set Up'!$O$15+'[10]Set Up'!$O$16,(AU9-'[10]Set Up'!$J$17)*'[10]Set Up'!$N$18 + SUM('[10]Set Up'!$O$15:'[10]Set Up'!$O$17)))))</f>
        <v>271.82882838131638</v>
      </c>
      <c r="AV14" s="28">
        <f>IF(AV9="","",IF(AV9&lt;'[10]Set Up'!$J$15,AV9*'[10]Set Up'!$N$15,IF(AV9&lt;'[10]Set Up'!$J$16,(AV9-'[10]Set Up'!$J$15)*'[10]Set Up'!$N$16+'[10]Set Up'!$O$15,IF(AV9&lt;'[10]Set Up'!$J$17,(AV9-'[10]Set Up'!$J$16)*'[10]Set Up'!$N$17+'[10]Set Up'!$O$15+'[10]Set Up'!$O$16,(AV9-'[10]Set Up'!$J$17)*'[10]Set Up'!$N$18 + SUM('[10]Set Up'!$O$15:'[10]Set Up'!$O$17)))))</f>
        <v>268.82760732917347</v>
      </c>
      <c r="AW14" s="28">
        <f>IF(AW9="","",IF(AW9&lt;'[10]Set Up'!$J$15,AW9*'[10]Set Up'!$N$15,IF(AW9&lt;'[10]Set Up'!$J$16,(AW9-'[10]Set Up'!$J$15)*'[10]Set Up'!$N$16+'[10]Set Up'!$O$15,IF(AW9&lt;'[10]Set Up'!$J$17,(AW9-'[10]Set Up'!$J$16)*'[10]Set Up'!$N$17+'[10]Set Up'!$O$15+'[10]Set Up'!$O$16,(AW9-'[10]Set Up'!$J$17)*'[10]Set Up'!$N$18 + SUM('[10]Set Up'!$O$15:'[10]Set Up'!$O$17)))))</f>
        <v>265.82638627703062</v>
      </c>
      <c r="AX14" s="28">
        <f>IF(AX9="","",IF(AX9&lt;'[10]Set Up'!$J$15,AX9*'[10]Set Up'!$N$15,IF(AX9&lt;'[10]Set Up'!$J$16,(AX9-'[10]Set Up'!$J$15)*'[10]Set Up'!$N$16+'[10]Set Up'!$O$15,IF(AX9&lt;'[10]Set Up'!$J$17,(AX9-'[10]Set Up'!$J$16)*'[10]Set Up'!$N$17+'[10]Set Up'!$O$15+'[10]Set Up'!$O$16,(AX9-'[10]Set Up'!$J$17)*'[10]Set Up'!$N$18 + SUM('[10]Set Up'!$O$15:'[10]Set Up'!$O$17)))))</f>
        <v>262.82516522488771</v>
      </c>
      <c r="AY14" s="28">
        <f>IF(AY9="","",IF(AY9&lt;'[10]Set Up'!$J$15,AY9*'[10]Set Up'!$N$15,IF(AY9&lt;'[10]Set Up'!$J$16,(AY9-'[10]Set Up'!$J$15)*'[10]Set Up'!$N$16+'[10]Set Up'!$O$15,IF(AY9&lt;'[10]Set Up'!$J$17,(AY9-'[10]Set Up'!$J$16)*'[10]Set Up'!$N$17+'[10]Set Up'!$O$15+'[10]Set Up'!$O$16,(AY9-'[10]Set Up'!$J$17)*'[10]Set Up'!$N$18 + SUM('[10]Set Up'!$O$15:'[10]Set Up'!$O$17)))))</f>
        <v>0</v>
      </c>
      <c r="AZ14" s="28">
        <f>IF(AZ9="","",IF(AZ9&lt;'[10]Set Up'!$J$15,AZ9*'[10]Set Up'!$N$15,IF(AZ9&lt;'[10]Set Up'!$J$16,(AZ9-'[10]Set Up'!$J$15)*'[10]Set Up'!$N$16+'[10]Set Up'!$O$15,IF(AZ9&lt;'[10]Set Up'!$J$17,(AZ9-'[10]Set Up'!$J$16)*'[10]Set Up'!$N$17+'[10]Set Up'!$O$15+'[10]Set Up'!$O$16,(AZ9-'[10]Set Up'!$J$17)*'[10]Set Up'!$N$18 + SUM('[10]Set Up'!$O$15:'[10]Set Up'!$O$17)))))</f>
        <v>0</v>
      </c>
      <c r="BA14" s="28">
        <f>IF(BA9="","",IF(BA9&lt;'[10]Set Up'!$J$15,BA9*'[10]Set Up'!$N$15,IF(BA9&lt;'[10]Set Up'!$J$16,(BA9-'[10]Set Up'!$J$15)*'[10]Set Up'!$N$16+'[10]Set Up'!$O$15,IF(BA9&lt;'[10]Set Up'!$J$17,(BA9-'[10]Set Up'!$J$16)*'[10]Set Up'!$N$17+'[10]Set Up'!$O$15+'[10]Set Up'!$O$16,(BA9-'[10]Set Up'!$J$17)*'[10]Set Up'!$N$18 + SUM('[10]Set Up'!$O$15:'[10]Set Up'!$O$17)))))</f>
        <v>0</v>
      </c>
      <c r="BB14" s="28">
        <f>IF(BB9="","",IF(BB9&lt;'[10]Set Up'!$J$15,BB9*'[10]Set Up'!$N$15,IF(BB9&lt;'[10]Set Up'!$J$16,(BB9-'[10]Set Up'!$J$15)*'[10]Set Up'!$N$16+'[10]Set Up'!$O$15,IF(BB9&lt;'[10]Set Up'!$J$17,(BB9-'[10]Set Up'!$J$16)*'[10]Set Up'!$N$17+'[10]Set Up'!$O$15+'[10]Set Up'!$O$16,(BB9-'[10]Set Up'!$J$17)*'[10]Set Up'!$N$18 + SUM('[10]Set Up'!$O$15:'[10]Set Up'!$O$17)))))</f>
        <v>0</v>
      </c>
      <c r="BC14" s="28">
        <f>IF(BC9="","",IF(BC9&lt;'[10]Set Up'!$J$15,BC9*'[10]Set Up'!$N$15,IF(BC9&lt;'[10]Set Up'!$J$16,(BC9-'[10]Set Up'!$J$15)*'[10]Set Up'!$N$16+'[10]Set Up'!$O$15,IF(BC9&lt;'[10]Set Up'!$J$17,(BC9-'[10]Set Up'!$J$16)*'[10]Set Up'!$N$17+'[10]Set Up'!$O$15+'[10]Set Up'!$O$16,(BC9-'[10]Set Up'!$J$17)*'[10]Set Up'!$N$18 + SUM('[10]Set Up'!$O$15:'[10]Set Up'!$O$17)))))</f>
        <v>0</v>
      </c>
      <c r="BD14" s="28">
        <f>IF(BD9="","",IF(BD9&lt;'[10]Set Up'!$J$15,BD9*'[10]Set Up'!$N$15,IF(BD9&lt;'[10]Set Up'!$J$16,(BD9-'[10]Set Up'!$J$15)*'[10]Set Up'!$N$16+'[10]Set Up'!$O$15,IF(BD9&lt;'[10]Set Up'!$J$17,(BD9-'[10]Set Up'!$J$16)*'[10]Set Up'!$N$17+'[10]Set Up'!$O$15+'[10]Set Up'!$O$16,(BD9-'[10]Set Up'!$J$17)*'[10]Set Up'!$N$18 + SUM('[10]Set Up'!$O$15:'[10]Set Up'!$O$17)))))</f>
        <v>0</v>
      </c>
      <c r="BE14" s="28">
        <f>IF(BE9="","",IF(BE9&lt;'[10]Set Up'!$J$15,BE9*'[10]Set Up'!$N$15,IF(BE9&lt;'[10]Set Up'!$J$16,(BE9-'[10]Set Up'!$J$15)*'[10]Set Up'!$N$16+'[10]Set Up'!$O$15,IF(BE9&lt;'[10]Set Up'!$J$17,(BE9-'[10]Set Up'!$J$16)*'[10]Set Up'!$N$17+'[10]Set Up'!$O$15+'[10]Set Up'!$O$16,(BE9-'[10]Set Up'!$J$17)*'[10]Set Up'!$N$18 + SUM('[10]Set Up'!$O$15:'[10]Set Up'!$O$17)))))</f>
        <v>0</v>
      </c>
      <c r="BF14" s="28">
        <f>IF(BF9="","",IF(BF9&lt;'[10]Set Up'!$J$15,BF9*'[10]Set Up'!$N$15,IF(BF9&lt;'[10]Set Up'!$J$16,(BF9-'[10]Set Up'!$J$15)*'[10]Set Up'!$N$16+'[10]Set Up'!$O$15,IF(BF9&lt;'[10]Set Up'!$J$17,(BF9-'[10]Set Up'!$J$16)*'[10]Set Up'!$N$17+'[10]Set Up'!$O$15+'[10]Set Up'!$O$16,(BF9-'[10]Set Up'!$J$17)*'[10]Set Up'!$N$18 + SUM('[10]Set Up'!$O$15:'[10]Set Up'!$O$17)))))</f>
        <v>0</v>
      </c>
      <c r="BG14" s="28">
        <f>IF(BG9="","",IF(BG9&lt;'[10]Set Up'!$J$15,BG9*'[10]Set Up'!$N$15,IF(BG9&lt;'[10]Set Up'!$J$16,(BG9-'[10]Set Up'!$J$15)*'[10]Set Up'!$N$16+'[10]Set Up'!$O$15,IF(BG9&lt;'[10]Set Up'!$J$17,(BG9-'[10]Set Up'!$J$16)*'[10]Set Up'!$N$17+'[10]Set Up'!$O$15+'[10]Set Up'!$O$16,(BG9-'[10]Set Up'!$J$17)*'[10]Set Up'!$N$18 + SUM('[10]Set Up'!$O$15:'[10]Set Up'!$O$17)))))</f>
        <v>0</v>
      </c>
      <c r="BH14" s="28">
        <f>IF(BH9="","",IF(BH9&lt;'[10]Set Up'!$J$15,BH9*'[10]Set Up'!$N$15,IF(BH9&lt;'[10]Set Up'!$J$16,(BH9-'[10]Set Up'!$J$15)*'[10]Set Up'!$N$16+'[10]Set Up'!$O$15,IF(BH9&lt;'[10]Set Up'!$J$17,(BH9-'[10]Set Up'!$J$16)*'[10]Set Up'!$N$17+'[10]Set Up'!$O$15+'[10]Set Up'!$O$16,(BH9-'[10]Set Up'!$J$17)*'[10]Set Up'!$N$18 + SUM('[10]Set Up'!$O$15:'[10]Set Up'!$O$17)))))</f>
        <v>0</v>
      </c>
      <c r="BI14" s="28">
        <f>IF(BI9="","",IF(BI9&lt;'[10]Set Up'!$J$15,BI9*'[10]Set Up'!$N$15,IF(BI9&lt;'[10]Set Up'!$J$16,(BI9-'[10]Set Up'!$J$15)*'[10]Set Up'!$N$16+'[10]Set Up'!$O$15,IF(BI9&lt;'[10]Set Up'!$J$17,(BI9-'[10]Set Up'!$J$16)*'[10]Set Up'!$N$17+'[10]Set Up'!$O$15+'[10]Set Up'!$O$16,(BI9-'[10]Set Up'!$J$17)*'[10]Set Up'!$N$18 + SUM('[10]Set Up'!$O$15:'[10]Set Up'!$O$17)))))</f>
        <v>0</v>
      </c>
      <c r="BJ14" s="28">
        <f>IF(BJ9="","",IF(BJ9&lt;'[10]Set Up'!$J$15,BJ9*'[10]Set Up'!$N$15,IF(BJ9&lt;'[10]Set Up'!$J$16,(BJ9-'[10]Set Up'!$J$15)*'[10]Set Up'!$N$16+'[10]Set Up'!$O$15,IF(BJ9&lt;'[10]Set Up'!$J$17,(BJ9-'[10]Set Up'!$J$16)*'[10]Set Up'!$N$17+'[10]Set Up'!$O$15+'[10]Set Up'!$O$16,(BJ9-'[10]Set Up'!$J$17)*'[10]Set Up'!$N$18 + SUM('[10]Set Up'!$O$15:'[10]Set Up'!$O$17)))))</f>
        <v>0</v>
      </c>
      <c r="BK14" s="28">
        <f>IF(BK9="","",IF(BK9&lt;'[10]Set Up'!$J$15,BK9*'[10]Set Up'!$N$15,IF(BK9&lt;'[10]Set Up'!$J$16,(BK9-'[10]Set Up'!$J$15)*'[10]Set Up'!$N$16+'[10]Set Up'!$O$15,IF(BK9&lt;'[10]Set Up'!$J$17,(BK9-'[10]Set Up'!$J$16)*'[10]Set Up'!$N$17+'[10]Set Up'!$O$15+'[10]Set Up'!$O$16,(BK9-'[10]Set Up'!$J$17)*'[10]Set Up'!$N$18 + SUM('[10]Set Up'!$O$15:'[10]Set Up'!$O$17)))))</f>
        <v>0</v>
      </c>
      <c r="BL14" s="28">
        <f>IF(BL9="","",IF(BL9&lt;'[10]Set Up'!$J$15,BL9*'[10]Set Up'!$N$15,IF(BL9&lt;'[10]Set Up'!$J$16,(BL9-'[10]Set Up'!$J$15)*'[10]Set Up'!$N$16+'[10]Set Up'!$O$15,IF(BL9&lt;'[10]Set Up'!$J$17,(BL9-'[10]Set Up'!$J$16)*'[10]Set Up'!$N$17+'[10]Set Up'!$O$15+'[10]Set Up'!$O$16,(BL9-'[10]Set Up'!$J$17)*'[10]Set Up'!$N$18 + SUM('[10]Set Up'!$O$15:'[10]Set Up'!$O$17)))))</f>
        <v>0</v>
      </c>
      <c r="BM14" s="28">
        <f>IF(BM9="","",IF(BM9&lt;'[10]Set Up'!$J$15,BM9*'[10]Set Up'!$N$15,IF(BM9&lt;'[10]Set Up'!$J$16,(BM9-'[10]Set Up'!$J$15)*'[10]Set Up'!$N$16+'[10]Set Up'!$O$15,IF(BM9&lt;'[10]Set Up'!$J$17,(BM9-'[10]Set Up'!$J$16)*'[10]Set Up'!$N$17+'[10]Set Up'!$O$15+'[10]Set Up'!$O$16,(BM9-'[10]Set Up'!$J$17)*'[10]Set Up'!$N$18 + SUM('[10]Set Up'!$O$15:'[10]Set Up'!$O$17)))))</f>
        <v>0</v>
      </c>
      <c r="BN14" s="28">
        <f>IF(BN9="","",IF(BN9&lt;'[10]Set Up'!$J$15,BN9*'[10]Set Up'!$N$15,IF(BN9&lt;'[10]Set Up'!$J$16,(BN9-'[10]Set Up'!$J$15)*'[10]Set Up'!$N$16+'[10]Set Up'!$O$15,IF(BN9&lt;'[10]Set Up'!$J$17,(BN9-'[10]Set Up'!$J$16)*'[10]Set Up'!$N$17+'[10]Set Up'!$O$15+'[10]Set Up'!$O$16,(BN9-'[10]Set Up'!$J$17)*'[10]Set Up'!$N$18 + SUM('[10]Set Up'!$O$15:'[10]Set Up'!$O$17)))))</f>
        <v>0</v>
      </c>
      <c r="BO14" s="28">
        <f>IF(BO9="","",IF(BO9&lt;'[10]Set Up'!$J$15,BO9*'[10]Set Up'!$N$15,IF(BO9&lt;'[10]Set Up'!$J$16,(BO9-'[10]Set Up'!$J$15)*'[10]Set Up'!$N$16+'[10]Set Up'!$O$15,IF(BO9&lt;'[10]Set Up'!$J$17,(BO9-'[10]Set Up'!$J$16)*'[10]Set Up'!$N$17+'[10]Set Up'!$O$15+'[10]Set Up'!$O$16,(BO9-'[10]Set Up'!$J$17)*'[10]Set Up'!$N$18 + SUM('[10]Set Up'!$O$15:'[10]Set Up'!$O$17)))))</f>
        <v>0</v>
      </c>
      <c r="BP14" s="28">
        <f>IF(BP9="","",IF(BP9&lt;'[10]Set Up'!$J$15,BP9*'[10]Set Up'!$N$15,IF(BP9&lt;'[10]Set Up'!$J$16,(BP9-'[10]Set Up'!$J$15)*'[10]Set Up'!$N$16+'[10]Set Up'!$O$15,IF(BP9&lt;'[10]Set Up'!$J$17,(BP9-'[10]Set Up'!$J$16)*'[10]Set Up'!$N$17+'[10]Set Up'!$O$15+'[10]Set Up'!$O$16,(BP9-'[10]Set Up'!$J$17)*'[10]Set Up'!$N$18 + SUM('[10]Set Up'!$O$15:'[10]Set Up'!$O$17)))))</f>
        <v>0</v>
      </c>
      <c r="BQ14" s="28">
        <f>IF(BQ9="","",IF(BQ9&lt;'[10]Set Up'!$J$15,BQ9*'[10]Set Up'!$N$15,IF(BQ9&lt;'[10]Set Up'!$J$16,(BQ9-'[10]Set Up'!$J$15)*'[10]Set Up'!$N$16+'[10]Set Up'!$O$15,IF(BQ9&lt;'[10]Set Up'!$J$17,(BQ9-'[10]Set Up'!$J$16)*'[10]Set Up'!$N$17+'[10]Set Up'!$O$15+'[10]Set Up'!$O$16,(BQ9-'[10]Set Up'!$J$17)*'[10]Set Up'!$N$18 + SUM('[10]Set Up'!$O$15:'[10]Set Up'!$O$17)))))</f>
        <v>0</v>
      </c>
      <c r="BR14" s="28">
        <f>IF(BR9="","",IF(BR9&lt;'[10]Set Up'!$J$15,BR9*'[10]Set Up'!$N$15,IF(BR9&lt;'[10]Set Up'!$J$16,(BR9-'[10]Set Up'!$J$15)*'[10]Set Up'!$N$16+'[10]Set Up'!$O$15,IF(BR9&lt;'[10]Set Up'!$J$17,(BR9-'[10]Set Up'!$J$16)*'[10]Set Up'!$N$17+'[10]Set Up'!$O$15+'[10]Set Up'!$O$16,(BR9-'[10]Set Up'!$J$17)*'[10]Set Up'!$N$18 + SUM('[10]Set Up'!$O$15:'[10]Set Up'!$O$17)))))</f>
        <v>0</v>
      </c>
      <c r="BS14" s="28">
        <f>IF(BS9="","",IF(BS9&lt;'[10]Set Up'!$J$15,BS9*'[10]Set Up'!$N$15,IF(BS9&lt;'[10]Set Up'!$J$16,(BS9-'[10]Set Up'!$J$15)*'[10]Set Up'!$N$16+'[10]Set Up'!$O$15,IF(BS9&lt;'[10]Set Up'!$J$17,(BS9-'[10]Set Up'!$J$16)*'[10]Set Up'!$N$17+'[10]Set Up'!$O$15+'[10]Set Up'!$O$16,(BS9-'[10]Set Up'!$J$17)*'[10]Set Up'!$N$18 + SUM('[10]Set Up'!$O$15:'[10]Set Up'!$O$17)))))</f>
        <v>0</v>
      </c>
      <c r="BT14" s="28">
        <f>IF(BT9="","",IF(BT9&lt;'[10]Set Up'!$J$15,BT9*'[10]Set Up'!$N$15,IF(BT9&lt;'[10]Set Up'!$J$16,(BT9-'[10]Set Up'!$J$15)*'[10]Set Up'!$N$16+'[10]Set Up'!$O$15,IF(BT9&lt;'[10]Set Up'!$J$17,(BT9-'[10]Set Up'!$J$16)*'[10]Set Up'!$N$17+'[10]Set Up'!$O$15+'[10]Set Up'!$O$16,(BT9-'[10]Set Up'!$J$17)*'[10]Set Up'!$N$18 + SUM('[10]Set Up'!$O$15:'[10]Set Up'!$O$17)))))</f>
        <v>0</v>
      </c>
      <c r="BU14" s="28">
        <f>IF(BU9="","",IF(BU9&lt;'[10]Set Up'!$J$15,BU9*'[10]Set Up'!$N$15,IF(BU9&lt;'[10]Set Up'!$J$16,(BU9-'[10]Set Up'!$J$15)*'[10]Set Up'!$N$16+'[10]Set Up'!$O$15,IF(BU9&lt;'[10]Set Up'!$J$17,(BU9-'[10]Set Up'!$J$16)*'[10]Set Up'!$N$17+'[10]Set Up'!$O$15+'[10]Set Up'!$O$16,(BU9-'[10]Set Up'!$J$17)*'[10]Set Up'!$N$18 + SUM('[10]Set Up'!$O$15:'[10]Set Up'!$O$17)))))</f>
        <v>0</v>
      </c>
      <c r="BV14" s="28">
        <f>IF(BV9="","",IF(BV9&lt;'[10]Set Up'!$J$15,BV9*'[10]Set Up'!$N$15,IF(BV9&lt;'[10]Set Up'!$J$16,(BV9-'[10]Set Up'!$J$15)*'[10]Set Up'!$N$16+'[10]Set Up'!$O$15,IF(BV9&lt;'[10]Set Up'!$J$17,(BV9-'[10]Set Up'!$J$16)*'[10]Set Up'!$N$17+'[10]Set Up'!$O$15+'[10]Set Up'!$O$16,(BV9-'[10]Set Up'!$J$17)*'[10]Set Up'!$N$18 + SUM('[10]Set Up'!$O$15:'[10]Set Up'!$O$17)))))</f>
        <v>0</v>
      </c>
      <c r="BW14" s="28">
        <f>IF(BW9="","",IF(BW9&lt;'[10]Set Up'!$J$15,BW9*'[10]Set Up'!$N$15,IF(BW9&lt;'[10]Set Up'!$J$16,(BW9-'[10]Set Up'!$J$15)*'[10]Set Up'!$N$16+'[10]Set Up'!$O$15,IF(BW9&lt;'[10]Set Up'!$J$17,(BW9-'[10]Set Up'!$J$16)*'[10]Set Up'!$N$17+'[10]Set Up'!$O$15+'[10]Set Up'!$O$16,(BW9-'[10]Set Up'!$J$17)*'[10]Set Up'!$N$18 + SUM('[10]Set Up'!$O$15:'[10]Set Up'!$O$17)))))</f>
        <v>0</v>
      </c>
      <c r="BX14" s="28">
        <f>IF(BX9="","",IF(BX9&lt;'[10]Set Up'!$J$15,BX9*'[10]Set Up'!$N$15,IF(BX9&lt;'[10]Set Up'!$J$16,(BX9-'[10]Set Up'!$J$15)*'[10]Set Up'!$N$16+'[10]Set Up'!$O$15,IF(BX9&lt;'[10]Set Up'!$J$17,(BX9-'[10]Set Up'!$J$16)*'[10]Set Up'!$N$17+'[10]Set Up'!$O$15+'[10]Set Up'!$O$16,(BX9-'[10]Set Up'!$J$17)*'[10]Set Up'!$N$18 + SUM('[10]Set Up'!$O$15:'[10]Set Up'!$O$17)))))</f>
        <v>0</v>
      </c>
      <c r="BY14" s="28">
        <f>IF(BY9="","",IF(BY9&lt;'[10]Set Up'!$J$15,BY9*'[10]Set Up'!$N$15,IF(BY9&lt;'[10]Set Up'!$J$16,(BY9-'[10]Set Up'!$J$15)*'[10]Set Up'!$N$16+'[10]Set Up'!$O$15,IF(BY9&lt;'[10]Set Up'!$J$17,(BY9-'[10]Set Up'!$J$16)*'[10]Set Up'!$N$17+'[10]Set Up'!$O$15+'[10]Set Up'!$O$16,(BY9-'[10]Set Up'!$J$17)*'[10]Set Up'!$N$18 + SUM('[10]Set Up'!$O$15:'[10]Set Up'!$O$17)))))</f>
        <v>0</v>
      </c>
      <c r="BZ14" s="8"/>
    </row>
    <row r="15" spans="1:78" ht="15" thickBot="1" x14ac:dyDescent="0.4">
      <c r="A15" s="29" t="s">
        <v>22</v>
      </c>
      <c r="B15" s="197"/>
      <c r="C15" s="30">
        <f>IF(C11="","",IF(C11&lt;'[10]Set Up'!$J$15,C11*'[10]Set Up'!$N$15,IF(C11&lt;'[10]Set Up'!$J$16,(C11-'[10]Set Up'!$J$15)*'[10]Set Up'!$N$16+'[10]Set Up'!$O$15,IF(C11&lt;'[10]Set Up'!$J$17,(C11-'[10]Set Up'!$J$16)*'[10]Set Up'!$N$17+'[10]Set Up'!$O$15+'[10]Set Up'!$O$16,(C11-'[10]Set Up'!$J$17)*'[10]Set Up'!$N$18 + SUM('[10]Set Up'!$O$15:'[10]Set Up'!$O$17)))))</f>
        <v>404.19611508403636</v>
      </c>
      <c r="D15" s="30">
        <f>IF(D11="","",IF(D11&lt;'[10]Set Up'!$J$15,D11*'[10]Set Up'!$N$15,IF(D11&lt;'[10]Set Up'!$J$16,(D11-'[10]Set Up'!$J$15)*'[10]Set Up'!$N$16+'[10]Set Up'!$O$15,IF(D11&lt;'[10]Set Up'!$J$17,(D11-'[10]Set Up'!$J$16)*'[10]Set Up'!$N$17+'[10]Set Up'!$O$15+'[10]Set Up'!$O$16,(D11-'[10]Set Up'!$J$17)*'[10]Set Up'!$N$18 + SUM('[10]Set Up'!$O$15:'[10]Set Up'!$O$17)))))</f>
        <v>401.19489403189351</v>
      </c>
      <c r="E15" s="30">
        <f>IF(E11="","",IF(E11&lt;'[10]Set Up'!$J$15,E11*'[10]Set Up'!$N$15,IF(E11&lt;'[10]Set Up'!$J$16,(E11-'[10]Set Up'!$J$15)*'[10]Set Up'!$N$16+'[10]Set Up'!$O$15,IF(E11&lt;'[10]Set Up'!$J$17,(E11-'[10]Set Up'!$J$16)*'[10]Set Up'!$N$17+'[10]Set Up'!$O$15+'[10]Set Up'!$O$16,(E11-'[10]Set Up'!$J$17)*'[10]Set Up'!$N$18 + SUM('[10]Set Up'!$O$15:'[10]Set Up'!$O$17)))))</f>
        <v>398.19367297975066</v>
      </c>
      <c r="F15" s="30">
        <f>IF(F11="","",IF(F11&lt;'[10]Set Up'!$J$15,F11*'[10]Set Up'!$N$15,IF(F11&lt;'[10]Set Up'!$J$16,(F11-'[10]Set Up'!$J$15)*'[10]Set Up'!$N$16+'[10]Set Up'!$O$15,IF(F11&lt;'[10]Set Up'!$J$17,(F11-'[10]Set Up'!$J$16)*'[10]Set Up'!$N$17+'[10]Set Up'!$O$15+'[10]Set Up'!$O$16,(F11-'[10]Set Up'!$J$17)*'[10]Set Up'!$N$18 + SUM('[10]Set Up'!$O$15:'[10]Set Up'!$O$17)))))</f>
        <v>395.19245192760775</v>
      </c>
      <c r="G15" s="30">
        <f>IF(G11="","",IF(G11&lt;'[10]Set Up'!$J$15,G11*'[10]Set Up'!$N$15,IF(G11&lt;'[10]Set Up'!$J$16,(G11-'[10]Set Up'!$J$15)*'[10]Set Up'!$N$16+'[10]Set Up'!$O$15,IF(G11&lt;'[10]Set Up'!$J$17,(G11-'[10]Set Up'!$J$16)*'[10]Set Up'!$N$17+'[10]Set Up'!$O$15+'[10]Set Up'!$O$16,(G11-'[10]Set Up'!$J$17)*'[10]Set Up'!$N$18 + SUM('[10]Set Up'!$O$15:'[10]Set Up'!$O$17)))))</f>
        <v>392.19123087546484</v>
      </c>
      <c r="H15" s="30">
        <f>IF(H11="","",IF(H11&lt;'[10]Set Up'!$J$15,H11*'[10]Set Up'!$N$15,IF(H11&lt;'[10]Set Up'!$J$16,(H11-'[10]Set Up'!$J$15)*'[10]Set Up'!$N$16+'[10]Set Up'!$O$15,IF(H11&lt;'[10]Set Up'!$J$17,(H11-'[10]Set Up'!$J$16)*'[10]Set Up'!$N$17+'[10]Set Up'!$O$15+'[10]Set Up'!$O$16,(H11-'[10]Set Up'!$J$17)*'[10]Set Up'!$N$18 + SUM('[10]Set Up'!$O$15:'[10]Set Up'!$O$17)))))</f>
        <v>389.19000982332193</v>
      </c>
      <c r="I15" s="30">
        <f>IF(I11="","",IF(I11&lt;'[10]Set Up'!$J$15,I11*'[10]Set Up'!$N$15,IF(I11&lt;'[10]Set Up'!$J$16,(I11-'[10]Set Up'!$J$15)*'[10]Set Up'!$N$16+'[10]Set Up'!$O$15,IF(I11&lt;'[10]Set Up'!$J$17,(I11-'[10]Set Up'!$J$16)*'[10]Set Up'!$N$17+'[10]Set Up'!$O$15+'[10]Set Up'!$O$16,(I11-'[10]Set Up'!$J$17)*'[10]Set Up'!$N$18 + SUM('[10]Set Up'!$O$15:'[10]Set Up'!$O$17)))))</f>
        <v>386.18878877117902</v>
      </c>
      <c r="J15" s="30">
        <f>IF(J11="","",IF(J11&lt;'[10]Set Up'!$J$15,J11*'[10]Set Up'!$N$15,IF(J11&lt;'[10]Set Up'!$J$16,(J11-'[10]Set Up'!$J$15)*'[10]Set Up'!$N$16+'[10]Set Up'!$O$15,IF(J11&lt;'[10]Set Up'!$J$17,(J11-'[10]Set Up'!$J$16)*'[10]Set Up'!$N$17+'[10]Set Up'!$O$15+'[10]Set Up'!$O$16,(J11-'[10]Set Up'!$J$17)*'[10]Set Up'!$N$18 + SUM('[10]Set Up'!$O$15:'[10]Set Up'!$O$17)))))</f>
        <v>383.18756771903617</v>
      </c>
      <c r="K15" s="30">
        <f>IF(K11="","",IF(K11&lt;'[10]Set Up'!$J$15,K11*'[10]Set Up'!$N$15,IF(K11&lt;'[10]Set Up'!$J$16,(K11-'[10]Set Up'!$J$15)*'[10]Set Up'!$N$16+'[10]Set Up'!$O$15,IF(K11&lt;'[10]Set Up'!$J$17,(K11-'[10]Set Up'!$J$16)*'[10]Set Up'!$N$17+'[10]Set Up'!$O$15+'[10]Set Up'!$O$16,(K11-'[10]Set Up'!$J$17)*'[10]Set Up'!$N$18 + SUM('[10]Set Up'!$O$15:'[10]Set Up'!$O$17)))))</f>
        <v>380.18634666689331</v>
      </c>
      <c r="L15" s="30">
        <f>IF(L11="","",IF(L11&lt;'[10]Set Up'!$J$15,L11*'[10]Set Up'!$N$15,IF(L11&lt;'[10]Set Up'!$J$16,(L11-'[10]Set Up'!$J$15)*'[10]Set Up'!$N$16+'[10]Set Up'!$O$15,IF(L11&lt;'[10]Set Up'!$J$17,(L11-'[10]Set Up'!$J$16)*'[10]Set Up'!$N$17+'[10]Set Up'!$O$15+'[10]Set Up'!$O$16,(L11-'[10]Set Up'!$J$17)*'[10]Set Up'!$N$18 + SUM('[10]Set Up'!$O$15:'[10]Set Up'!$O$17)))))</f>
        <v>377.17019416672974</v>
      </c>
      <c r="M15" s="30">
        <f>IF(M11="","",IF(M11&lt;'[10]Set Up'!$J$15,M11*'[10]Set Up'!$N$15,IF(M11&lt;'[10]Set Up'!$J$16,(M11-'[10]Set Up'!$J$15)*'[10]Set Up'!$N$16+'[10]Set Up'!$O$15,IF(M11&lt;'[10]Set Up'!$J$17,(M11-'[10]Set Up'!$J$16)*'[10]Set Up'!$N$17+'[10]Set Up'!$O$15+'[10]Set Up'!$O$16,(M11-'[10]Set Up'!$J$17)*'[10]Set Up'!$N$18 + SUM('[10]Set Up'!$O$15:'[10]Set Up'!$O$17)))))</f>
        <v>374.16897311458689</v>
      </c>
      <c r="N15" s="30">
        <f>IF(N11="","",IF(N11&lt;'[10]Set Up'!$J$15,N11*'[10]Set Up'!$N$15,IF(N11&lt;'[10]Set Up'!$J$16,(N11-'[10]Set Up'!$J$15)*'[10]Set Up'!$N$16+'[10]Set Up'!$O$15,IF(N11&lt;'[10]Set Up'!$J$17,(N11-'[10]Set Up'!$J$16)*'[10]Set Up'!$N$17+'[10]Set Up'!$O$15+'[10]Set Up'!$O$16,(N11-'[10]Set Up'!$J$17)*'[10]Set Up'!$N$18 + SUM('[10]Set Up'!$O$15:'[10]Set Up'!$O$17)))))</f>
        <v>371.16775206244398</v>
      </c>
      <c r="O15" s="30">
        <f>IF(O11="","",IF(O11&lt;'[10]Set Up'!$J$15,O11*'[10]Set Up'!$N$15,IF(O11&lt;'[10]Set Up'!$J$16,(O11-'[10]Set Up'!$J$15)*'[10]Set Up'!$N$16+'[10]Set Up'!$O$15,IF(O11&lt;'[10]Set Up'!$J$17,(O11-'[10]Set Up'!$J$16)*'[10]Set Up'!$N$17+'[10]Set Up'!$O$15+'[10]Set Up'!$O$16,(O11-'[10]Set Up'!$J$17)*'[10]Set Up'!$N$18 + SUM('[10]Set Up'!$O$15:'[10]Set Up'!$O$17)))))</f>
        <v>368.16653101030113</v>
      </c>
      <c r="P15" s="30">
        <f>IF(P11="","",IF(P11&lt;'[10]Set Up'!$J$15,P11*'[10]Set Up'!$N$15,IF(P11&lt;'[10]Set Up'!$J$16,(P11-'[10]Set Up'!$J$15)*'[10]Set Up'!$N$16+'[10]Set Up'!$O$15,IF(P11&lt;'[10]Set Up'!$J$17,(P11-'[10]Set Up'!$J$16)*'[10]Set Up'!$N$17+'[10]Set Up'!$O$15+'[10]Set Up'!$O$16,(P11-'[10]Set Up'!$J$17)*'[10]Set Up'!$N$18 + SUM('[10]Set Up'!$O$15:'[10]Set Up'!$O$17)))))</f>
        <v>365.16530995815822</v>
      </c>
      <c r="Q15" s="30">
        <f>IF(Q11="","",IF(Q11&lt;'[10]Set Up'!$J$15,Q11*'[10]Set Up'!$N$15,IF(Q11&lt;'[10]Set Up'!$J$16,(Q11-'[10]Set Up'!$J$15)*'[10]Set Up'!$N$16+'[10]Set Up'!$O$15,IF(Q11&lt;'[10]Set Up'!$J$17,(Q11-'[10]Set Up'!$J$16)*'[10]Set Up'!$N$17+'[10]Set Up'!$O$15+'[10]Set Up'!$O$16,(Q11-'[10]Set Up'!$J$17)*'[10]Set Up'!$N$18 + SUM('[10]Set Up'!$O$15:'[10]Set Up'!$O$17)))))</f>
        <v>362.16408890601531</v>
      </c>
      <c r="R15" s="30">
        <f>IF(R11="","",IF(R11&lt;'[10]Set Up'!$J$15,R11*'[10]Set Up'!$N$15,IF(R11&lt;'[10]Set Up'!$J$16,(R11-'[10]Set Up'!$J$15)*'[10]Set Up'!$N$16+'[10]Set Up'!$O$15,IF(R11&lt;'[10]Set Up'!$J$17,(R11-'[10]Set Up'!$J$16)*'[10]Set Up'!$N$17+'[10]Set Up'!$O$15+'[10]Set Up'!$O$16,(R11-'[10]Set Up'!$J$17)*'[10]Set Up'!$N$18 + SUM('[10]Set Up'!$O$15:'[10]Set Up'!$O$17)))))</f>
        <v>359.1628678538724</v>
      </c>
      <c r="S15" s="30">
        <f>IF(S11="","",IF(S11&lt;'[10]Set Up'!$J$15,S11*'[10]Set Up'!$N$15,IF(S11&lt;'[10]Set Up'!$J$16,(S11-'[10]Set Up'!$J$15)*'[10]Set Up'!$N$16+'[10]Set Up'!$O$15,IF(S11&lt;'[10]Set Up'!$J$17,(S11-'[10]Set Up'!$J$16)*'[10]Set Up'!$N$17+'[10]Set Up'!$O$15+'[10]Set Up'!$O$16,(S11-'[10]Set Up'!$J$17)*'[10]Set Up'!$N$18 + SUM('[10]Set Up'!$O$15:'[10]Set Up'!$O$17)))))</f>
        <v>356.16164680172955</v>
      </c>
      <c r="T15" s="30">
        <f>IF(T11="","",IF(T11&lt;'[10]Set Up'!$J$15,T11*'[10]Set Up'!$N$15,IF(T11&lt;'[10]Set Up'!$J$16,(T11-'[10]Set Up'!$J$15)*'[10]Set Up'!$N$16+'[10]Set Up'!$O$15,IF(T11&lt;'[10]Set Up'!$J$17,(T11-'[10]Set Up'!$J$16)*'[10]Set Up'!$N$17+'[10]Set Up'!$O$15+'[10]Set Up'!$O$16,(T11-'[10]Set Up'!$J$17)*'[10]Set Up'!$N$18 + SUM('[10]Set Up'!$O$15:'[10]Set Up'!$O$17)))))</f>
        <v>353.16042574958664</v>
      </c>
      <c r="U15" s="30">
        <f>IF(U11="","",IF(U11&lt;'[10]Set Up'!$J$15,U11*'[10]Set Up'!$N$15,IF(U11&lt;'[10]Set Up'!$J$16,(U11-'[10]Set Up'!$J$15)*'[10]Set Up'!$N$16+'[10]Set Up'!$O$15,IF(U11&lt;'[10]Set Up'!$J$17,(U11-'[10]Set Up'!$J$16)*'[10]Set Up'!$N$17+'[10]Set Up'!$O$15+'[10]Set Up'!$O$16,(U11-'[10]Set Up'!$J$17)*'[10]Set Up'!$N$18 + SUM('[10]Set Up'!$O$15:'[10]Set Up'!$O$17)))))</f>
        <v>350.15920469744378</v>
      </c>
      <c r="V15" s="30">
        <f>IF(V11="","",IF(V11&lt;'[10]Set Up'!$J$15,V11*'[10]Set Up'!$N$15,IF(V11&lt;'[10]Set Up'!$J$16,(V11-'[10]Set Up'!$J$15)*'[10]Set Up'!$N$16+'[10]Set Up'!$O$15,IF(V11&lt;'[10]Set Up'!$J$17,(V11-'[10]Set Up'!$J$16)*'[10]Set Up'!$N$17+'[10]Set Up'!$O$15+'[10]Set Up'!$O$16,(V11-'[10]Set Up'!$J$17)*'[10]Set Up'!$N$18 + SUM('[10]Set Up'!$O$15:'[10]Set Up'!$O$17)))))</f>
        <v>347.15798364530087</v>
      </c>
      <c r="W15" s="30">
        <f>IF(W11="","",IF(W11&lt;'[10]Set Up'!$J$15,W11*'[10]Set Up'!$N$15,IF(W11&lt;'[10]Set Up'!$J$16,(W11-'[10]Set Up'!$J$15)*'[10]Set Up'!$N$16+'[10]Set Up'!$O$15,IF(W11&lt;'[10]Set Up'!$J$17,(W11-'[10]Set Up'!$J$16)*'[10]Set Up'!$N$17+'[10]Set Up'!$O$15+'[10]Set Up'!$O$16,(W11-'[10]Set Up'!$J$17)*'[10]Set Up'!$N$18 + SUM('[10]Set Up'!$O$15:'[10]Set Up'!$O$17)))))</f>
        <v>344.15676259315796</v>
      </c>
      <c r="X15" s="30">
        <f>IF(X11="","",IF(X11&lt;'[10]Set Up'!$J$15,X11*'[10]Set Up'!$N$15,IF(X11&lt;'[10]Set Up'!$J$16,(X11-'[10]Set Up'!$J$15)*'[10]Set Up'!$N$16+'[10]Set Up'!$O$15,IF(X11&lt;'[10]Set Up'!$J$17,(X11-'[10]Set Up'!$J$16)*'[10]Set Up'!$N$17+'[10]Set Up'!$O$15+'[10]Set Up'!$O$16,(X11-'[10]Set Up'!$J$17)*'[10]Set Up'!$N$18 + SUM('[10]Set Up'!$O$15:'[10]Set Up'!$O$17)))))</f>
        <v>341.15554154101505</v>
      </c>
      <c r="Y15" s="30">
        <f>IF(Y11="","",IF(Y11&lt;'[10]Set Up'!$J$15,Y11*'[10]Set Up'!$N$15,IF(Y11&lt;'[10]Set Up'!$J$16,(Y11-'[10]Set Up'!$J$15)*'[10]Set Up'!$N$16+'[10]Set Up'!$O$15,IF(Y11&lt;'[10]Set Up'!$J$17,(Y11-'[10]Set Up'!$J$16)*'[10]Set Up'!$N$17+'[10]Set Up'!$O$15+'[10]Set Up'!$O$16,(Y11-'[10]Set Up'!$J$17)*'[10]Set Up'!$N$18 + SUM('[10]Set Up'!$O$15:'[10]Set Up'!$O$17)))))</f>
        <v>338.1543204888722</v>
      </c>
      <c r="Z15" s="30">
        <f>IF(Z11="","",IF(Z11&lt;'[10]Set Up'!$J$15,Z11*'[10]Set Up'!$N$15,IF(Z11&lt;'[10]Set Up'!$J$16,(Z11-'[10]Set Up'!$J$15)*'[10]Set Up'!$N$16+'[10]Set Up'!$O$15,IF(Z11&lt;'[10]Set Up'!$J$17,(Z11-'[10]Set Up'!$J$16)*'[10]Set Up'!$N$17+'[10]Set Up'!$O$15+'[10]Set Up'!$O$16,(Z11-'[10]Set Up'!$J$17)*'[10]Set Up'!$N$18 + SUM('[10]Set Up'!$O$15:'[10]Set Up'!$O$17)))))</f>
        <v>335.15309943672929</v>
      </c>
      <c r="AA15" s="30">
        <f>IF(AA11="","",IF(AA11&lt;'[10]Set Up'!$J$15,AA11*'[10]Set Up'!$N$15,IF(AA11&lt;'[10]Set Up'!$J$16,(AA11-'[10]Set Up'!$J$15)*'[10]Set Up'!$N$16+'[10]Set Up'!$O$15,IF(AA11&lt;'[10]Set Up'!$J$17,(AA11-'[10]Set Up'!$J$16)*'[10]Set Up'!$N$17+'[10]Set Up'!$O$15+'[10]Set Up'!$O$16,(AA11-'[10]Set Up'!$J$17)*'[10]Set Up'!$N$18 + SUM('[10]Set Up'!$O$15:'[10]Set Up'!$O$17)))))</f>
        <v>332.15187838458644</v>
      </c>
      <c r="AB15" s="30">
        <f>IF(AB11="","",IF(AB11&lt;'[10]Set Up'!$J$15,AB11*'[10]Set Up'!$N$15,IF(AB11&lt;'[10]Set Up'!$J$16,(AB11-'[10]Set Up'!$J$15)*'[10]Set Up'!$N$16+'[10]Set Up'!$O$15,IF(AB11&lt;'[10]Set Up'!$J$17,(AB11-'[10]Set Up'!$J$16)*'[10]Set Up'!$N$17+'[10]Set Up'!$O$15+'[10]Set Up'!$O$16,(AB11-'[10]Set Up'!$J$17)*'[10]Set Up'!$N$18 + SUM('[10]Set Up'!$O$15:'[10]Set Up'!$O$17)))))</f>
        <v>329.15065733244353</v>
      </c>
      <c r="AC15" s="30">
        <f>IF(AC11="","",IF(AC11&lt;'[10]Set Up'!$J$15,AC11*'[10]Set Up'!$N$15,IF(AC11&lt;'[10]Set Up'!$J$16,(AC11-'[10]Set Up'!$J$15)*'[10]Set Up'!$N$16+'[10]Set Up'!$O$15,IF(AC11&lt;'[10]Set Up'!$J$17,(AC11-'[10]Set Up'!$J$16)*'[10]Set Up'!$N$17+'[10]Set Up'!$O$15+'[10]Set Up'!$O$16,(AC11-'[10]Set Up'!$J$17)*'[10]Set Up'!$N$18 + SUM('[10]Set Up'!$O$15:'[10]Set Up'!$O$17)))))</f>
        <v>326.14943628030062</v>
      </c>
      <c r="AD15" s="30">
        <f>IF(AD11="","",IF(AD11&lt;'[10]Set Up'!$J$15,AD11*'[10]Set Up'!$N$15,IF(AD11&lt;'[10]Set Up'!$J$16,(AD11-'[10]Set Up'!$J$15)*'[10]Set Up'!$N$16+'[10]Set Up'!$O$15,IF(AD11&lt;'[10]Set Up'!$J$17,(AD11-'[10]Set Up'!$J$16)*'[10]Set Up'!$N$17+'[10]Set Up'!$O$15+'[10]Set Up'!$O$16,(AD11-'[10]Set Up'!$J$17)*'[10]Set Up'!$N$18 + SUM('[10]Set Up'!$O$15:'[10]Set Up'!$O$17)))))</f>
        <v>323.14821522815777</v>
      </c>
      <c r="AE15" s="30">
        <f>IF(AE11="","",IF(AE11&lt;'[10]Set Up'!$J$15,AE11*'[10]Set Up'!$N$15,IF(AE11&lt;'[10]Set Up'!$J$16,(AE11-'[10]Set Up'!$J$15)*'[10]Set Up'!$N$16+'[10]Set Up'!$O$15,IF(AE11&lt;'[10]Set Up'!$J$17,(AE11-'[10]Set Up'!$J$16)*'[10]Set Up'!$N$17+'[10]Set Up'!$O$15+'[10]Set Up'!$O$16,(AE11-'[10]Set Up'!$J$17)*'[10]Set Up'!$N$18 + SUM('[10]Set Up'!$O$15:'[10]Set Up'!$O$17)))))</f>
        <v>320.14699417601486</v>
      </c>
      <c r="AF15" s="30">
        <f>IF(AF11="","",IF(AF11&lt;'[10]Set Up'!$J$15,AF11*'[10]Set Up'!$N$15,IF(AF11&lt;'[10]Set Up'!$J$16,(AF11-'[10]Set Up'!$J$15)*'[10]Set Up'!$N$16+'[10]Set Up'!$O$15,IF(AF11&lt;'[10]Set Up'!$J$17,(AF11-'[10]Set Up'!$J$16)*'[10]Set Up'!$N$17+'[10]Set Up'!$O$15+'[10]Set Up'!$O$16,(AF11-'[10]Set Up'!$J$17)*'[10]Set Up'!$N$18 + SUM('[10]Set Up'!$O$15:'[10]Set Up'!$O$17)))))</f>
        <v>317.14577312387195</v>
      </c>
      <c r="AG15" s="30">
        <f>IF(AG11="","",IF(AG11&lt;'[10]Set Up'!$J$15,AG11*'[10]Set Up'!$N$15,IF(AG11&lt;'[10]Set Up'!$J$16,(AG11-'[10]Set Up'!$J$15)*'[10]Set Up'!$N$16+'[10]Set Up'!$O$15,IF(AG11&lt;'[10]Set Up'!$J$17,(AG11-'[10]Set Up'!$J$16)*'[10]Set Up'!$N$17+'[10]Set Up'!$O$15+'[10]Set Up'!$O$16,(AG11-'[10]Set Up'!$J$17)*'[10]Set Up'!$N$18 + SUM('[10]Set Up'!$O$15:'[10]Set Up'!$O$17)))))</f>
        <v>314.14455207172909</v>
      </c>
      <c r="AH15" s="30">
        <f>IF(AH11="","",IF(AH11&lt;'[10]Set Up'!$J$15,AH11*'[10]Set Up'!$N$15,IF(AH11&lt;'[10]Set Up'!$J$16,(AH11-'[10]Set Up'!$J$15)*'[10]Set Up'!$N$16+'[10]Set Up'!$O$15,IF(AH11&lt;'[10]Set Up'!$J$17,(AH11-'[10]Set Up'!$J$16)*'[10]Set Up'!$N$17+'[10]Set Up'!$O$15+'[10]Set Up'!$O$16,(AH11-'[10]Set Up'!$J$17)*'[10]Set Up'!$N$18 + SUM('[10]Set Up'!$O$15:'[10]Set Up'!$O$17)))))</f>
        <v>311.14333101958618</v>
      </c>
      <c r="AI15" s="30">
        <f>IF(AI11="","",IF(AI11&lt;'[10]Set Up'!$J$15,AI11*'[10]Set Up'!$N$15,IF(AI11&lt;'[10]Set Up'!$J$16,(AI11-'[10]Set Up'!$J$15)*'[10]Set Up'!$N$16+'[10]Set Up'!$O$15,IF(AI11&lt;'[10]Set Up'!$J$17,(AI11-'[10]Set Up'!$J$16)*'[10]Set Up'!$N$17+'[10]Set Up'!$O$15+'[10]Set Up'!$O$16,(AI11-'[10]Set Up'!$J$17)*'[10]Set Up'!$N$18 + SUM('[10]Set Up'!$O$15:'[10]Set Up'!$O$17)))))</f>
        <v>308.14210996744328</v>
      </c>
      <c r="AJ15" s="30">
        <f>IF(AJ11="","",IF(AJ11&lt;'[10]Set Up'!$J$15,AJ11*'[10]Set Up'!$N$15,IF(AJ11&lt;'[10]Set Up'!$J$16,(AJ11-'[10]Set Up'!$J$15)*'[10]Set Up'!$N$16+'[10]Set Up'!$O$15,IF(AJ11&lt;'[10]Set Up'!$J$17,(AJ11-'[10]Set Up'!$J$16)*'[10]Set Up'!$N$17+'[10]Set Up'!$O$15+'[10]Set Up'!$O$16,(AJ11-'[10]Set Up'!$J$17)*'[10]Set Up'!$N$18 + SUM('[10]Set Up'!$O$15:'[10]Set Up'!$O$17)))))</f>
        <v>305.14088891530042</v>
      </c>
      <c r="AK15" s="30">
        <f>IF(AK11="","",IF(AK11&lt;'[10]Set Up'!$J$15,AK11*'[10]Set Up'!$N$15,IF(AK11&lt;'[10]Set Up'!$J$16,(AK11-'[10]Set Up'!$J$15)*'[10]Set Up'!$N$16+'[10]Set Up'!$O$15,IF(AK11&lt;'[10]Set Up'!$J$17,(AK11-'[10]Set Up'!$J$16)*'[10]Set Up'!$N$17+'[10]Set Up'!$O$15+'[10]Set Up'!$O$16,(AK11-'[10]Set Up'!$J$17)*'[10]Set Up'!$N$18 + SUM('[10]Set Up'!$O$15:'[10]Set Up'!$O$17)))))</f>
        <v>302.13966786315751</v>
      </c>
      <c r="AL15" s="30">
        <f>IF(AL11="","",IF(AL11&lt;'[10]Set Up'!$J$15,AL11*'[10]Set Up'!$N$15,IF(AL11&lt;'[10]Set Up'!$J$16,(AL11-'[10]Set Up'!$J$15)*'[10]Set Up'!$N$16+'[10]Set Up'!$O$15,IF(AL11&lt;'[10]Set Up'!$J$17,(AL11-'[10]Set Up'!$J$16)*'[10]Set Up'!$N$17+'[10]Set Up'!$O$15+'[10]Set Up'!$O$16,(AL11-'[10]Set Up'!$J$17)*'[10]Set Up'!$N$18 + SUM('[10]Set Up'!$O$15:'[10]Set Up'!$O$17)))))</f>
        <v>299.123515362994</v>
      </c>
      <c r="AM15" s="30">
        <f>IF(AM11="","",IF(AM11&lt;'[10]Set Up'!$J$15,AM11*'[10]Set Up'!$N$15,IF(AM11&lt;'[10]Set Up'!$J$16,(AM11-'[10]Set Up'!$J$15)*'[10]Set Up'!$N$16+'[10]Set Up'!$O$15,IF(AM11&lt;'[10]Set Up'!$J$17,(AM11-'[10]Set Up'!$J$16)*'[10]Set Up'!$N$17+'[10]Set Up'!$O$15+'[10]Set Up'!$O$16,(AM11-'[10]Set Up'!$J$17)*'[10]Set Up'!$N$18 + SUM('[10]Set Up'!$O$15:'[10]Set Up'!$O$17)))))</f>
        <v>296.12229431085115</v>
      </c>
      <c r="AN15" s="30">
        <f>IF(AN11="","",IF(AN11&lt;'[10]Set Up'!$J$15,AN11*'[10]Set Up'!$N$15,IF(AN11&lt;'[10]Set Up'!$J$16,(AN11-'[10]Set Up'!$J$15)*'[10]Set Up'!$N$16+'[10]Set Up'!$O$15,IF(AN11&lt;'[10]Set Up'!$J$17,(AN11-'[10]Set Up'!$J$16)*'[10]Set Up'!$N$17+'[10]Set Up'!$O$15+'[10]Set Up'!$O$16,(AN11-'[10]Set Up'!$J$17)*'[10]Set Up'!$N$18 + SUM('[10]Set Up'!$O$15:'[10]Set Up'!$O$17)))))</f>
        <v>293.12107325870824</v>
      </c>
      <c r="AO15" s="30">
        <f>IF(AO11="","",IF(AO11&lt;'[10]Set Up'!$J$15,AO11*'[10]Set Up'!$N$15,IF(AO11&lt;'[10]Set Up'!$J$16,(AO11-'[10]Set Up'!$J$15)*'[10]Set Up'!$N$16+'[10]Set Up'!$O$15,IF(AO11&lt;'[10]Set Up'!$J$17,(AO11-'[10]Set Up'!$J$16)*'[10]Set Up'!$N$17+'[10]Set Up'!$O$15+'[10]Set Up'!$O$16,(AO11-'[10]Set Up'!$J$17)*'[10]Set Up'!$N$18 + SUM('[10]Set Up'!$O$15:'[10]Set Up'!$O$17)))))</f>
        <v>290.11985220656533</v>
      </c>
      <c r="AP15" s="30">
        <f>IF(AP11="","",IF(AP11&lt;'[10]Set Up'!$J$15,AP11*'[10]Set Up'!$N$15,IF(AP11&lt;'[10]Set Up'!$J$16,(AP11-'[10]Set Up'!$J$15)*'[10]Set Up'!$N$16+'[10]Set Up'!$O$15,IF(AP11&lt;'[10]Set Up'!$J$17,(AP11-'[10]Set Up'!$J$16)*'[10]Set Up'!$N$17+'[10]Set Up'!$O$15+'[10]Set Up'!$O$16,(AP11-'[10]Set Up'!$J$17)*'[10]Set Up'!$N$18 + SUM('[10]Set Up'!$O$15:'[10]Set Up'!$O$17)))))</f>
        <v>287.11863115442247</v>
      </c>
      <c r="AQ15" s="30">
        <f>IF(AQ11="","",IF(AQ11&lt;'[10]Set Up'!$J$15,AQ11*'[10]Set Up'!$N$15,IF(AQ11&lt;'[10]Set Up'!$J$16,(AQ11-'[10]Set Up'!$J$15)*'[10]Set Up'!$N$16+'[10]Set Up'!$O$15,IF(AQ11&lt;'[10]Set Up'!$J$17,(AQ11-'[10]Set Up'!$J$16)*'[10]Set Up'!$N$17+'[10]Set Up'!$O$15+'[10]Set Up'!$O$16,(AQ11-'[10]Set Up'!$J$17)*'[10]Set Up'!$N$18 + SUM('[10]Set Up'!$O$15:'[10]Set Up'!$O$17)))))</f>
        <v>284.11741010227956</v>
      </c>
      <c r="AR15" s="30">
        <f>IF(AR11="","",IF(AR11&lt;'[10]Set Up'!$J$15,AR11*'[10]Set Up'!$N$15,IF(AR11&lt;'[10]Set Up'!$J$16,(AR11-'[10]Set Up'!$J$15)*'[10]Set Up'!$N$16+'[10]Set Up'!$O$15,IF(AR11&lt;'[10]Set Up'!$J$17,(AR11-'[10]Set Up'!$J$16)*'[10]Set Up'!$N$17+'[10]Set Up'!$O$15+'[10]Set Up'!$O$16,(AR11-'[10]Set Up'!$J$17)*'[10]Set Up'!$N$18 + SUM('[10]Set Up'!$O$15:'[10]Set Up'!$O$17)))))</f>
        <v>281.11618905013665</v>
      </c>
      <c r="AS15" s="30">
        <f>IF(AS11="","",IF(AS11&lt;'[10]Set Up'!$J$15,AS11*'[10]Set Up'!$N$15,IF(AS11&lt;'[10]Set Up'!$J$16,(AS11-'[10]Set Up'!$J$15)*'[10]Set Up'!$N$16+'[10]Set Up'!$O$15,IF(AS11&lt;'[10]Set Up'!$J$17,(AS11-'[10]Set Up'!$J$16)*'[10]Set Up'!$N$17+'[10]Set Up'!$O$15+'[10]Set Up'!$O$16,(AS11-'[10]Set Up'!$J$17)*'[10]Set Up'!$N$18 + SUM('[10]Set Up'!$O$15:'[10]Set Up'!$O$17)))))</f>
        <v>278.1149679979938</v>
      </c>
      <c r="AT15" s="30">
        <f>IF(AT11="","",IF(AT11&lt;'[10]Set Up'!$J$15,AT11*'[10]Set Up'!$N$15,IF(AT11&lt;'[10]Set Up'!$J$16,(AT11-'[10]Set Up'!$J$15)*'[10]Set Up'!$N$16+'[10]Set Up'!$O$15,IF(AT11&lt;'[10]Set Up'!$J$17,(AT11-'[10]Set Up'!$J$16)*'[10]Set Up'!$N$17+'[10]Set Up'!$O$15+'[10]Set Up'!$O$16,(AT11-'[10]Set Up'!$J$17)*'[10]Set Up'!$N$18 + SUM('[10]Set Up'!$O$15:'[10]Set Up'!$O$17)))))</f>
        <v>275.11374694585089</v>
      </c>
      <c r="AU15" s="30">
        <f>IF(AU11="","",IF(AU11&lt;'[10]Set Up'!$J$15,AU11*'[10]Set Up'!$N$15,IF(AU11&lt;'[10]Set Up'!$J$16,(AU11-'[10]Set Up'!$J$15)*'[10]Set Up'!$N$16+'[10]Set Up'!$O$15,IF(AU11&lt;'[10]Set Up'!$J$17,(AU11-'[10]Set Up'!$J$16)*'[10]Set Up'!$N$17+'[10]Set Up'!$O$15+'[10]Set Up'!$O$16,(AU11-'[10]Set Up'!$J$17)*'[10]Set Up'!$N$18 + SUM('[10]Set Up'!$O$15:'[10]Set Up'!$O$17)))))</f>
        <v>272.11252589370798</v>
      </c>
      <c r="AV15" s="30">
        <f>IF(AV11="","",IF(AV11&lt;'[10]Set Up'!$J$15,AV11*'[10]Set Up'!$N$15,IF(AV11&lt;'[10]Set Up'!$J$16,(AV11-'[10]Set Up'!$J$15)*'[10]Set Up'!$N$16+'[10]Set Up'!$O$15,IF(AV11&lt;'[10]Set Up'!$J$17,(AV11-'[10]Set Up'!$J$16)*'[10]Set Up'!$N$17+'[10]Set Up'!$O$15+'[10]Set Up'!$O$16,(AV11-'[10]Set Up'!$J$17)*'[10]Set Up'!$N$18 + SUM('[10]Set Up'!$O$15:'[10]Set Up'!$O$17)))))</f>
        <v>269.11130484156513</v>
      </c>
      <c r="AW15" s="30">
        <f>IF(AW11="","",IF(AW11&lt;'[10]Set Up'!$J$15,AW11*'[10]Set Up'!$N$15,IF(AW11&lt;'[10]Set Up'!$J$16,(AW11-'[10]Set Up'!$J$15)*'[10]Set Up'!$N$16+'[10]Set Up'!$O$15,IF(AW11&lt;'[10]Set Up'!$J$17,(AW11-'[10]Set Up'!$J$16)*'[10]Set Up'!$N$17+'[10]Set Up'!$O$15+'[10]Set Up'!$O$16,(AW11-'[10]Set Up'!$J$17)*'[10]Set Up'!$N$18 + SUM('[10]Set Up'!$O$15:'[10]Set Up'!$O$17)))))</f>
        <v>266.11008378942222</v>
      </c>
      <c r="AX15" s="30">
        <f>IF(AX11="","",IF(AX11&lt;'[10]Set Up'!$J$15,AX11*'[10]Set Up'!$N$15,IF(AX11&lt;'[10]Set Up'!$J$16,(AX11-'[10]Set Up'!$J$15)*'[10]Set Up'!$N$16+'[10]Set Up'!$O$15,IF(AX11&lt;'[10]Set Up'!$J$17,(AX11-'[10]Set Up'!$J$16)*'[10]Set Up'!$N$17+'[10]Set Up'!$O$15+'[10]Set Up'!$O$16,(AX11-'[10]Set Up'!$J$17)*'[10]Set Up'!$N$18 + SUM('[10]Set Up'!$O$15:'[10]Set Up'!$O$17)))))</f>
        <v>263.10886273727931</v>
      </c>
      <c r="AY15" s="30">
        <f>IF(AY11="","",IF(AY11&lt;'[10]Set Up'!$J$15,AY11*'[10]Set Up'!$N$15,IF(AY11&lt;'[10]Set Up'!$J$16,(AY11-'[10]Set Up'!$J$15)*'[10]Set Up'!$N$16+'[10]Set Up'!$O$15,IF(AY11&lt;'[10]Set Up'!$J$17,(AY11-'[10]Set Up'!$J$16)*'[10]Set Up'!$N$17+'[10]Set Up'!$O$15+'[10]Set Up'!$O$16,(AY11-'[10]Set Up'!$J$17)*'[10]Set Up'!$N$18 + SUM('[10]Set Up'!$O$15:'[10]Set Up'!$O$17)))))</f>
        <v>0</v>
      </c>
      <c r="AZ15" s="30">
        <f>IF(AZ11="","",IF(AZ11&lt;'[10]Set Up'!$J$15,AZ11*'[10]Set Up'!$N$15,IF(AZ11&lt;'[10]Set Up'!$J$16,(AZ11-'[10]Set Up'!$J$15)*'[10]Set Up'!$N$16+'[10]Set Up'!$O$15,IF(AZ11&lt;'[10]Set Up'!$J$17,(AZ11-'[10]Set Up'!$J$16)*'[10]Set Up'!$N$17+'[10]Set Up'!$O$15+'[10]Set Up'!$O$16,(AZ11-'[10]Set Up'!$J$17)*'[10]Set Up'!$N$18 + SUM('[10]Set Up'!$O$15:'[10]Set Up'!$O$17)))))</f>
        <v>0</v>
      </c>
      <c r="BA15" s="30">
        <f>IF(BA11="","",IF(BA11&lt;'[10]Set Up'!$J$15,BA11*'[10]Set Up'!$N$15,IF(BA11&lt;'[10]Set Up'!$J$16,(BA11-'[10]Set Up'!$J$15)*'[10]Set Up'!$N$16+'[10]Set Up'!$O$15,IF(BA11&lt;'[10]Set Up'!$J$17,(BA11-'[10]Set Up'!$J$16)*'[10]Set Up'!$N$17+'[10]Set Up'!$O$15+'[10]Set Up'!$O$16,(BA11-'[10]Set Up'!$J$17)*'[10]Set Up'!$N$18 + SUM('[10]Set Up'!$O$15:'[10]Set Up'!$O$17)))))</f>
        <v>0</v>
      </c>
      <c r="BB15" s="30">
        <f>IF(BB11="","",IF(BB11&lt;'[10]Set Up'!$J$15,BB11*'[10]Set Up'!$N$15,IF(BB11&lt;'[10]Set Up'!$J$16,(BB11-'[10]Set Up'!$J$15)*'[10]Set Up'!$N$16+'[10]Set Up'!$O$15,IF(BB11&lt;'[10]Set Up'!$J$17,(BB11-'[10]Set Up'!$J$16)*'[10]Set Up'!$N$17+'[10]Set Up'!$O$15+'[10]Set Up'!$O$16,(BB11-'[10]Set Up'!$J$17)*'[10]Set Up'!$N$18 + SUM('[10]Set Up'!$O$15:'[10]Set Up'!$O$17)))))</f>
        <v>0</v>
      </c>
      <c r="BC15" s="30">
        <f>IF(BC11="","",IF(BC11&lt;'[10]Set Up'!$J$15,BC11*'[10]Set Up'!$N$15,IF(BC11&lt;'[10]Set Up'!$J$16,(BC11-'[10]Set Up'!$J$15)*'[10]Set Up'!$N$16+'[10]Set Up'!$O$15,IF(BC11&lt;'[10]Set Up'!$J$17,(BC11-'[10]Set Up'!$J$16)*'[10]Set Up'!$N$17+'[10]Set Up'!$O$15+'[10]Set Up'!$O$16,(BC11-'[10]Set Up'!$J$17)*'[10]Set Up'!$N$18 + SUM('[10]Set Up'!$O$15:'[10]Set Up'!$O$17)))))</f>
        <v>0</v>
      </c>
      <c r="BD15" s="30">
        <f>IF(BD11="","",IF(BD11&lt;'[10]Set Up'!$J$15,BD11*'[10]Set Up'!$N$15,IF(BD11&lt;'[10]Set Up'!$J$16,(BD11-'[10]Set Up'!$J$15)*'[10]Set Up'!$N$16+'[10]Set Up'!$O$15,IF(BD11&lt;'[10]Set Up'!$J$17,(BD11-'[10]Set Up'!$J$16)*'[10]Set Up'!$N$17+'[10]Set Up'!$O$15+'[10]Set Up'!$O$16,(BD11-'[10]Set Up'!$J$17)*'[10]Set Up'!$N$18 + SUM('[10]Set Up'!$O$15:'[10]Set Up'!$O$17)))))</f>
        <v>0</v>
      </c>
      <c r="BE15" s="30">
        <f>IF(BE11="","",IF(BE11&lt;'[10]Set Up'!$J$15,BE11*'[10]Set Up'!$N$15,IF(BE11&lt;'[10]Set Up'!$J$16,(BE11-'[10]Set Up'!$J$15)*'[10]Set Up'!$N$16+'[10]Set Up'!$O$15,IF(BE11&lt;'[10]Set Up'!$J$17,(BE11-'[10]Set Up'!$J$16)*'[10]Set Up'!$N$17+'[10]Set Up'!$O$15+'[10]Set Up'!$O$16,(BE11-'[10]Set Up'!$J$17)*'[10]Set Up'!$N$18 + SUM('[10]Set Up'!$O$15:'[10]Set Up'!$O$17)))))</f>
        <v>0</v>
      </c>
      <c r="BF15" s="30">
        <f>IF(BF11="","",IF(BF11&lt;'[10]Set Up'!$J$15,BF11*'[10]Set Up'!$N$15,IF(BF11&lt;'[10]Set Up'!$J$16,(BF11-'[10]Set Up'!$J$15)*'[10]Set Up'!$N$16+'[10]Set Up'!$O$15,IF(BF11&lt;'[10]Set Up'!$J$17,(BF11-'[10]Set Up'!$J$16)*'[10]Set Up'!$N$17+'[10]Set Up'!$O$15+'[10]Set Up'!$O$16,(BF11-'[10]Set Up'!$J$17)*'[10]Set Up'!$N$18 + SUM('[10]Set Up'!$O$15:'[10]Set Up'!$O$17)))))</f>
        <v>0</v>
      </c>
      <c r="BG15" s="30">
        <f>IF(BG11="","",IF(BG11&lt;'[10]Set Up'!$J$15,BG11*'[10]Set Up'!$N$15,IF(BG11&lt;'[10]Set Up'!$J$16,(BG11-'[10]Set Up'!$J$15)*'[10]Set Up'!$N$16+'[10]Set Up'!$O$15,IF(BG11&lt;'[10]Set Up'!$J$17,(BG11-'[10]Set Up'!$J$16)*'[10]Set Up'!$N$17+'[10]Set Up'!$O$15+'[10]Set Up'!$O$16,(BG11-'[10]Set Up'!$J$17)*'[10]Set Up'!$N$18 + SUM('[10]Set Up'!$O$15:'[10]Set Up'!$O$17)))))</f>
        <v>0</v>
      </c>
      <c r="BH15" s="30">
        <f>IF(BH11="","",IF(BH11&lt;'[10]Set Up'!$J$15,BH11*'[10]Set Up'!$N$15,IF(BH11&lt;'[10]Set Up'!$J$16,(BH11-'[10]Set Up'!$J$15)*'[10]Set Up'!$N$16+'[10]Set Up'!$O$15,IF(BH11&lt;'[10]Set Up'!$J$17,(BH11-'[10]Set Up'!$J$16)*'[10]Set Up'!$N$17+'[10]Set Up'!$O$15+'[10]Set Up'!$O$16,(BH11-'[10]Set Up'!$J$17)*'[10]Set Up'!$N$18 + SUM('[10]Set Up'!$O$15:'[10]Set Up'!$O$17)))))</f>
        <v>0</v>
      </c>
      <c r="BI15" s="30">
        <f>IF(BI11="","",IF(BI11&lt;'[10]Set Up'!$J$15,BI11*'[10]Set Up'!$N$15,IF(BI11&lt;'[10]Set Up'!$J$16,(BI11-'[10]Set Up'!$J$15)*'[10]Set Up'!$N$16+'[10]Set Up'!$O$15,IF(BI11&lt;'[10]Set Up'!$J$17,(BI11-'[10]Set Up'!$J$16)*'[10]Set Up'!$N$17+'[10]Set Up'!$O$15+'[10]Set Up'!$O$16,(BI11-'[10]Set Up'!$J$17)*'[10]Set Up'!$N$18 + SUM('[10]Set Up'!$O$15:'[10]Set Up'!$O$17)))))</f>
        <v>0</v>
      </c>
      <c r="BJ15" s="30">
        <f>IF(BJ11="","",IF(BJ11&lt;'[10]Set Up'!$J$15,BJ11*'[10]Set Up'!$N$15,IF(BJ11&lt;'[10]Set Up'!$J$16,(BJ11-'[10]Set Up'!$J$15)*'[10]Set Up'!$N$16+'[10]Set Up'!$O$15,IF(BJ11&lt;'[10]Set Up'!$J$17,(BJ11-'[10]Set Up'!$J$16)*'[10]Set Up'!$N$17+'[10]Set Up'!$O$15+'[10]Set Up'!$O$16,(BJ11-'[10]Set Up'!$J$17)*'[10]Set Up'!$N$18 + SUM('[10]Set Up'!$O$15:'[10]Set Up'!$O$17)))))</f>
        <v>0</v>
      </c>
      <c r="BK15" s="30">
        <f>IF(BK11="","",IF(BK11&lt;'[10]Set Up'!$J$15,BK11*'[10]Set Up'!$N$15,IF(BK11&lt;'[10]Set Up'!$J$16,(BK11-'[10]Set Up'!$J$15)*'[10]Set Up'!$N$16+'[10]Set Up'!$O$15,IF(BK11&lt;'[10]Set Up'!$J$17,(BK11-'[10]Set Up'!$J$16)*'[10]Set Up'!$N$17+'[10]Set Up'!$O$15+'[10]Set Up'!$O$16,(BK11-'[10]Set Up'!$J$17)*'[10]Set Up'!$N$18 + SUM('[10]Set Up'!$O$15:'[10]Set Up'!$O$17)))))</f>
        <v>0</v>
      </c>
      <c r="BL15" s="30">
        <f>IF(BL11="","",IF(BL11&lt;'[10]Set Up'!$J$15,BL11*'[10]Set Up'!$N$15,IF(BL11&lt;'[10]Set Up'!$J$16,(BL11-'[10]Set Up'!$J$15)*'[10]Set Up'!$N$16+'[10]Set Up'!$O$15,IF(BL11&lt;'[10]Set Up'!$J$17,(BL11-'[10]Set Up'!$J$16)*'[10]Set Up'!$N$17+'[10]Set Up'!$O$15+'[10]Set Up'!$O$16,(BL11-'[10]Set Up'!$J$17)*'[10]Set Up'!$N$18 + SUM('[10]Set Up'!$O$15:'[10]Set Up'!$O$17)))))</f>
        <v>0</v>
      </c>
      <c r="BM15" s="30">
        <f>IF(BM11="","",IF(BM11&lt;'[10]Set Up'!$J$15,BM11*'[10]Set Up'!$N$15,IF(BM11&lt;'[10]Set Up'!$J$16,(BM11-'[10]Set Up'!$J$15)*'[10]Set Up'!$N$16+'[10]Set Up'!$O$15,IF(BM11&lt;'[10]Set Up'!$J$17,(BM11-'[10]Set Up'!$J$16)*'[10]Set Up'!$N$17+'[10]Set Up'!$O$15+'[10]Set Up'!$O$16,(BM11-'[10]Set Up'!$J$17)*'[10]Set Up'!$N$18 + SUM('[10]Set Up'!$O$15:'[10]Set Up'!$O$17)))))</f>
        <v>0</v>
      </c>
      <c r="BN15" s="30">
        <f>IF(BN11="","",IF(BN11&lt;'[10]Set Up'!$J$15,BN11*'[10]Set Up'!$N$15,IF(BN11&lt;'[10]Set Up'!$J$16,(BN11-'[10]Set Up'!$J$15)*'[10]Set Up'!$N$16+'[10]Set Up'!$O$15,IF(BN11&lt;'[10]Set Up'!$J$17,(BN11-'[10]Set Up'!$J$16)*'[10]Set Up'!$N$17+'[10]Set Up'!$O$15+'[10]Set Up'!$O$16,(BN11-'[10]Set Up'!$J$17)*'[10]Set Up'!$N$18 + SUM('[10]Set Up'!$O$15:'[10]Set Up'!$O$17)))))</f>
        <v>0</v>
      </c>
      <c r="BO15" s="30">
        <f>IF(BO11="","",IF(BO11&lt;'[10]Set Up'!$J$15,BO11*'[10]Set Up'!$N$15,IF(BO11&lt;'[10]Set Up'!$J$16,(BO11-'[10]Set Up'!$J$15)*'[10]Set Up'!$N$16+'[10]Set Up'!$O$15,IF(BO11&lt;'[10]Set Up'!$J$17,(BO11-'[10]Set Up'!$J$16)*'[10]Set Up'!$N$17+'[10]Set Up'!$O$15+'[10]Set Up'!$O$16,(BO11-'[10]Set Up'!$J$17)*'[10]Set Up'!$N$18 + SUM('[10]Set Up'!$O$15:'[10]Set Up'!$O$17)))))</f>
        <v>0</v>
      </c>
      <c r="BP15" s="30">
        <f>IF(BP11="","",IF(BP11&lt;'[10]Set Up'!$J$15,BP11*'[10]Set Up'!$N$15,IF(BP11&lt;'[10]Set Up'!$J$16,(BP11-'[10]Set Up'!$J$15)*'[10]Set Up'!$N$16+'[10]Set Up'!$O$15,IF(BP11&lt;'[10]Set Up'!$J$17,(BP11-'[10]Set Up'!$J$16)*'[10]Set Up'!$N$17+'[10]Set Up'!$O$15+'[10]Set Up'!$O$16,(BP11-'[10]Set Up'!$J$17)*'[10]Set Up'!$N$18 + SUM('[10]Set Up'!$O$15:'[10]Set Up'!$O$17)))))</f>
        <v>0</v>
      </c>
      <c r="BQ15" s="30">
        <f>IF(BQ11="","",IF(BQ11&lt;'[10]Set Up'!$J$15,BQ11*'[10]Set Up'!$N$15,IF(BQ11&lt;'[10]Set Up'!$J$16,(BQ11-'[10]Set Up'!$J$15)*'[10]Set Up'!$N$16+'[10]Set Up'!$O$15,IF(BQ11&lt;'[10]Set Up'!$J$17,(BQ11-'[10]Set Up'!$J$16)*'[10]Set Up'!$N$17+'[10]Set Up'!$O$15+'[10]Set Up'!$O$16,(BQ11-'[10]Set Up'!$J$17)*'[10]Set Up'!$N$18 + SUM('[10]Set Up'!$O$15:'[10]Set Up'!$O$17)))))</f>
        <v>0</v>
      </c>
      <c r="BR15" s="30">
        <f>IF(BR11="","",IF(BR11&lt;'[10]Set Up'!$J$15,BR11*'[10]Set Up'!$N$15,IF(BR11&lt;'[10]Set Up'!$J$16,(BR11-'[10]Set Up'!$J$15)*'[10]Set Up'!$N$16+'[10]Set Up'!$O$15,IF(BR11&lt;'[10]Set Up'!$J$17,(BR11-'[10]Set Up'!$J$16)*'[10]Set Up'!$N$17+'[10]Set Up'!$O$15+'[10]Set Up'!$O$16,(BR11-'[10]Set Up'!$J$17)*'[10]Set Up'!$N$18 + SUM('[10]Set Up'!$O$15:'[10]Set Up'!$O$17)))))</f>
        <v>0</v>
      </c>
      <c r="BS15" s="30">
        <f>IF(BS11="","",IF(BS11&lt;'[10]Set Up'!$J$15,BS11*'[10]Set Up'!$N$15,IF(BS11&lt;'[10]Set Up'!$J$16,(BS11-'[10]Set Up'!$J$15)*'[10]Set Up'!$N$16+'[10]Set Up'!$O$15,IF(BS11&lt;'[10]Set Up'!$J$17,(BS11-'[10]Set Up'!$J$16)*'[10]Set Up'!$N$17+'[10]Set Up'!$O$15+'[10]Set Up'!$O$16,(BS11-'[10]Set Up'!$J$17)*'[10]Set Up'!$N$18 + SUM('[10]Set Up'!$O$15:'[10]Set Up'!$O$17)))))</f>
        <v>0</v>
      </c>
      <c r="BT15" s="30">
        <f>IF(BT11="","",IF(BT11&lt;'[10]Set Up'!$J$15,BT11*'[10]Set Up'!$N$15,IF(BT11&lt;'[10]Set Up'!$J$16,(BT11-'[10]Set Up'!$J$15)*'[10]Set Up'!$N$16+'[10]Set Up'!$O$15,IF(BT11&lt;'[10]Set Up'!$J$17,(BT11-'[10]Set Up'!$J$16)*'[10]Set Up'!$N$17+'[10]Set Up'!$O$15+'[10]Set Up'!$O$16,(BT11-'[10]Set Up'!$J$17)*'[10]Set Up'!$N$18 + SUM('[10]Set Up'!$O$15:'[10]Set Up'!$O$17)))))</f>
        <v>0</v>
      </c>
      <c r="BU15" s="30">
        <f>IF(BU11="","",IF(BU11&lt;'[10]Set Up'!$J$15,BU11*'[10]Set Up'!$N$15,IF(BU11&lt;'[10]Set Up'!$J$16,(BU11-'[10]Set Up'!$J$15)*'[10]Set Up'!$N$16+'[10]Set Up'!$O$15,IF(BU11&lt;'[10]Set Up'!$J$17,(BU11-'[10]Set Up'!$J$16)*'[10]Set Up'!$N$17+'[10]Set Up'!$O$15+'[10]Set Up'!$O$16,(BU11-'[10]Set Up'!$J$17)*'[10]Set Up'!$N$18 + SUM('[10]Set Up'!$O$15:'[10]Set Up'!$O$17)))))</f>
        <v>0</v>
      </c>
      <c r="BV15" s="30">
        <f>IF(BV11="","",IF(BV11&lt;'[10]Set Up'!$J$15,BV11*'[10]Set Up'!$N$15,IF(BV11&lt;'[10]Set Up'!$J$16,(BV11-'[10]Set Up'!$J$15)*'[10]Set Up'!$N$16+'[10]Set Up'!$O$15,IF(BV11&lt;'[10]Set Up'!$J$17,(BV11-'[10]Set Up'!$J$16)*'[10]Set Up'!$N$17+'[10]Set Up'!$O$15+'[10]Set Up'!$O$16,(BV11-'[10]Set Up'!$J$17)*'[10]Set Up'!$N$18 + SUM('[10]Set Up'!$O$15:'[10]Set Up'!$O$17)))))</f>
        <v>0</v>
      </c>
      <c r="BW15" s="30">
        <f>IF(BW11="","",IF(BW11&lt;'[10]Set Up'!$J$15,BW11*'[10]Set Up'!$N$15,IF(BW11&lt;'[10]Set Up'!$J$16,(BW11-'[10]Set Up'!$J$15)*'[10]Set Up'!$N$16+'[10]Set Up'!$O$15,IF(BW11&lt;'[10]Set Up'!$J$17,(BW11-'[10]Set Up'!$J$16)*'[10]Set Up'!$N$17+'[10]Set Up'!$O$15+'[10]Set Up'!$O$16,(BW11-'[10]Set Up'!$J$17)*'[10]Set Up'!$N$18 + SUM('[10]Set Up'!$O$15:'[10]Set Up'!$O$17)))))</f>
        <v>0</v>
      </c>
      <c r="BX15" s="30">
        <f>IF(BX11="","",IF(BX11&lt;'[10]Set Up'!$J$15,BX11*'[10]Set Up'!$N$15,IF(BX11&lt;'[10]Set Up'!$J$16,(BX11-'[10]Set Up'!$J$15)*'[10]Set Up'!$N$16+'[10]Set Up'!$O$15,IF(BX11&lt;'[10]Set Up'!$J$17,(BX11-'[10]Set Up'!$J$16)*'[10]Set Up'!$N$17+'[10]Set Up'!$O$15+'[10]Set Up'!$O$16,(BX11-'[10]Set Up'!$J$17)*'[10]Set Up'!$N$18 + SUM('[10]Set Up'!$O$15:'[10]Set Up'!$O$17)))))</f>
        <v>0</v>
      </c>
      <c r="BY15" s="30">
        <f>IF(BY11="","",IF(BY11&lt;'[10]Set Up'!$J$15,BY11*'[10]Set Up'!$N$15,IF(BY11&lt;'[10]Set Up'!$J$16,(BY11-'[10]Set Up'!$J$15)*'[10]Set Up'!$N$16+'[10]Set Up'!$O$15,IF(BY11&lt;'[10]Set Up'!$J$17,(BY11-'[10]Set Up'!$J$16)*'[10]Set Up'!$N$17+'[10]Set Up'!$O$15+'[10]Set Up'!$O$16,(BY11-'[10]Set Up'!$J$17)*'[10]Set Up'!$N$18 + SUM('[10]Set Up'!$O$15:'[10]Set Up'!$O$17)))))</f>
        <v>0</v>
      </c>
      <c r="BZ15" s="8"/>
    </row>
    <row r="16" spans="1:78" ht="15" thickBot="1" x14ac:dyDescent="0.4">
      <c r="A16" s="31"/>
      <c r="B16" s="32"/>
      <c r="C16" s="183" t="s">
        <v>23</v>
      </c>
      <c r="D16" s="184"/>
      <c r="E16" s="184"/>
      <c r="F16" s="184"/>
      <c r="G16" s="184"/>
      <c r="H16" s="184"/>
      <c r="I16" s="185"/>
      <c r="J16" s="32"/>
      <c r="K16" s="32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8"/>
    </row>
    <row r="17" spans="1:78" x14ac:dyDescent="0.35">
      <c r="A17" s="34" t="s">
        <v>24</v>
      </c>
      <c r="B17" s="35" t="s">
        <v>11</v>
      </c>
      <c r="C17" s="36">
        <v>43292</v>
      </c>
      <c r="D17" s="36">
        <v>43293</v>
      </c>
      <c r="E17" s="36">
        <v>43293</v>
      </c>
      <c r="F17" s="36">
        <v>43294</v>
      </c>
      <c r="G17" s="36">
        <v>43294</v>
      </c>
      <c r="H17" s="36">
        <v>43294</v>
      </c>
      <c r="I17" s="36">
        <v>43295</v>
      </c>
      <c r="J17" s="36">
        <v>43295</v>
      </c>
      <c r="K17" s="36">
        <v>43295</v>
      </c>
      <c r="L17" s="36">
        <v>43296</v>
      </c>
      <c r="M17" s="36">
        <v>43296</v>
      </c>
      <c r="N17" s="36">
        <v>43296</v>
      </c>
      <c r="O17" s="36">
        <v>43296</v>
      </c>
      <c r="P17" s="36">
        <v>43297</v>
      </c>
      <c r="Q17" s="36">
        <v>43297</v>
      </c>
      <c r="R17" s="36">
        <v>43297</v>
      </c>
      <c r="S17" s="36">
        <v>43298</v>
      </c>
      <c r="T17" s="36">
        <v>43298</v>
      </c>
      <c r="U17" s="36">
        <v>43298</v>
      </c>
      <c r="V17" s="36">
        <v>43298</v>
      </c>
      <c r="W17" s="36">
        <v>43298</v>
      </c>
      <c r="X17" s="36">
        <v>43298</v>
      </c>
      <c r="Y17" s="36">
        <v>43298</v>
      </c>
      <c r="Z17" s="36">
        <v>43300</v>
      </c>
      <c r="AA17" s="36">
        <v>43300</v>
      </c>
      <c r="AB17" s="36">
        <v>43300</v>
      </c>
      <c r="AC17" s="36">
        <v>43301</v>
      </c>
      <c r="AD17" s="36">
        <v>43301</v>
      </c>
      <c r="AE17" s="36">
        <v>43301</v>
      </c>
      <c r="AF17" s="36">
        <v>43301</v>
      </c>
      <c r="AG17" s="36">
        <v>43302</v>
      </c>
      <c r="AH17" s="36">
        <v>43302</v>
      </c>
      <c r="AI17" s="36">
        <v>43302</v>
      </c>
      <c r="AJ17" s="36">
        <v>43302</v>
      </c>
      <c r="AK17" s="36">
        <v>43303</v>
      </c>
      <c r="AL17" s="36">
        <v>43303</v>
      </c>
      <c r="AM17" s="36">
        <v>43303</v>
      </c>
      <c r="AN17" s="36">
        <v>43304</v>
      </c>
      <c r="AO17" s="36">
        <v>43304</v>
      </c>
      <c r="AP17" s="36">
        <v>43304</v>
      </c>
      <c r="AQ17" s="36">
        <v>43305</v>
      </c>
      <c r="AR17" s="36">
        <v>43305</v>
      </c>
      <c r="AS17" s="36">
        <v>43305</v>
      </c>
      <c r="AT17" s="36">
        <v>43306</v>
      </c>
      <c r="AU17" s="36">
        <v>43306</v>
      </c>
      <c r="AV17" s="36">
        <v>43306</v>
      </c>
      <c r="AW17" s="36">
        <v>43306</v>
      </c>
      <c r="AX17" s="36">
        <v>43307</v>
      </c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7"/>
    </row>
    <row r="18" spans="1:78" x14ac:dyDescent="0.35">
      <c r="A18" s="38" t="s">
        <v>25</v>
      </c>
      <c r="B18" s="39">
        <f>IF(C18="","",AVERAGE(C18:BY18))</f>
        <v>5114.375</v>
      </c>
      <c r="C18" s="40">
        <v>4750</v>
      </c>
      <c r="D18" s="40">
        <v>5170</v>
      </c>
      <c r="E18" s="41">
        <v>5320</v>
      </c>
      <c r="F18" s="41">
        <v>5180</v>
      </c>
      <c r="G18" s="41">
        <v>5140</v>
      </c>
      <c r="H18" s="41">
        <v>5320</v>
      </c>
      <c r="I18" s="41">
        <v>5380</v>
      </c>
      <c r="J18" s="41">
        <v>5410</v>
      </c>
      <c r="K18" s="41">
        <v>5170</v>
      </c>
      <c r="L18" s="41">
        <v>5100</v>
      </c>
      <c r="M18" s="41">
        <v>5270</v>
      </c>
      <c r="N18" s="41">
        <v>5420</v>
      </c>
      <c r="O18" s="41">
        <v>5410</v>
      </c>
      <c r="P18" s="41">
        <v>5280</v>
      </c>
      <c r="Q18" s="41">
        <v>5000</v>
      </c>
      <c r="R18" s="41">
        <v>5060</v>
      </c>
      <c r="S18" s="41">
        <v>5230</v>
      </c>
      <c r="T18" s="41">
        <v>5110</v>
      </c>
      <c r="U18" s="41">
        <v>5230</v>
      </c>
      <c r="V18" s="41">
        <v>5090</v>
      </c>
      <c r="W18" s="41">
        <v>4980</v>
      </c>
      <c r="X18" s="41">
        <v>5130</v>
      </c>
      <c r="Y18" s="41">
        <v>5070</v>
      </c>
      <c r="Z18" s="41">
        <v>5020</v>
      </c>
      <c r="AA18" s="41">
        <v>4820</v>
      </c>
      <c r="AB18" s="41">
        <v>5060</v>
      </c>
      <c r="AC18" s="41">
        <v>5000</v>
      </c>
      <c r="AD18" s="41">
        <v>4880</v>
      </c>
      <c r="AE18" s="41">
        <v>4970</v>
      </c>
      <c r="AF18" s="41">
        <v>5130</v>
      </c>
      <c r="AG18" s="41">
        <v>5090</v>
      </c>
      <c r="AH18" s="41">
        <v>5190</v>
      </c>
      <c r="AI18" s="41">
        <v>5050</v>
      </c>
      <c r="AJ18" s="41">
        <v>5270</v>
      </c>
      <c r="AK18" s="41">
        <v>4960</v>
      </c>
      <c r="AL18" s="41">
        <v>5120</v>
      </c>
      <c r="AM18" s="41">
        <v>5150</v>
      </c>
      <c r="AN18" s="41">
        <v>4880</v>
      </c>
      <c r="AO18" s="41">
        <v>5300</v>
      </c>
      <c r="AP18" s="41">
        <v>5030</v>
      </c>
      <c r="AQ18" s="41">
        <v>4570</v>
      </c>
      <c r="AR18" s="41">
        <v>5060</v>
      </c>
      <c r="AS18" s="41">
        <v>5000</v>
      </c>
      <c r="AT18" s="41">
        <v>5130</v>
      </c>
      <c r="AU18" s="41">
        <v>5200</v>
      </c>
      <c r="AV18" s="41">
        <v>5130</v>
      </c>
      <c r="AW18" s="41">
        <v>5130</v>
      </c>
      <c r="AX18" s="41">
        <v>5130</v>
      </c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2"/>
    </row>
    <row r="19" spans="1:78" ht="15" thickBot="1" x14ac:dyDescent="0.4">
      <c r="A19" s="43" t="s">
        <v>26</v>
      </c>
      <c r="B19" s="44">
        <f>IF(C19="","",AVERAGE(C19:BY19))</f>
        <v>7622.826086956522</v>
      </c>
      <c r="C19" s="45">
        <v>10110</v>
      </c>
      <c r="D19" s="46">
        <v>7330</v>
      </c>
      <c r="E19" s="46">
        <v>7530</v>
      </c>
      <c r="F19" s="46" t="s">
        <v>42</v>
      </c>
      <c r="G19" s="46">
        <v>8230</v>
      </c>
      <c r="H19" s="46">
        <v>7790</v>
      </c>
      <c r="I19" s="46">
        <v>7790</v>
      </c>
      <c r="J19" s="46">
        <v>7760</v>
      </c>
      <c r="K19" s="46">
        <v>7730</v>
      </c>
      <c r="L19" s="46">
        <v>10200</v>
      </c>
      <c r="M19" s="46">
        <v>8430</v>
      </c>
      <c r="N19" s="46">
        <v>7750</v>
      </c>
      <c r="O19" s="46">
        <v>7660</v>
      </c>
      <c r="P19" s="46">
        <v>7850</v>
      </c>
      <c r="Q19" s="46">
        <v>8810</v>
      </c>
      <c r="R19" s="46">
        <v>7910</v>
      </c>
      <c r="S19" s="46">
        <v>7680</v>
      </c>
      <c r="T19" s="46">
        <v>7510</v>
      </c>
      <c r="U19" s="46">
        <v>7860</v>
      </c>
      <c r="V19" s="46">
        <v>7740</v>
      </c>
      <c r="W19" s="46">
        <v>7700</v>
      </c>
      <c r="X19" s="46">
        <v>7490</v>
      </c>
      <c r="Y19" s="46">
        <v>7650</v>
      </c>
      <c r="Z19" s="46">
        <v>7830</v>
      </c>
      <c r="AA19" s="46">
        <v>7440</v>
      </c>
      <c r="AB19" s="46">
        <v>7570</v>
      </c>
      <c r="AC19" s="46">
        <v>7470</v>
      </c>
      <c r="AD19" s="46">
        <v>7540</v>
      </c>
      <c r="AE19" s="46">
        <v>7660</v>
      </c>
      <c r="AF19" s="46">
        <v>7440</v>
      </c>
      <c r="AG19" s="46">
        <v>7370</v>
      </c>
      <c r="AH19" s="46">
        <v>7660</v>
      </c>
      <c r="AI19" s="46">
        <v>7490</v>
      </c>
      <c r="AJ19" s="46">
        <v>6840</v>
      </c>
      <c r="AK19" s="46" t="s">
        <v>42</v>
      </c>
      <c r="AL19" s="46">
        <v>7140</v>
      </c>
      <c r="AM19" s="46">
        <v>6860</v>
      </c>
      <c r="AN19" s="46">
        <v>7060</v>
      </c>
      <c r="AO19" s="46">
        <v>7250</v>
      </c>
      <c r="AP19" s="46">
        <v>7260</v>
      </c>
      <c r="AQ19" s="46">
        <v>6990</v>
      </c>
      <c r="AR19" s="46">
        <v>7040</v>
      </c>
      <c r="AS19" s="46">
        <v>7070</v>
      </c>
      <c r="AT19" s="46">
        <v>7190</v>
      </c>
      <c r="AU19" s="46">
        <v>7000</v>
      </c>
      <c r="AV19" s="46">
        <v>7000</v>
      </c>
      <c r="AW19" s="46">
        <v>7120</v>
      </c>
      <c r="AX19" s="46">
        <v>6850</v>
      </c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7"/>
    </row>
    <row r="20" spans="1:78" x14ac:dyDescent="0.35">
      <c r="A20" s="48" t="s">
        <v>27</v>
      </c>
      <c r="B20" s="49"/>
      <c r="C20" s="50">
        <v>0.99513888888888891</v>
      </c>
      <c r="D20" s="51">
        <v>0.46875</v>
      </c>
      <c r="E20" s="51">
        <v>0.84166666666666667</v>
      </c>
      <c r="F20" s="51">
        <v>0.14722222222222223</v>
      </c>
      <c r="G20" s="51">
        <v>0.56944444444444442</v>
      </c>
      <c r="H20" s="51">
        <v>0.84236111111111101</v>
      </c>
      <c r="I20" s="51">
        <v>0.1076388888888889</v>
      </c>
      <c r="J20" s="51">
        <v>0.50694444444444442</v>
      </c>
      <c r="K20" s="51">
        <v>0.8041666666666667</v>
      </c>
      <c r="L20" s="51">
        <v>0.13194444444444445</v>
      </c>
      <c r="M20" s="51">
        <v>0.41666666666666669</v>
      </c>
      <c r="N20" s="51">
        <v>0.68194444444444446</v>
      </c>
      <c r="O20" s="51">
        <v>0.95416666666666661</v>
      </c>
      <c r="P20" s="51">
        <v>0.23680555555555557</v>
      </c>
      <c r="Q20" s="51">
        <v>0.51180555555555551</v>
      </c>
      <c r="R20" s="51">
        <v>0.79861111111111116</v>
      </c>
      <c r="S20" s="51">
        <v>0.13125000000000001</v>
      </c>
      <c r="T20" s="51">
        <v>0.44027777777777777</v>
      </c>
      <c r="U20" s="51">
        <v>0.7284722222222223</v>
      </c>
      <c r="V20" s="51">
        <v>2.5694444444444447E-2</v>
      </c>
      <c r="W20" s="51">
        <v>0.33055555555555555</v>
      </c>
      <c r="X20" s="51">
        <v>0.60972222222222217</v>
      </c>
      <c r="Y20" s="51">
        <v>0.88124999999999998</v>
      </c>
      <c r="Z20" s="51">
        <v>0.1986111111111111</v>
      </c>
      <c r="AA20" s="51">
        <v>0.61875000000000002</v>
      </c>
      <c r="AB20" s="51">
        <v>0.8652777777777777</v>
      </c>
      <c r="AC20" s="51">
        <v>0.10694444444444444</v>
      </c>
      <c r="AD20" s="51">
        <v>0.3833333333333333</v>
      </c>
      <c r="AE20" s="51">
        <v>0.62083333333333335</v>
      </c>
      <c r="AF20" s="51">
        <v>0.875</v>
      </c>
      <c r="AG20" s="51">
        <v>0.14652777777777778</v>
      </c>
      <c r="AH20" s="51">
        <v>0.38541666666666669</v>
      </c>
      <c r="AI20" s="51">
        <v>0.63124999999999998</v>
      </c>
      <c r="AJ20" s="51">
        <v>0.89374999999999993</v>
      </c>
      <c r="AK20" s="51">
        <v>0.40277777777777773</v>
      </c>
      <c r="AL20" s="51">
        <v>0.67152777777777783</v>
      </c>
      <c r="AM20" s="51">
        <v>0.92638888888888893</v>
      </c>
      <c r="AN20" s="51">
        <v>0.24374999999999999</v>
      </c>
      <c r="AO20" s="51">
        <v>0.4770833333333333</v>
      </c>
      <c r="AP20" s="51">
        <v>0.69861111111111107</v>
      </c>
      <c r="AQ20" s="51">
        <v>0.14930555555555555</v>
      </c>
      <c r="AR20" s="51">
        <v>0.53611111111111109</v>
      </c>
      <c r="AS20" s="51">
        <v>0.79513888888888884</v>
      </c>
      <c r="AT20" s="51">
        <v>3.7499999999999999E-2</v>
      </c>
      <c r="AU20" s="51">
        <v>0.47361111111111115</v>
      </c>
      <c r="AV20" s="51">
        <v>0.69374999999999998</v>
      </c>
      <c r="AW20" s="51">
        <v>0.93194444444444446</v>
      </c>
      <c r="AX20" s="51">
        <v>0.17430555555555557</v>
      </c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52"/>
    </row>
    <row r="21" spans="1:78" x14ac:dyDescent="0.35">
      <c r="A21" s="53" t="s">
        <v>28</v>
      </c>
      <c r="B21" s="54"/>
      <c r="C21" s="55">
        <v>0.12986111111111112</v>
      </c>
      <c r="D21" s="54">
        <v>0.67083333333333339</v>
      </c>
      <c r="E21" s="54">
        <v>0.97013888888888899</v>
      </c>
      <c r="F21" s="54">
        <v>0.28055555555555556</v>
      </c>
      <c r="G21" s="54">
        <v>0.69513888888888886</v>
      </c>
      <c r="H21" s="54">
        <v>0.96805555555555556</v>
      </c>
      <c r="I21" s="54">
        <v>0.30763888888888891</v>
      </c>
      <c r="J21" s="54">
        <v>0.6333333333333333</v>
      </c>
      <c r="K21" s="54">
        <v>0.9277777777777777</v>
      </c>
      <c r="L21" s="54">
        <v>43296.257638888892</v>
      </c>
      <c r="M21" s="54">
        <v>0.54513888888888895</v>
      </c>
      <c r="N21" s="54">
        <v>0.8041666666666667</v>
      </c>
      <c r="O21" s="54">
        <v>9.7916666666666666E-2</v>
      </c>
      <c r="P21" s="54">
        <v>0.36041666666666666</v>
      </c>
      <c r="Q21" s="54">
        <v>0.6333333333333333</v>
      </c>
      <c r="R21" s="54">
        <v>0.9902777777777777</v>
      </c>
      <c r="S21" s="54">
        <v>0.25138888888888888</v>
      </c>
      <c r="T21" s="54">
        <v>0.56458333333333333</v>
      </c>
      <c r="U21" s="54">
        <v>0.80833333333333324</v>
      </c>
      <c r="V21" s="54">
        <v>0.15069444444444444</v>
      </c>
      <c r="W21" s="54">
        <v>0.45694444444444443</v>
      </c>
      <c r="X21" s="54">
        <v>0.7319444444444444</v>
      </c>
      <c r="Y21" s="54">
        <v>5.1388888888888894E-2</v>
      </c>
      <c r="Z21" s="54">
        <v>0.31944444444444448</v>
      </c>
      <c r="AA21" s="54">
        <v>0.7402777777777777</v>
      </c>
      <c r="AB21" s="54">
        <v>0.9868055555555556</v>
      </c>
      <c r="AC21" s="54">
        <v>0.22847222222222222</v>
      </c>
      <c r="AD21" s="54">
        <v>0.50347222222222221</v>
      </c>
      <c r="AE21" s="54">
        <v>0.74791666666666667</v>
      </c>
      <c r="AF21" s="54">
        <v>1.7361111111111112E-2</v>
      </c>
      <c r="AG21" s="54">
        <v>0.26805555555555555</v>
      </c>
      <c r="AH21" s="54">
        <v>0.50972222222222219</v>
      </c>
      <c r="AI21" s="54">
        <v>0.75208333333333333</v>
      </c>
      <c r="AJ21" s="54">
        <v>1.5277777777777777E-2</v>
      </c>
      <c r="AK21" s="54">
        <v>0.52916666666666667</v>
      </c>
      <c r="AL21" s="54">
        <v>0.79166666666666663</v>
      </c>
      <c r="AM21" s="54">
        <v>4.7222222222222221E-2</v>
      </c>
      <c r="AN21" s="54">
        <v>0.3659722222222222</v>
      </c>
      <c r="AO21" s="54">
        <v>0.60277777777777775</v>
      </c>
      <c r="AP21" s="54">
        <v>0.82152777777777775</v>
      </c>
      <c r="AQ21" s="54">
        <v>0.29791666666666666</v>
      </c>
      <c r="AR21" s="54">
        <v>0.65763888888888888</v>
      </c>
      <c r="AS21" s="54">
        <v>0.9194444444444444</v>
      </c>
      <c r="AT21" s="54">
        <v>0.37152777777777773</v>
      </c>
      <c r="AU21" s="54">
        <v>0.59652777777777777</v>
      </c>
      <c r="AV21" s="54">
        <v>0.81805555555555554</v>
      </c>
      <c r="AW21" s="54">
        <v>5.4166666666666669E-2</v>
      </c>
      <c r="AX21" s="54">
        <v>0.2902777777777778</v>
      </c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2"/>
    </row>
    <row r="22" spans="1:78" ht="15" thickBot="1" x14ac:dyDescent="0.4">
      <c r="A22" s="56" t="s">
        <v>29</v>
      </c>
      <c r="B22" s="57">
        <f t="shared" ref="B22:B31" si="0">IF(C22="","",AVERAGE(C22:BY22))</f>
        <v>902.13417245370374</v>
      </c>
      <c r="C22" s="58">
        <v>0.13472222222222219</v>
      </c>
      <c r="D22" s="59">
        <v>0.20208333333333339</v>
      </c>
      <c r="E22" s="59">
        <v>0.12847222222222232</v>
      </c>
      <c r="F22" s="59">
        <v>0.13333333333333333</v>
      </c>
      <c r="G22" s="59">
        <v>0.12569444444444444</v>
      </c>
      <c r="H22" s="59">
        <v>0.12569444444444455</v>
      </c>
      <c r="I22" s="59">
        <v>0.2</v>
      </c>
      <c r="J22" s="59">
        <v>0.12638888888888888</v>
      </c>
      <c r="K22" s="59">
        <v>0.12361111111111101</v>
      </c>
      <c r="L22" s="59">
        <v>43296.125694444447</v>
      </c>
      <c r="M22" s="59">
        <v>0.12847222222222227</v>
      </c>
      <c r="N22" s="59">
        <v>0.12222222222222223</v>
      </c>
      <c r="O22" s="59">
        <v>0.14375000000000004</v>
      </c>
      <c r="P22" s="59">
        <v>0.12361111111111109</v>
      </c>
      <c r="Q22" s="59">
        <v>0.12152777777777779</v>
      </c>
      <c r="R22" s="59">
        <v>0.19166666666666654</v>
      </c>
      <c r="S22" s="59">
        <v>0.12013888888888888</v>
      </c>
      <c r="T22" s="59">
        <v>0.12430555555555556</v>
      </c>
      <c r="U22" s="59">
        <v>7.9861111111110938E-2</v>
      </c>
      <c r="V22" s="59">
        <v>0.12499999999999999</v>
      </c>
      <c r="W22" s="59">
        <v>0.12638888888888888</v>
      </c>
      <c r="X22" s="59">
        <v>0.12222222222222223</v>
      </c>
      <c r="Y22" s="59">
        <v>0.17013888888888895</v>
      </c>
      <c r="Z22" s="59">
        <v>0.12083333333333338</v>
      </c>
      <c r="AA22" s="59">
        <v>0.12152777777777768</v>
      </c>
      <c r="AB22" s="59">
        <v>0.1215277777777779</v>
      </c>
      <c r="AC22" s="59">
        <v>0.12152777777777778</v>
      </c>
      <c r="AD22" s="59">
        <v>0.12013888888888891</v>
      </c>
      <c r="AE22" s="59">
        <v>0.12708333333333333</v>
      </c>
      <c r="AF22" s="59">
        <v>0.14236111111111116</v>
      </c>
      <c r="AG22" s="59">
        <v>0.12152777777777776</v>
      </c>
      <c r="AH22" s="59">
        <v>0.1243055555555555</v>
      </c>
      <c r="AI22" s="59">
        <v>0.12083333333333335</v>
      </c>
      <c r="AJ22" s="59">
        <v>0.12152777777777779</v>
      </c>
      <c r="AK22" s="59">
        <v>0.12638888888888894</v>
      </c>
      <c r="AL22" s="59">
        <v>0.1201388888888888</v>
      </c>
      <c r="AM22" s="59">
        <v>0.12083333333333335</v>
      </c>
      <c r="AN22" s="59">
        <v>0.1222222222222222</v>
      </c>
      <c r="AO22" s="59">
        <v>0.12569444444444444</v>
      </c>
      <c r="AP22" s="59">
        <v>0.12291666666666667</v>
      </c>
      <c r="AQ22" s="59">
        <v>0.14861111111111111</v>
      </c>
      <c r="AR22" s="59">
        <v>0.12152777777777779</v>
      </c>
      <c r="AS22" s="59">
        <v>0.12430555555555556</v>
      </c>
      <c r="AT22" s="59">
        <v>0.33402777777777776</v>
      </c>
      <c r="AU22" s="59">
        <v>0.12291666666666662</v>
      </c>
      <c r="AV22" s="59">
        <v>0.12430555555555556</v>
      </c>
      <c r="AW22" s="59">
        <v>0.12222222222222223</v>
      </c>
      <c r="AX22" s="59">
        <v>0.11597222222222223</v>
      </c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2"/>
    </row>
    <row r="23" spans="1:78" x14ac:dyDescent="0.35">
      <c r="A23" s="60" t="s">
        <v>30</v>
      </c>
      <c r="B23" s="61">
        <f t="shared" si="0"/>
        <v>70.041354166666693</v>
      </c>
      <c r="C23" s="62">
        <v>69.8</v>
      </c>
      <c r="D23" s="63">
        <v>69.5</v>
      </c>
      <c r="E23" s="63">
        <v>68.599999999999994</v>
      </c>
      <c r="F23" s="63">
        <v>70.400000000000006</v>
      </c>
      <c r="G23" s="63">
        <v>70.2</v>
      </c>
      <c r="H23" s="63">
        <v>70</v>
      </c>
      <c r="I23" s="63">
        <v>68.900000000000006</v>
      </c>
      <c r="J23" s="63">
        <v>70.3</v>
      </c>
      <c r="K23" s="63">
        <v>70.2</v>
      </c>
      <c r="L23" s="63">
        <v>70.7</v>
      </c>
      <c r="M23" s="63">
        <v>68.8</v>
      </c>
      <c r="N23" s="63">
        <v>70.3</v>
      </c>
      <c r="O23" s="63">
        <v>70.2</v>
      </c>
      <c r="P23" s="63">
        <v>70.099999999999994</v>
      </c>
      <c r="Q23" s="63">
        <v>70</v>
      </c>
      <c r="R23" s="63">
        <v>70.400000000000006</v>
      </c>
      <c r="S23" s="63">
        <v>70</v>
      </c>
      <c r="T23" s="63">
        <v>70.099999999999994</v>
      </c>
      <c r="U23" s="63">
        <v>70.17</v>
      </c>
      <c r="V23" s="63">
        <v>70.16</v>
      </c>
      <c r="W23" s="63">
        <v>69.900000000000006</v>
      </c>
      <c r="X23" s="63">
        <v>69.8</v>
      </c>
      <c r="Y23" s="63">
        <v>69.759999999999991</v>
      </c>
      <c r="Z23" s="63">
        <v>70.099999999999994</v>
      </c>
      <c r="AA23" s="63">
        <v>70.45</v>
      </c>
      <c r="AB23" s="63">
        <v>70.23</v>
      </c>
      <c r="AC23" s="63">
        <v>70.5</v>
      </c>
      <c r="AD23" s="63">
        <v>70.2</v>
      </c>
      <c r="AE23" s="63">
        <v>69.405000000000001</v>
      </c>
      <c r="AF23" s="63">
        <v>70.39</v>
      </c>
      <c r="AG23" s="63">
        <v>70.400000000000006</v>
      </c>
      <c r="AH23" s="63">
        <v>69.8</v>
      </c>
      <c r="AI23" s="63">
        <v>69.55</v>
      </c>
      <c r="AJ23" s="63">
        <v>70.23</v>
      </c>
      <c r="AK23" s="63">
        <v>70</v>
      </c>
      <c r="AL23" s="63">
        <v>70.08</v>
      </c>
      <c r="AM23" s="63">
        <v>70.260000000000005</v>
      </c>
      <c r="AN23" s="63">
        <v>70.8</v>
      </c>
      <c r="AO23" s="63">
        <v>70.2</v>
      </c>
      <c r="AP23" s="63">
        <v>69.86</v>
      </c>
      <c r="AQ23" s="63">
        <v>70.3</v>
      </c>
      <c r="AR23" s="63">
        <v>70.099999999999994</v>
      </c>
      <c r="AS23" s="63">
        <v>70.449999999999989</v>
      </c>
      <c r="AT23" s="63">
        <v>70.400000000000006</v>
      </c>
      <c r="AU23" s="63">
        <v>70.2</v>
      </c>
      <c r="AV23" s="63">
        <v>69.8</v>
      </c>
      <c r="AW23" s="63">
        <v>69.69</v>
      </c>
      <c r="AX23" s="63">
        <v>70.3</v>
      </c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4"/>
    </row>
    <row r="24" spans="1:78" x14ac:dyDescent="0.35">
      <c r="A24" s="65" t="s">
        <v>31</v>
      </c>
      <c r="B24" s="66">
        <f t="shared" si="0"/>
        <v>11079.885416666666</v>
      </c>
      <c r="C24" s="67">
        <v>10805</v>
      </c>
      <c r="D24" s="68">
        <v>10897</v>
      </c>
      <c r="E24" s="68">
        <v>10974</v>
      </c>
      <c r="F24" s="68">
        <v>10610</v>
      </c>
      <c r="G24" s="68">
        <v>10898</v>
      </c>
      <c r="H24" s="68">
        <v>11090</v>
      </c>
      <c r="I24" s="68">
        <v>11006</v>
      </c>
      <c r="J24" s="68">
        <v>11148</v>
      </c>
      <c r="K24" s="68">
        <v>11175</v>
      </c>
      <c r="L24" s="68">
        <v>10960</v>
      </c>
      <c r="M24" s="68">
        <v>11239</v>
      </c>
      <c r="N24" s="68">
        <v>11193</v>
      </c>
      <c r="O24" s="68">
        <v>10993</v>
      </c>
      <c r="P24" s="68">
        <v>11272</v>
      </c>
      <c r="Q24" s="68">
        <v>11366</v>
      </c>
      <c r="R24" s="68">
        <v>11074</v>
      </c>
      <c r="S24" s="68">
        <v>11242</v>
      </c>
      <c r="T24" s="68">
        <v>11348</v>
      </c>
      <c r="U24" s="68">
        <v>11499</v>
      </c>
      <c r="V24" s="68">
        <v>11262</v>
      </c>
      <c r="W24" s="68">
        <v>10909</v>
      </c>
      <c r="X24" s="68">
        <v>11241</v>
      </c>
      <c r="Y24" s="68">
        <v>11417</v>
      </c>
      <c r="Z24" s="68">
        <v>11383</v>
      </c>
      <c r="AA24" s="68">
        <v>11336</v>
      </c>
      <c r="AB24" s="68">
        <v>11584</v>
      </c>
      <c r="AC24" s="68">
        <v>11250</v>
      </c>
      <c r="AD24" s="68">
        <v>11529</v>
      </c>
      <c r="AE24" s="68">
        <v>11498.5</v>
      </c>
      <c r="AF24" s="68">
        <v>11350</v>
      </c>
      <c r="AG24" s="68">
        <v>11131</v>
      </c>
      <c r="AH24" s="68">
        <v>11130</v>
      </c>
      <c r="AI24" s="68">
        <v>10896</v>
      </c>
      <c r="AJ24" s="68">
        <v>11040</v>
      </c>
      <c r="AK24" s="68">
        <v>11304</v>
      </c>
      <c r="AL24" s="68">
        <v>11238</v>
      </c>
      <c r="AM24" s="68">
        <v>11154</v>
      </c>
      <c r="AN24" s="68">
        <v>11175</v>
      </c>
      <c r="AO24" s="68">
        <v>10891</v>
      </c>
      <c r="AP24" s="68">
        <v>10737</v>
      </c>
      <c r="AQ24" s="68">
        <v>10342</v>
      </c>
      <c r="AR24" s="68">
        <v>10735</v>
      </c>
      <c r="AS24" s="68">
        <v>10701</v>
      </c>
      <c r="AT24" s="68">
        <v>11294</v>
      </c>
      <c r="AU24" s="68">
        <v>10376</v>
      </c>
      <c r="AV24" s="68">
        <v>10717</v>
      </c>
      <c r="AW24" s="68">
        <v>10698</v>
      </c>
      <c r="AX24" s="68">
        <v>10727</v>
      </c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8"/>
      <c r="BY24" s="68"/>
      <c r="BZ24" s="69"/>
    </row>
    <row r="25" spans="1:78" x14ac:dyDescent="0.35">
      <c r="A25" s="70" t="s">
        <v>32</v>
      </c>
      <c r="B25" s="71">
        <f t="shared" si="0"/>
        <v>71.248750000000001</v>
      </c>
      <c r="C25" s="72">
        <v>73.3</v>
      </c>
      <c r="D25" s="73">
        <v>70.3</v>
      </c>
      <c r="E25" s="73">
        <v>70.5</v>
      </c>
      <c r="F25" s="73">
        <v>71.3</v>
      </c>
      <c r="G25" s="73">
        <v>70.8</v>
      </c>
      <c r="H25" s="73">
        <v>70.7</v>
      </c>
      <c r="I25" s="73">
        <v>70.2</v>
      </c>
      <c r="J25" s="73">
        <v>70.900000000000006</v>
      </c>
      <c r="K25" s="73">
        <v>71.400000000000006</v>
      </c>
      <c r="L25" s="73">
        <v>71.8</v>
      </c>
      <c r="M25" s="73">
        <v>70.8</v>
      </c>
      <c r="N25" s="73">
        <v>71.7</v>
      </c>
      <c r="O25" s="73">
        <v>71.099999999999994</v>
      </c>
      <c r="P25" s="73">
        <v>70.599999999999994</v>
      </c>
      <c r="Q25" s="73">
        <v>70.400000000000006</v>
      </c>
      <c r="R25" s="73">
        <v>71.3</v>
      </c>
      <c r="S25" s="73">
        <v>71.3</v>
      </c>
      <c r="T25" s="73">
        <v>70.900000000000006</v>
      </c>
      <c r="U25" s="73">
        <v>71.849999999999994</v>
      </c>
      <c r="V25" s="73">
        <v>71.45</v>
      </c>
      <c r="W25" s="73">
        <v>70.599999999999994</v>
      </c>
      <c r="X25" s="73">
        <v>70.39</v>
      </c>
      <c r="Y25" s="73">
        <v>70.83</v>
      </c>
      <c r="Z25" s="73">
        <v>70.900000000000006</v>
      </c>
      <c r="AA25" s="73">
        <v>72.7</v>
      </c>
      <c r="AB25" s="73">
        <v>71.290000000000006</v>
      </c>
      <c r="AC25" s="73">
        <v>71.599999999999994</v>
      </c>
      <c r="AD25" s="73">
        <v>70.900000000000006</v>
      </c>
      <c r="AE25" s="73">
        <v>72.12</v>
      </c>
      <c r="AF25" s="73">
        <v>71.55</v>
      </c>
      <c r="AG25" s="73">
        <v>71.3</v>
      </c>
      <c r="AH25" s="73">
        <v>71.3</v>
      </c>
      <c r="AI25" s="73">
        <v>71.53</v>
      </c>
      <c r="AJ25" s="73">
        <v>72.290000000000006</v>
      </c>
      <c r="AK25" s="73">
        <v>71</v>
      </c>
      <c r="AL25" s="73">
        <v>71.680000000000007</v>
      </c>
      <c r="AM25" s="73">
        <v>71.099999999999994</v>
      </c>
      <c r="AN25" s="73">
        <v>73</v>
      </c>
      <c r="AO25" s="73">
        <v>71.599999999999994</v>
      </c>
      <c r="AP25" s="73">
        <v>71.3</v>
      </c>
      <c r="AQ25" s="73">
        <v>70.900000000000006</v>
      </c>
      <c r="AR25" s="73">
        <v>72</v>
      </c>
      <c r="AS25" s="73">
        <v>71.06</v>
      </c>
      <c r="AT25" s="73">
        <v>70.900000000000006</v>
      </c>
      <c r="AU25" s="73">
        <v>70.7</v>
      </c>
      <c r="AV25" s="73">
        <v>71.099999999999994</v>
      </c>
      <c r="AW25" s="73">
        <v>70.7</v>
      </c>
      <c r="AX25" s="73">
        <v>71</v>
      </c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64"/>
    </row>
    <row r="26" spans="1:78" ht="15" thickBot="1" x14ac:dyDescent="0.4">
      <c r="A26" s="74" t="s">
        <v>33</v>
      </c>
      <c r="B26" s="75">
        <f t="shared" si="0"/>
        <v>11807.5</v>
      </c>
      <c r="C26" s="76">
        <v>11600</v>
      </c>
      <c r="D26" s="77">
        <v>11740</v>
      </c>
      <c r="E26" s="77">
        <v>10560</v>
      </c>
      <c r="F26" s="77">
        <v>11610</v>
      </c>
      <c r="G26" s="77">
        <v>11650</v>
      </c>
      <c r="H26" s="77">
        <v>11610</v>
      </c>
      <c r="I26" s="77">
        <v>12060</v>
      </c>
      <c r="J26" s="77">
        <v>12180</v>
      </c>
      <c r="K26" s="77">
        <v>11760</v>
      </c>
      <c r="L26" s="77">
        <v>11660</v>
      </c>
      <c r="M26" s="77">
        <v>12140</v>
      </c>
      <c r="N26" s="77">
        <v>11780</v>
      </c>
      <c r="O26" s="77">
        <v>11650</v>
      </c>
      <c r="P26" s="77">
        <v>11830</v>
      </c>
      <c r="Q26" s="77">
        <v>11830</v>
      </c>
      <c r="R26" s="77">
        <v>11810</v>
      </c>
      <c r="S26" s="77">
        <v>11780</v>
      </c>
      <c r="T26" s="77">
        <v>11970</v>
      </c>
      <c r="U26" s="77">
        <v>11770</v>
      </c>
      <c r="V26" s="77">
        <v>11960</v>
      </c>
      <c r="W26" s="77">
        <v>12150</v>
      </c>
      <c r="X26" s="77">
        <v>11740</v>
      </c>
      <c r="Y26" s="77">
        <v>11710</v>
      </c>
      <c r="Z26" s="77">
        <v>11820</v>
      </c>
      <c r="AA26" s="77">
        <v>11940</v>
      </c>
      <c r="AB26" s="77">
        <v>11860</v>
      </c>
      <c r="AC26" s="77">
        <v>11840</v>
      </c>
      <c r="AD26" s="77">
        <v>11980</v>
      </c>
      <c r="AE26" s="77">
        <v>12030</v>
      </c>
      <c r="AF26" s="77">
        <v>11890</v>
      </c>
      <c r="AG26" s="77">
        <v>11860</v>
      </c>
      <c r="AH26" s="77">
        <v>11910</v>
      </c>
      <c r="AI26" s="77">
        <v>11580</v>
      </c>
      <c r="AJ26" s="77">
        <v>11870</v>
      </c>
      <c r="AK26" s="77">
        <v>11980</v>
      </c>
      <c r="AL26" s="77">
        <v>12070</v>
      </c>
      <c r="AM26" s="77">
        <v>11810</v>
      </c>
      <c r="AN26" s="77">
        <v>12050</v>
      </c>
      <c r="AO26" s="77">
        <v>12040</v>
      </c>
      <c r="AP26" s="77">
        <v>12010</v>
      </c>
      <c r="AQ26" s="77">
        <v>11680</v>
      </c>
      <c r="AR26" s="77">
        <v>11080</v>
      </c>
      <c r="AS26" s="77">
        <v>11960</v>
      </c>
      <c r="AT26" s="77">
        <v>11640</v>
      </c>
      <c r="AU26" s="77">
        <v>11830</v>
      </c>
      <c r="AV26" s="77">
        <v>11880</v>
      </c>
      <c r="AW26" s="77">
        <v>11900</v>
      </c>
      <c r="AX26" s="77">
        <v>11700</v>
      </c>
      <c r="AY26" s="77"/>
      <c r="AZ26" s="77"/>
      <c r="BA26" s="77"/>
      <c r="BB26" s="77"/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77"/>
      <c r="BX26" s="77"/>
      <c r="BY26" s="77"/>
      <c r="BZ26" s="64"/>
    </row>
    <row r="27" spans="1:78" x14ac:dyDescent="0.35">
      <c r="A27" s="78" t="s">
        <v>34</v>
      </c>
      <c r="B27" s="79">
        <f t="shared" si="0"/>
        <v>5982.916666666667</v>
      </c>
      <c r="C27" s="80">
        <v>5710</v>
      </c>
      <c r="D27" s="81">
        <v>5890</v>
      </c>
      <c r="E27" s="81">
        <v>5810</v>
      </c>
      <c r="F27" s="81">
        <v>5890</v>
      </c>
      <c r="G27" s="81">
        <v>5870</v>
      </c>
      <c r="H27" s="81">
        <v>6020</v>
      </c>
      <c r="I27" s="81">
        <v>6100</v>
      </c>
      <c r="J27" s="81">
        <v>6060</v>
      </c>
      <c r="K27" s="81">
        <v>6130</v>
      </c>
      <c r="L27" s="81">
        <v>6050</v>
      </c>
      <c r="M27" s="81">
        <v>6090</v>
      </c>
      <c r="N27" s="81">
        <v>6120</v>
      </c>
      <c r="O27" s="81">
        <v>6140</v>
      </c>
      <c r="P27" s="81">
        <v>6080</v>
      </c>
      <c r="Q27" s="81">
        <v>6020</v>
      </c>
      <c r="R27" s="81">
        <v>6140</v>
      </c>
      <c r="S27" s="81">
        <v>6080</v>
      </c>
      <c r="T27" s="81">
        <v>5980</v>
      </c>
      <c r="U27" s="81">
        <v>6010</v>
      </c>
      <c r="V27" s="81">
        <v>5980</v>
      </c>
      <c r="W27" s="81">
        <v>5990</v>
      </c>
      <c r="X27" s="81">
        <v>6010</v>
      </c>
      <c r="Y27" s="81">
        <v>5870</v>
      </c>
      <c r="Z27" s="81">
        <v>6050</v>
      </c>
      <c r="AA27" s="81">
        <v>6050</v>
      </c>
      <c r="AB27" s="81">
        <v>5880</v>
      </c>
      <c r="AC27" s="81">
        <v>5890</v>
      </c>
      <c r="AD27" s="81">
        <v>5910</v>
      </c>
      <c r="AE27" s="81">
        <v>5940</v>
      </c>
      <c r="AF27" s="81">
        <v>5880</v>
      </c>
      <c r="AG27" s="81">
        <v>5860</v>
      </c>
      <c r="AH27" s="81">
        <v>5940</v>
      </c>
      <c r="AI27" s="81">
        <v>5990</v>
      </c>
      <c r="AJ27" s="81">
        <v>6020</v>
      </c>
      <c r="AK27" s="81">
        <v>6080</v>
      </c>
      <c r="AL27" s="81">
        <v>6050</v>
      </c>
      <c r="AM27" s="81">
        <v>6020</v>
      </c>
      <c r="AN27" s="81">
        <v>6200</v>
      </c>
      <c r="AO27" s="81">
        <v>6010</v>
      </c>
      <c r="AP27" s="81">
        <v>6020</v>
      </c>
      <c r="AQ27" s="81">
        <v>5900</v>
      </c>
      <c r="AR27" s="81">
        <v>5980</v>
      </c>
      <c r="AS27" s="81">
        <v>5930</v>
      </c>
      <c r="AT27" s="81">
        <v>5950</v>
      </c>
      <c r="AU27" s="81">
        <v>5880</v>
      </c>
      <c r="AV27" s="81">
        <v>5920</v>
      </c>
      <c r="AW27" s="81">
        <v>5860</v>
      </c>
      <c r="AX27" s="81">
        <v>5930</v>
      </c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64"/>
    </row>
    <row r="28" spans="1:78" x14ac:dyDescent="0.35">
      <c r="A28" s="82" t="s">
        <v>35</v>
      </c>
      <c r="B28" s="83">
        <f t="shared" si="0"/>
        <v>0.92355031414971356</v>
      </c>
      <c r="C28" s="84">
        <v>0.90359419066791891</v>
      </c>
      <c r="D28" s="84">
        <v>0.9181682814131964</v>
      </c>
      <c r="E28" s="84">
        <v>0.91158072037532623</v>
      </c>
      <c r="F28" s="84">
        <v>0.91818825115781144</v>
      </c>
      <c r="G28" s="84">
        <v>0.91654129308936383</v>
      </c>
      <c r="H28" s="84">
        <v>0.92879552351391403</v>
      </c>
      <c r="I28" s="84">
        <v>0.93526630400368749</v>
      </c>
      <c r="J28" s="84">
        <v>0.93180961675334073</v>
      </c>
      <c r="K28" s="84">
        <v>0.93739949023106217</v>
      </c>
      <c r="L28" s="84">
        <v>0.93071245334512109</v>
      </c>
      <c r="M28" s="84">
        <v>0.93384970773480669</v>
      </c>
      <c r="N28" s="84">
        <v>0.93616728621165801</v>
      </c>
      <c r="O28" s="84">
        <v>0.93769913862114296</v>
      </c>
      <c r="P28" s="84">
        <v>0.93263333764458456</v>
      </c>
      <c r="Q28" s="84">
        <v>0.92755810134686767</v>
      </c>
      <c r="R28" s="84">
        <v>0.93728902429840555</v>
      </c>
      <c r="S28" s="84">
        <v>0.93228890658719987</v>
      </c>
      <c r="T28" s="84">
        <v>0.92394657589150153</v>
      </c>
      <c r="U28" s="84">
        <v>0.92623471039642946</v>
      </c>
      <c r="V28" s="84">
        <v>0.92363259556687416</v>
      </c>
      <c r="W28" s="84">
        <v>0.92433595646811861</v>
      </c>
      <c r="X28" s="84">
        <v>0.92585474361955045</v>
      </c>
      <c r="Y28" s="84">
        <v>0.91420412319177868</v>
      </c>
      <c r="Z28" s="84">
        <v>0.92885758422777542</v>
      </c>
      <c r="AA28" s="84">
        <v>0.92871141558082004</v>
      </c>
      <c r="AB28" s="84">
        <v>0.91465665566291909</v>
      </c>
      <c r="AC28" s="84">
        <v>0.91536891448430557</v>
      </c>
      <c r="AD28" s="84">
        <v>0.91690332944700914</v>
      </c>
      <c r="AE28" s="84">
        <v>0.91927532597039119</v>
      </c>
      <c r="AF28" s="84">
        <v>0.9143374960720132</v>
      </c>
      <c r="AG28" s="84">
        <v>0.91267336677686217</v>
      </c>
      <c r="AH28" s="84">
        <v>0.91912022311015118</v>
      </c>
      <c r="AI28" s="84">
        <v>0.92308254434993131</v>
      </c>
      <c r="AJ28" s="84">
        <v>0.92548390351987686</v>
      </c>
      <c r="AK28" s="84">
        <v>0.9303257407725708</v>
      </c>
      <c r="AL28" s="84">
        <v>0.927820032415417</v>
      </c>
      <c r="AM28" s="84">
        <v>0.92531083315892737</v>
      </c>
      <c r="AN28" s="84">
        <v>0.93986891872864864</v>
      </c>
      <c r="AO28" s="84">
        <v>0.92424037762842881</v>
      </c>
      <c r="AP28" s="84">
        <v>0.92500925727766659</v>
      </c>
      <c r="AQ28" s="84">
        <v>0.91513405364054479</v>
      </c>
      <c r="AR28" s="84">
        <v>0.92158950683475871</v>
      </c>
      <c r="AS28" s="84">
        <v>0.91742653321927603</v>
      </c>
      <c r="AT28" s="84">
        <v>0.91900823363709105</v>
      </c>
      <c r="AU28" s="84">
        <v>0.91324531956596278</v>
      </c>
      <c r="AV28" s="84">
        <v>0.91646780527149374</v>
      </c>
      <c r="AW28" s="84">
        <v>0.91153035201022048</v>
      </c>
      <c r="AX28" s="84">
        <v>0.91721702369353331</v>
      </c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  <c r="BS28" s="84"/>
      <c r="BT28" s="84"/>
      <c r="BU28" s="84"/>
      <c r="BV28" s="84"/>
      <c r="BW28" s="84"/>
      <c r="BX28" s="84"/>
      <c r="BY28" s="84"/>
      <c r="BZ28" s="64"/>
    </row>
    <row r="29" spans="1:78" x14ac:dyDescent="0.35">
      <c r="A29" s="85" t="s">
        <v>36</v>
      </c>
      <c r="B29" s="86">
        <f t="shared" si="0"/>
        <v>55</v>
      </c>
      <c r="C29" s="87">
        <v>55</v>
      </c>
      <c r="D29" s="88">
        <v>55</v>
      </c>
      <c r="E29" s="88">
        <v>55</v>
      </c>
      <c r="F29" s="88">
        <v>55</v>
      </c>
      <c r="G29" s="88">
        <v>55</v>
      </c>
      <c r="H29" s="88">
        <v>55</v>
      </c>
      <c r="I29" s="88">
        <v>55</v>
      </c>
      <c r="J29" s="88">
        <v>55</v>
      </c>
      <c r="K29" s="88">
        <v>55</v>
      </c>
      <c r="L29" s="88">
        <v>55</v>
      </c>
      <c r="M29" s="88">
        <v>55</v>
      </c>
      <c r="N29" s="88">
        <v>55</v>
      </c>
      <c r="O29" s="88">
        <v>55</v>
      </c>
      <c r="P29" s="88">
        <v>55</v>
      </c>
      <c r="Q29" s="88">
        <v>55</v>
      </c>
      <c r="R29" s="88">
        <v>55</v>
      </c>
      <c r="S29" s="88">
        <v>55</v>
      </c>
      <c r="T29" s="88">
        <v>55</v>
      </c>
      <c r="U29" s="88">
        <v>55</v>
      </c>
      <c r="V29" s="88">
        <v>55</v>
      </c>
      <c r="W29" s="88">
        <v>55</v>
      </c>
      <c r="X29" s="88">
        <v>55</v>
      </c>
      <c r="Y29" s="88">
        <v>55</v>
      </c>
      <c r="Z29" s="88">
        <v>55</v>
      </c>
      <c r="AA29" s="88">
        <v>55</v>
      </c>
      <c r="AB29" s="88">
        <v>55</v>
      </c>
      <c r="AC29" s="88">
        <v>55</v>
      </c>
      <c r="AD29" s="88">
        <v>55</v>
      </c>
      <c r="AE29" s="88">
        <v>55</v>
      </c>
      <c r="AF29" s="88">
        <v>55</v>
      </c>
      <c r="AG29" s="88">
        <v>55</v>
      </c>
      <c r="AH29" s="88">
        <v>55</v>
      </c>
      <c r="AI29" s="88">
        <v>55</v>
      </c>
      <c r="AJ29" s="88">
        <v>55</v>
      </c>
      <c r="AK29" s="88">
        <v>55</v>
      </c>
      <c r="AL29" s="88">
        <v>55</v>
      </c>
      <c r="AM29" s="88">
        <v>55</v>
      </c>
      <c r="AN29" s="88">
        <v>55</v>
      </c>
      <c r="AO29" s="88">
        <v>55</v>
      </c>
      <c r="AP29" s="88">
        <v>55</v>
      </c>
      <c r="AQ29" s="88">
        <v>55</v>
      </c>
      <c r="AR29" s="88">
        <v>55</v>
      </c>
      <c r="AS29" s="88">
        <v>55</v>
      </c>
      <c r="AT29" s="88">
        <v>55</v>
      </c>
      <c r="AU29" s="88">
        <v>55</v>
      </c>
      <c r="AV29" s="88">
        <v>55</v>
      </c>
      <c r="AW29" s="88">
        <v>55</v>
      </c>
      <c r="AX29" s="88">
        <v>55</v>
      </c>
      <c r="AY29" s="88"/>
      <c r="AZ29" s="88"/>
      <c r="BA29" s="88"/>
      <c r="BB29" s="88"/>
      <c r="BC29" s="88"/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88"/>
      <c r="BT29" s="88"/>
      <c r="BU29" s="88"/>
      <c r="BV29" s="88"/>
      <c r="BW29" s="88"/>
      <c r="BX29" s="88"/>
      <c r="BY29" s="88"/>
      <c r="BZ29" s="64"/>
    </row>
    <row r="30" spans="1:78" x14ac:dyDescent="0.35">
      <c r="A30" s="89" t="s">
        <v>37</v>
      </c>
      <c r="B30" s="90">
        <f t="shared" si="0"/>
        <v>19020.878192657266</v>
      </c>
      <c r="C30" s="91">
        <v>18485.024509803923</v>
      </c>
      <c r="D30" s="92">
        <v>18562.291666666668</v>
      </c>
      <c r="E30" s="92">
        <v>18451.382352941175</v>
      </c>
      <c r="F30" s="92">
        <v>18307.450980392161</v>
      </c>
      <c r="G30" s="92">
        <v>18750.970588235294</v>
      </c>
      <c r="H30" s="92">
        <v>19026.960784313727</v>
      </c>
      <c r="I30" s="92">
        <v>18586.112745098042</v>
      </c>
      <c r="J30" s="92">
        <v>19208.441176470591</v>
      </c>
      <c r="K30" s="92">
        <v>19227.573529411766</v>
      </c>
      <c r="L30" s="92">
        <v>18991.960784313727</v>
      </c>
      <c r="M30" s="92">
        <v>18952.039215686276</v>
      </c>
      <c r="N30" s="92">
        <v>19285.977941176472</v>
      </c>
      <c r="O30" s="92">
        <v>18914.426470588234</v>
      </c>
      <c r="P30" s="92">
        <v>19366.843137254902</v>
      </c>
      <c r="Q30" s="92">
        <v>19500.490196078434</v>
      </c>
      <c r="R30" s="92">
        <v>19108.078431372553</v>
      </c>
      <c r="S30" s="92">
        <v>19287.745098039217</v>
      </c>
      <c r="T30" s="92">
        <v>19497.421568627451</v>
      </c>
      <c r="U30" s="92">
        <v>19776.58897058824</v>
      </c>
      <c r="V30" s="92">
        <v>19366.223529411764</v>
      </c>
      <c r="W30" s="92">
        <v>18689.683823529416</v>
      </c>
      <c r="X30" s="92">
        <v>19230.926470588234</v>
      </c>
      <c r="Y30" s="92">
        <v>19520.831372549019</v>
      </c>
      <c r="Z30" s="92">
        <v>19557.556372549021</v>
      </c>
      <c r="AA30" s="92">
        <v>19574.049019607846</v>
      </c>
      <c r="AB30" s="92">
        <v>19939.811764705886</v>
      </c>
      <c r="AC30" s="92">
        <v>19439.338235294119</v>
      </c>
      <c r="AD30" s="92">
        <v>19836.661764705885</v>
      </c>
      <c r="AE30" s="92">
        <v>19560.132169117649</v>
      </c>
      <c r="AF30" s="92">
        <v>19581.531862745098</v>
      </c>
      <c r="AG30" s="92">
        <v>19206.431372549021</v>
      </c>
      <c r="AH30" s="92">
        <v>19041.029411764706</v>
      </c>
      <c r="AI30" s="92">
        <v>18573.941176470587</v>
      </c>
      <c r="AJ30" s="92">
        <v>19003.411764705885</v>
      </c>
      <c r="AK30" s="92">
        <v>19394.117647058825</v>
      </c>
      <c r="AL30" s="92">
        <v>19302.917647058825</v>
      </c>
      <c r="AM30" s="92">
        <v>19207.844117647062</v>
      </c>
      <c r="AN30" s="92">
        <v>19391.911764705885</v>
      </c>
      <c r="AO30" s="92">
        <v>18738.926470588238</v>
      </c>
      <c r="AP30" s="92">
        <v>18384.480882352942</v>
      </c>
      <c r="AQ30" s="92">
        <v>17819.671568627451</v>
      </c>
      <c r="AR30" s="92">
        <v>18444.203431372549</v>
      </c>
      <c r="AS30" s="92">
        <v>18477.584558823528</v>
      </c>
      <c r="AT30" s="92">
        <v>19487.686274509808</v>
      </c>
      <c r="AU30" s="92">
        <v>17852.823529411769</v>
      </c>
      <c r="AV30" s="92">
        <v>18334.475490196081</v>
      </c>
      <c r="AW30" s="92">
        <v>18273.127941176474</v>
      </c>
      <c r="AX30" s="92">
        <v>18483.041666666668</v>
      </c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64"/>
    </row>
    <row r="31" spans="1:78" ht="15" thickBot="1" x14ac:dyDescent="0.4">
      <c r="A31" s="93" t="s">
        <v>38</v>
      </c>
      <c r="B31" s="94" t="str">
        <f t="shared" si="0"/>
        <v/>
      </c>
      <c r="C31" s="95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7"/>
      <c r="BB31" s="97"/>
      <c r="BC31" s="97"/>
      <c r="BD31" s="97"/>
      <c r="BE31" s="97"/>
      <c r="BF31" s="97"/>
      <c r="BG31" s="97"/>
      <c r="BH31" s="97"/>
      <c r="BI31" s="97"/>
      <c r="BJ31" s="97"/>
      <c r="BK31" s="97"/>
      <c r="BL31" s="97"/>
      <c r="BM31" s="97"/>
      <c r="BN31" s="97"/>
      <c r="BO31" s="97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8"/>
    </row>
    <row r="32" spans="1:78" x14ac:dyDescent="0.35">
      <c r="A32" s="99" t="str">
        <f>IF('[10]Set Up'!E41=0,"",'[10]Set Up'!E41&amp;", bbl")</f>
        <v>15% HCl Acid, bbl</v>
      </c>
      <c r="B32" s="100">
        <f>IF(BZ32=0,"",AVERAGE(C32:BY32))</f>
        <v>18.721230158730162</v>
      </c>
      <c r="C32" s="101">
        <v>30.023809523809526</v>
      </c>
      <c r="D32" s="102">
        <v>29.142857142857142</v>
      </c>
      <c r="E32" s="102">
        <v>27.642857142857142</v>
      </c>
      <c r="F32" s="102">
        <v>29.785714285714285</v>
      </c>
      <c r="G32" s="102">
        <v>30.404761904761905</v>
      </c>
      <c r="H32" s="102">
        <v>28.833333333333332</v>
      </c>
      <c r="I32" s="102">
        <v>29.904761904761905</v>
      </c>
      <c r="J32" s="102">
        <v>30.214285714285715</v>
      </c>
      <c r="K32" s="102">
        <v>30.023809523809526</v>
      </c>
      <c r="L32" s="102">
        <v>29.142857142857142</v>
      </c>
      <c r="M32" s="102">
        <v>27.642857142857142</v>
      </c>
      <c r="N32" s="102">
        <v>28.30952380952381</v>
      </c>
      <c r="O32" s="102">
        <v>29.214285714285715</v>
      </c>
      <c r="P32" s="102">
        <v>28.714285714285715</v>
      </c>
      <c r="Q32" s="102">
        <v>13.19047619047619</v>
      </c>
      <c r="R32" s="102">
        <v>13.69047619047619</v>
      </c>
      <c r="S32" s="102">
        <v>14.19047619047619</v>
      </c>
      <c r="T32" s="102">
        <v>14.523809523809524</v>
      </c>
      <c r="U32" s="102">
        <v>14.761904761904763</v>
      </c>
      <c r="V32" s="102">
        <v>15.023809523809524</v>
      </c>
      <c r="W32" s="102">
        <v>15.071428571428571</v>
      </c>
      <c r="X32" s="102">
        <v>13.69047619047619</v>
      </c>
      <c r="Y32" s="102">
        <v>14.880952380952381</v>
      </c>
      <c r="Z32" s="102">
        <v>14.69047619047619</v>
      </c>
      <c r="AA32" s="102">
        <v>14.952380952380953</v>
      </c>
      <c r="AB32" s="102">
        <v>15.071428571428571</v>
      </c>
      <c r="AC32" s="102">
        <v>15.119047619047619</v>
      </c>
      <c r="AD32" s="102">
        <v>15.071428571428571</v>
      </c>
      <c r="AE32" s="102">
        <v>15.023809523809524</v>
      </c>
      <c r="AF32" s="102">
        <v>14.880952380952381</v>
      </c>
      <c r="AG32" s="102">
        <v>14.5</v>
      </c>
      <c r="AH32" s="102">
        <v>14.261904761904763</v>
      </c>
      <c r="AI32" s="102">
        <v>13.80952380952381</v>
      </c>
      <c r="AJ32" s="102">
        <v>13.30952380952381</v>
      </c>
      <c r="AK32" s="102">
        <v>15.761904761904763</v>
      </c>
      <c r="AL32" s="102">
        <v>14.5</v>
      </c>
      <c r="AM32" s="102">
        <v>13</v>
      </c>
      <c r="AN32" s="102">
        <v>12.119047619047619</v>
      </c>
      <c r="AO32" s="102">
        <v>12.880952380952381</v>
      </c>
      <c r="AP32" s="102">
        <v>13.452380952380953</v>
      </c>
      <c r="AQ32" s="102">
        <v>13.928571428571429</v>
      </c>
      <c r="AR32" s="102">
        <v>14.380952380952381</v>
      </c>
      <c r="AS32" s="102">
        <v>14.642857142857142</v>
      </c>
      <c r="AT32" s="102">
        <v>14.880952380952381</v>
      </c>
      <c r="AU32" s="102">
        <v>15.071428571428571</v>
      </c>
      <c r="AV32" s="102">
        <v>15.071428571428571</v>
      </c>
      <c r="AW32" s="102">
        <v>15.142857142857142</v>
      </c>
      <c r="AX32" s="102">
        <v>15.071428571428571</v>
      </c>
      <c r="AY32" s="102"/>
      <c r="AZ32" s="102"/>
      <c r="BA32" s="101"/>
      <c r="BB32" s="101"/>
      <c r="BC32" s="101"/>
      <c r="BD32" s="101"/>
      <c r="BE32" s="101"/>
      <c r="BF32" s="101"/>
      <c r="BG32" s="101"/>
      <c r="BH32" s="101"/>
      <c r="BI32" s="101"/>
      <c r="BJ32" s="101"/>
      <c r="BK32" s="101"/>
      <c r="BL32" s="101"/>
      <c r="BM32" s="101"/>
      <c r="BN32" s="101"/>
      <c r="BO32" s="101"/>
      <c r="BP32" s="101"/>
      <c r="BQ32" s="101"/>
      <c r="BR32" s="101"/>
      <c r="BS32" s="101"/>
      <c r="BT32" s="101"/>
      <c r="BU32" s="101"/>
      <c r="BV32" s="101"/>
      <c r="BW32" s="101"/>
      <c r="BX32" s="101"/>
      <c r="BY32" s="101"/>
      <c r="BZ32" s="103">
        <f t="shared" ref="BZ32:BZ58" si="1">SUM(C32:BY32)</f>
        <v>898.61904761904782</v>
      </c>
    </row>
    <row r="33" spans="1:78" x14ac:dyDescent="0.35">
      <c r="A33" s="104" t="str">
        <f>IF('[10]Set Up'!E42=0,"",'[10]Set Up'!E42&amp;", bbl")</f>
        <v>Slickwater, bbl</v>
      </c>
      <c r="B33" s="105">
        <f>IF(BZ33=0,"",AVERAGE(C33:BY33))</f>
        <v>10709.861666666666</v>
      </c>
      <c r="C33" s="106">
        <v>10864.400000000001</v>
      </c>
      <c r="D33" s="107">
        <v>11375.5</v>
      </c>
      <c r="E33" s="107">
        <v>10774.400000000001</v>
      </c>
      <c r="F33" s="107">
        <v>10800.300000000001</v>
      </c>
      <c r="G33" s="107">
        <v>10801.5</v>
      </c>
      <c r="H33" s="107">
        <v>10862.1</v>
      </c>
      <c r="I33" s="107">
        <v>10932.999999999998</v>
      </c>
      <c r="J33" s="107">
        <v>10810.64</v>
      </c>
      <c r="K33" s="107">
        <v>10763.9</v>
      </c>
      <c r="L33" s="107">
        <v>10894.100000000002</v>
      </c>
      <c r="M33" s="107">
        <v>10872.9</v>
      </c>
      <c r="N33" s="107">
        <v>10658.3</v>
      </c>
      <c r="O33" s="107">
        <v>10739.9</v>
      </c>
      <c r="P33" s="107">
        <v>10673.1</v>
      </c>
      <c r="Q33" s="107">
        <v>10509.199999999999</v>
      </c>
      <c r="R33" s="107">
        <v>11815.500000000002</v>
      </c>
      <c r="S33" s="107">
        <v>10587.719999999998</v>
      </c>
      <c r="T33" s="107">
        <v>10763.7</v>
      </c>
      <c r="U33" s="107">
        <v>10608.000000000002</v>
      </c>
      <c r="V33" s="107">
        <v>10802.499999999998</v>
      </c>
      <c r="W33" s="107">
        <v>10888.6</v>
      </c>
      <c r="X33" s="107">
        <v>10602.599999999999</v>
      </c>
      <c r="Y33" s="107">
        <v>10806.5</v>
      </c>
      <c r="Z33" s="107">
        <v>10502.6</v>
      </c>
      <c r="AA33" s="107">
        <v>10639.199999999999</v>
      </c>
      <c r="AB33" s="107">
        <v>10522.4</v>
      </c>
      <c r="AC33" s="107">
        <v>10610.599999999999</v>
      </c>
      <c r="AD33" s="107">
        <v>10480.800000000001</v>
      </c>
      <c r="AE33" s="107">
        <v>10763.7</v>
      </c>
      <c r="AF33" s="107">
        <v>10543.7</v>
      </c>
      <c r="AG33" s="107">
        <v>10687.599999999999</v>
      </c>
      <c r="AH33" s="107">
        <v>10545.099999999999</v>
      </c>
      <c r="AI33" s="107">
        <v>10508.5</v>
      </c>
      <c r="AJ33" s="107">
        <v>10525.699999999999</v>
      </c>
      <c r="AK33" s="107">
        <v>10761.8</v>
      </c>
      <c r="AL33" s="107">
        <v>10552.000000000002</v>
      </c>
      <c r="AM33" s="107">
        <v>10515.8</v>
      </c>
      <c r="AN33" s="107">
        <v>10463</v>
      </c>
      <c r="AO33" s="107">
        <v>10493</v>
      </c>
      <c r="AP33" s="107">
        <v>10723.900000000001</v>
      </c>
      <c r="AQ33" s="107">
        <v>10638.1</v>
      </c>
      <c r="AR33" s="107">
        <v>10631.5</v>
      </c>
      <c r="AS33" s="107">
        <v>10758.4</v>
      </c>
      <c r="AT33" s="107">
        <v>10586.7</v>
      </c>
      <c r="AU33" s="107">
        <v>10986</v>
      </c>
      <c r="AV33" s="107">
        <v>10624.300000000001</v>
      </c>
      <c r="AW33" s="107">
        <v>10620.6</v>
      </c>
      <c r="AX33" s="107">
        <v>10180</v>
      </c>
      <c r="AY33" s="107"/>
      <c r="AZ33" s="107"/>
      <c r="BA33" s="106"/>
      <c r="BB33" s="106"/>
      <c r="BC33" s="106"/>
      <c r="BD33" s="106"/>
      <c r="BE33" s="106"/>
      <c r="BF33" s="106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8">
        <f t="shared" si="1"/>
        <v>514073.36</v>
      </c>
    </row>
    <row r="34" spans="1:78" x14ac:dyDescent="0.35">
      <c r="A34" s="99" t="str">
        <f>IF('[10]Set Up'!E43=0,"",'[10]Set Up'!E43&amp;", bbl")</f>
        <v>Pump Down, bbl</v>
      </c>
      <c r="B34" s="109">
        <f>IF(BZ34=0,"",AVERAGE(C34:BY34))</f>
        <v>147.75</v>
      </c>
      <c r="C34" s="110">
        <v>286</v>
      </c>
      <c r="D34" s="111">
        <v>262</v>
      </c>
      <c r="E34" s="111">
        <v>260</v>
      </c>
      <c r="F34" s="111">
        <v>230</v>
      </c>
      <c r="G34" s="111">
        <v>216</v>
      </c>
      <c r="H34" s="111">
        <v>210</v>
      </c>
      <c r="I34" s="111">
        <v>260</v>
      </c>
      <c r="J34" s="111">
        <v>230</v>
      </c>
      <c r="K34" s="111">
        <v>212</v>
      </c>
      <c r="L34" s="111">
        <v>236</v>
      </c>
      <c r="M34" s="111">
        <v>190</v>
      </c>
      <c r="N34" s="111">
        <v>201</v>
      </c>
      <c r="O34" s="111">
        <v>171</v>
      </c>
      <c r="P34" s="111">
        <v>196</v>
      </c>
      <c r="Q34" s="111">
        <v>178</v>
      </c>
      <c r="R34" s="111">
        <v>176</v>
      </c>
      <c r="S34" s="111">
        <v>171</v>
      </c>
      <c r="T34" s="111">
        <v>159</v>
      </c>
      <c r="U34" s="111">
        <v>143</v>
      </c>
      <c r="V34" s="111">
        <v>140</v>
      </c>
      <c r="W34" s="111">
        <v>154</v>
      </c>
      <c r="X34" s="111">
        <v>140</v>
      </c>
      <c r="Y34" s="111">
        <v>140</v>
      </c>
      <c r="Z34" s="111">
        <v>129</v>
      </c>
      <c r="AA34" s="111">
        <v>126</v>
      </c>
      <c r="AB34" s="111">
        <v>111</v>
      </c>
      <c r="AC34" s="111">
        <v>105</v>
      </c>
      <c r="AD34" s="111">
        <v>107</v>
      </c>
      <c r="AE34" s="111">
        <v>101.5</v>
      </c>
      <c r="AF34" s="111">
        <v>101</v>
      </c>
      <c r="AG34" s="111">
        <v>90</v>
      </c>
      <c r="AH34" s="111">
        <v>83</v>
      </c>
      <c r="AI34" s="111">
        <v>83</v>
      </c>
      <c r="AJ34" s="111">
        <v>972</v>
      </c>
      <c r="AK34" s="111">
        <v>69</v>
      </c>
      <c r="AL34" s="111">
        <v>62</v>
      </c>
      <c r="AM34" s="111">
        <v>63</v>
      </c>
      <c r="AN34" s="111">
        <v>53</v>
      </c>
      <c r="AO34" s="111">
        <v>49</v>
      </c>
      <c r="AP34" s="111">
        <v>44</v>
      </c>
      <c r="AQ34" s="111">
        <v>45</v>
      </c>
      <c r="AR34" s="111">
        <v>37</v>
      </c>
      <c r="AS34" s="111">
        <v>33</v>
      </c>
      <c r="AT34" s="111">
        <v>28</v>
      </c>
      <c r="AU34" s="111">
        <v>17</v>
      </c>
      <c r="AV34" s="111">
        <v>14</v>
      </c>
      <c r="AW34" s="111">
        <v>8.5</v>
      </c>
      <c r="AX34" s="111">
        <v>0</v>
      </c>
      <c r="AY34" s="111"/>
      <c r="AZ34" s="111"/>
      <c r="BA34" s="111"/>
      <c r="BB34" s="111"/>
      <c r="BC34" s="111"/>
      <c r="BD34" s="111"/>
      <c r="BE34" s="111"/>
      <c r="BF34" s="111"/>
      <c r="BG34" s="111"/>
      <c r="BH34" s="111"/>
      <c r="BI34" s="111"/>
      <c r="BJ34" s="111"/>
      <c r="BK34" s="111"/>
      <c r="BL34" s="111"/>
      <c r="BM34" s="111"/>
      <c r="BN34" s="111"/>
      <c r="BO34" s="111"/>
      <c r="BP34" s="111"/>
      <c r="BQ34" s="111"/>
      <c r="BR34" s="111"/>
      <c r="BS34" s="111"/>
      <c r="BT34" s="111"/>
      <c r="BU34" s="111"/>
      <c r="BV34" s="111"/>
      <c r="BW34" s="111"/>
      <c r="BX34" s="111"/>
      <c r="BY34" s="111"/>
      <c r="BZ34" s="109">
        <f t="shared" si="1"/>
        <v>7092</v>
      </c>
    </row>
    <row r="35" spans="1:78" x14ac:dyDescent="0.35">
      <c r="A35" s="104" t="str">
        <f>IF('[10]Set Up'!E44=0,"",'[10]Set Up'!E44&amp;", bbl")</f>
        <v/>
      </c>
      <c r="B35" s="105" t="str">
        <f>IF(BZ35=0,"",AVERAGE(C35:BY35))</f>
        <v/>
      </c>
      <c r="C35" s="106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  <c r="AU35" s="107">
        <v>0</v>
      </c>
      <c r="AV35" s="107">
        <v>0</v>
      </c>
      <c r="AW35" s="107">
        <v>0</v>
      </c>
      <c r="AX35" s="107">
        <v>0</v>
      </c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5">
        <f t="shared" si="1"/>
        <v>0</v>
      </c>
    </row>
    <row r="36" spans="1:78" ht="15" thickBot="1" x14ac:dyDescent="0.4">
      <c r="A36" s="112" t="s">
        <v>39</v>
      </c>
      <c r="B36" s="113">
        <f>IF(BZ36=0,"",AVERAGE(C36:BY36))</f>
        <v>10876.332896825395</v>
      </c>
      <c r="C36" s="114">
        <v>11180.423809523811</v>
      </c>
      <c r="D36" s="115">
        <v>11666.642857142857</v>
      </c>
      <c r="E36" s="115">
        <v>11062.042857142858</v>
      </c>
      <c r="F36" s="115">
        <v>11060.085714285715</v>
      </c>
      <c r="G36" s="115">
        <v>11047.904761904761</v>
      </c>
      <c r="H36" s="115">
        <v>11100.933333333334</v>
      </c>
      <c r="I36" s="115">
        <v>11222.90476190476</v>
      </c>
      <c r="J36" s="115">
        <v>11070.854285714286</v>
      </c>
      <c r="K36" s="115">
        <v>11005.923809523809</v>
      </c>
      <c r="L36" s="115">
        <v>11159.242857142859</v>
      </c>
      <c r="M36" s="115">
        <v>11090.542857142857</v>
      </c>
      <c r="N36" s="115">
        <v>10887.609523809522</v>
      </c>
      <c r="O36" s="115">
        <v>10940.114285714286</v>
      </c>
      <c r="P36" s="115">
        <v>10897.814285714287</v>
      </c>
      <c r="Q36" s="115">
        <v>10700.390476190476</v>
      </c>
      <c r="R36" s="115">
        <v>12005.190476190479</v>
      </c>
      <c r="S36" s="115">
        <v>10772.910476190475</v>
      </c>
      <c r="T36" s="115">
        <v>10937.22380952381</v>
      </c>
      <c r="U36" s="115">
        <v>10765.761904761906</v>
      </c>
      <c r="V36" s="115">
        <v>10957.523809523807</v>
      </c>
      <c r="W36" s="115">
        <v>11057.67142857143</v>
      </c>
      <c r="X36" s="115">
        <v>10756.290476190476</v>
      </c>
      <c r="Y36" s="115">
        <v>10961.380952380952</v>
      </c>
      <c r="Z36" s="115">
        <v>10646.290476190477</v>
      </c>
      <c r="AA36" s="115">
        <v>10780.152380952381</v>
      </c>
      <c r="AB36" s="115">
        <v>10648.471428571429</v>
      </c>
      <c r="AC36" s="115">
        <v>10730.719047619046</v>
      </c>
      <c r="AD36" s="115">
        <v>10602.87142857143</v>
      </c>
      <c r="AE36" s="115">
        <v>10880.22380952381</v>
      </c>
      <c r="AF36" s="115">
        <v>10659.580952380953</v>
      </c>
      <c r="AG36" s="115">
        <v>10792.099999999999</v>
      </c>
      <c r="AH36" s="115">
        <v>10642.361904761903</v>
      </c>
      <c r="AI36" s="115">
        <v>10605.309523809523</v>
      </c>
      <c r="AJ36" s="115">
        <v>11511.009523809522</v>
      </c>
      <c r="AK36" s="115">
        <v>10846.561904761904</v>
      </c>
      <c r="AL36" s="115">
        <v>10628.500000000002</v>
      </c>
      <c r="AM36" s="115">
        <v>10591.8</v>
      </c>
      <c r="AN36" s="115">
        <v>10528.119047619048</v>
      </c>
      <c r="AO36" s="115">
        <v>10554.880952380952</v>
      </c>
      <c r="AP36" s="115">
        <v>10781.352380952383</v>
      </c>
      <c r="AQ36" s="115">
        <v>10697.028571428571</v>
      </c>
      <c r="AR36" s="115">
        <v>10682.880952380952</v>
      </c>
      <c r="AS36" s="115">
        <v>10806.042857142857</v>
      </c>
      <c r="AT36" s="115">
        <v>10629.580952380953</v>
      </c>
      <c r="AU36" s="115">
        <v>11018.071428571429</v>
      </c>
      <c r="AV36" s="115">
        <v>10653.37142857143</v>
      </c>
      <c r="AW36" s="115">
        <v>10644.242857142857</v>
      </c>
      <c r="AX36" s="115">
        <v>10195.071428571429</v>
      </c>
      <c r="AY36" s="115"/>
      <c r="AZ36" s="115"/>
      <c r="BA36" s="114"/>
      <c r="BB36" s="114"/>
      <c r="BC36" s="114"/>
      <c r="BD36" s="114"/>
      <c r="BE36" s="114"/>
      <c r="BF36" s="114"/>
      <c r="BG36" s="114"/>
      <c r="BH36" s="114"/>
      <c r="BI36" s="114"/>
      <c r="BJ36" s="114"/>
      <c r="BK36" s="114"/>
      <c r="BL36" s="114"/>
      <c r="BM36" s="114"/>
      <c r="BN36" s="114"/>
      <c r="BO36" s="114"/>
      <c r="BP36" s="114"/>
      <c r="BQ36" s="114"/>
      <c r="BR36" s="114"/>
      <c r="BS36" s="114"/>
      <c r="BT36" s="114"/>
      <c r="BU36" s="114"/>
      <c r="BV36" s="114"/>
      <c r="BW36" s="114"/>
      <c r="BX36" s="114"/>
      <c r="BY36" s="114"/>
      <c r="BZ36" s="116">
        <f t="shared" si="1"/>
        <v>522063.97904761898</v>
      </c>
    </row>
    <row r="37" spans="1:78" x14ac:dyDescent="0.35">
      <c r="A37" s="117" t="str">
        <f>IF('[10]Set Up'!E35=0,"",'[10]Set Up'!E35&amp;", lb")</f>
        <v>100 Mesh, lb</v>
      </c>
      <c r="B37" s="118">
        <f t="shared" ref="B37:B58" si="2">IF(C37="","",AVERAGE(C37:BY37))</f>
        <v>500128.04166666669</v>
      </c>
      <c r="C37" s="119">
        <v>505100</v>
      </c>
      <c r="D37" s="120">
        <v>503100</v>
      </c>
      <c r="E37" s="120">
        <v>500560</v>
      </c>
      <c r="F37" s="120">
        <v>494820</v>
      </c>
      <c r="G37" s="120">
        <v>501560</v>
      </c>
      <c r="H37" s="120">
        <v>502620</v>
      </c>
      <c r="I37" s="120">
        <v>501580</v>
      </c>
      <c r="J37" s="120">
        <v>507500</v>
      </c>
      <c r="K37" s="120">
        <v>504900</v>
      </c>
      <c r="L37" s="120">
        <v>510340</v>
      </c>
      <c r="M37" s="120">
        <v>513280</v>
      </c>
      <c r="N37" s="120">
        <v>494440</v>
      </c>
      <c r="O37" s="120">
        <v>505800</v>
      </c>
      <c r="P37" s="120">
        <v>499840</v>
      </c>
      <c r="Q37" s="120">
        <v>501000</v>
      </c>
      <c r="R37" s="120">
        <v>502906</v>
      </c>
      <c r="S37" s="120">
        <v>499740</v>
      </c>
      <c r="T37" s="120">
        <v>504820</v>
      </c>
      <c r="U37" s="120">
        <v>502860</v>
      </c>
      <c r="V37" s="120">
        <v>496980</v>
      </c>
      <c r="W37" s="120">
        <v>497520</v>
      </c>
      <c r="X37" s="120">
        <v>499100</v>
      </c>
      <c r="Y37" s="120">
        <v>498360</v>
      </c>
      <c r="Z37" s="120">
        <v>496880</v>
      </c>
      <c r="AA37" s="120">
        <v>508160</v>
      </c>
      <c r="AB37" s="120">
        <v>495420</v>
      </c>
      <c r="AC37" s="120">
        <v>498280</v>
      </c>
      <c r="AD37" s="120">
        <v>492880</v>
      </c>
      <c r="AE37" s="120">
        <v>501360</v>
      </c>
      <c r="AF37" s="120">
        <v>500880</v>
      </c>
      <c r="AG37" s="120">
        <v>499040</v>
      </c>
      <c r="AH37" s="120">
        <v>495660</v>
      </c>
      <c r="AI37" s="120">
        <v>490200</v>
      </c>
      <c r="AJ37" s="120">
        <v>500460</v>
      </c>
      <c r="AK37" s="120">
        <v>510480</v>
      </c>
      <c r="AL37" s="120">
        <v>507580</v>
      </c>
      <c r="AM37" s="120">
        <v>498680</v>
      </c>
      <c r="AN37" s="120">
        <v>498940</v>
      </c>
      <c r="AO37" s="120">
        <v>498640</v>
      </c>
      <c r="AP37" s="120">
        <v>498320</v>
      </c>
      <c r="AQ37" s="120">
        <v>498280</v>
      </c>
      <c r="AR37" s="120">
        <v>498580</v>
      </c>
      <c r="AS37" s="120">
        <v>499260</v>
      </c>
      <c r="AT37" s="120">
        <v>497580</v>
      </c>
      <c r="AU37" s="120">
        <v>499880</v>
      </c>
      <c r="AV37" s="120">
        <v>494000</v>
      </c>
      <c r="AW37" s="120">
        <v>497520</v>
      </c>
      <c r="AX37" s="120">
        <v>480460</v>
      </c>
      <c r="AY37" s="120"/>
      <c r="AZ37" s="120"/>
      <c r="BA37" s="119"/>
      <c r="BB37" s="119"/>
      <c r="BC37" s="119"/>
      <c r="BD37" s="119"/>
      <c r="BE37" s="119"/>
      <c r="BF37" s="119"/>
      <c r="BG37" s="119"/>
      <c r="BH37" s="119"/>
      <c r="BI37" s="119"/>
      <c r="BJ37" s="119"/>
      <c r="BK37" s="119"/>
      <c r="BL37" s="119"/>
      <c r="BM37" s="119"/>
      <c r="BN37" s="119"/>
      <c r="BO37" s="119"/>
      <c r="BP37" s="119"/>
      <c r="BQ37" s="119"/>
      <c r="BR37" s="119"/>
      <c r="BS37" s="119"/>
      <c r="BT37" s="119"/>
      <c r="BU37" s="119"/>
      <c r="BV37" s="119"/>
      <c r="BW37" s="119"/>
      <c r="BX37" s="119"/>
      <c r="BY37" s="119"/>
      <c r="BZ37" s="121">
        <f t="shared" si="1"/>
        <v>24006146</v>
      </c>
    </row>
    <row r="38" spans="1:78" x14ac:dyDescent="0.35">
      <c r="A38" s="122" t="str">
        <f>IF('[10]Set Up'!E36=0,"",'[10]Set Up'!E36&amp;", lb")</f>
        <v/>
      </c>
      <c r="B38" s="105" t="str">
        <f t="shared" si="2"/>
        <v/>
      </c>
      <c r="C38" s="123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  <c r="AZ38" s="124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08">
        <f t="shared" si="1"/>
        <v>0</v>
      </c>
    </row>
    <row r="39" spans="1:78" x14ac:dyDescent="0.35">
      <c r="A39" s="125" t="str">
        <f>IF('[10]Set Up'!E37=0,"",'[10]Set Up'!E37&amp;", lb")</f>
        <v/>
      </c>
      <c r="B39" s="126" t="str">
        <f t="shared" si="2"/>
        <v/>
      </c>
      <c r="C39" s="127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7"/>
      <c r="BB39" s="127"/>
      <c r="BC39" s="127"/>
      <c r="BD39" s="127"/>
      <c r="BE39" s="127"/>
      <c r="BF39" s="127"/>
      <c r="BG39" s="127"/>
      <c r="BH39" s="127"/>
      <c r="BI39" s="127"/>
      <c r="BJ39" s="127"/>
      <c r="BK39" s="127"/>
      <c r="BL39" s="127"/>
      <c r="BM39" s="127"/>
      <c r="BN39" s="127"/>
      <c r="BO39" s="127"/>
      <c r="BP39" s="127"/>
      <c r="BQ39" s="127"/>
      <c r="BR39" s="127"/>
      <c r="BS39" s="127"/>
      <c r="BT39" s="127"/>
      <c r="BU39" s="127"/>
      <c r="BV39" s="127"/>
      <c r="BW39" s="127"/>
      <c r="BX39" s="127"/>
      <c r="BY39" s="127"/>
      <c r="BZ39" s="129">
        <f t="shared" si="1"/>
        <v>0</v>
      </c>
    </row>
    <row r="40" spans="1:78" x14ac:dyDescent="0.35">
      <c r="A40" s="122" t="str">
        <f>IF('[10]Set Up'!E38=0,"",'[10]Set Up'!E38&amp;", lb")</f>
        <v/>
      </c>
      <c r="B40" s="105" t="str">
        <f t="shared" si="2"/>
        <v/>
      </c>
      <c r="C40" s="123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24"/>
      <c r="AX40" s="124"/>
      <c r="AY40" s="124"/>
      <c r="AZ40" s="124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08">
        <f t="shared" si="1"/>
        <v>0</v>
      </c>
    </row>
    <row r="41" spans="1:78" ht="15" thickBot="1" x14ac:dyDescent="0.4">
      <c r="A41" s="130" t="s">
        <v>40</v>
      </c>
      <c r="B41" s="131">
        <f t="shared" si="2"/>
        <v>500128.04166666669</v>
      </c>
      <c r="C41" s="131">
        <v>505100</v>
      </c>
      <c r="D41" s="132">
        <v>503100</v>
      </c>
      <c r="E41" s="132">
        <v>500560</v>
      </c>
      <c r="F41" s="132">
        <v>494820</v>
      </c>
      <c r="G41" s="132">
        <v>501560</v>
      </c>
      <c r="H41" s="132">
        <v>502620</v>
      </c>
      <c r="I41" s="132">
        <v>501580</v>
      </c>
      <c r="J41" s="132">
        <v>507500</v>
      </c>
      <c r="K41" s="132">
        <v>504900</v>
      </c>
      <c r="L41" s="132">
        <v>510340</v>
      </c>
      <c r="M41" s="132">
        <v>513280</v>
      </c>
      <c r="N41" s="132">
        <v>494440</v>
      </c>
      <c r="O41" s="132">
        <v>505800</v>
      </c>
      <c r="P41" s="132">
        <v>499840</v>
      </c>
      <c r="Q41" s="132">
        <v>501000</v>
      </c>
      <c r="R41" s="132">
        <v>502906</v>
      </c>
      <c r="S41" s="132">
        <v>499740</v>
      </c>
      <c r="T41" s="132">
        <v>504820</v>
      </c>
      <c r="U41" s="132">
        <v>502860</v>
      </c>
      <c r="V41" s="132">
        <v>496980</v>
      </c>
      <c r="W41" s="132">
        <v>497520</v>
      </c>
      <c r="X41" s="132">
        <v>499100</v>
      </c>
      <c r="Y41" s="132">
        <v>498360</v>
      </c>
      <c r="Z41" s="132">
        <v>496880</v>
      </c>
      <c r="AA41" s="132">
        <v>508160</v>
      </c>
      <c r="AB41" s="132">
        <v>495420</v>
      </c>
      <c r="AC41" s="132">
        <v>498280</v>
      </c>
      <c r="AD41" s="132">
        <v>492880</v>
      </c>
      <c r="AE41" s="132">
        <v>501360</v>
      </c>
      <c r="AF41" s="132">
        <v>500880</v>
      </c>
      <c r="AG41" s="132">
        <v>499040</v>
      </c>
      <c r="AH41" s="132">
        <v>495660</v>
      </c>
      <c r="AI41" s="132">
        <v>490200</v>
      </c>
      <c r="AJ41" s="132">
        <v>500460</v>
      </c>
      <c r="AK41" s="132">
        <v>510480</v>
      </c>
      <c r="AL41" s="132">
        <v>507580</v>
      </c>
      <c r="AM41" s="132">
        <v>498680</v>
      </c>
      <c r="AN41" s="132">
        <v>498940</v>
      </c>
      <c r="AO41" s="132">
        <v>498640</v>
      </c>
      <c r="AP41" s="132">
        <v>498320</v>
      </c>
      <c r="AQ41" s="132">
        <v>498280</v>
      </c>
      <c r="AR41" s="132">
        <v>498580</v>
      </c>
      <c r="AS41" s="132">
        <v>499260</v>
      </c>
      <c r="AT41" s="132">
        <v>497580</v>
      </c>
      <c r="AU41" s="132">
        <v>499880</v>
      </c>
      <c r="AV41" s="132">
        <v>494000</v>
      </c>
      <c r="AW41" s="132">
        <v>497520</v>
      </c>
      <c r="AX41" s="132">
        <v>480460</v>
      </c>
      <c r="AY41" s="132"/>
      <c r="AZ41" s="132"/>
      <c r="BA41" s="132"/>
      <c r="BB41" s="132"/>
      <c r="BC41" s="132"/>
      <c r="BD41" s="132"/>
      <c r="BE41" s="132"/>
      <c r="BF41" s="132"/>
      <c r="BG41" s="132"/>
      <c r="BH41" s="132"/>
      <c r="BI41" s="132"/>
      <c r="BJ41" s="132"/>
      <c r="BK41" s="132"/>
      <c r="BL41" s="132"/>
      <c r="BM41" s="132"/>
      <c r="BN41" s="132"/>
      <c r="BO41" s="132"/>
      <c r="BP41" s="132"/>
      <c r="BQ41" s="132"/>
      <c r="BR41" s="132"/>
      <c r="BS41" s="132"/>
      <c r="BT41" s="132"/>
      <c r="BU41" s="132"/>
      <c r="BV41" s="132"/>
      <c r="BW41" s="132"/>
      <c r="BX41" s="132"/>
      <c r="BY41" s="132"/>
      <c r="BZ41" s="133">
        <f t="shared" si="1"/>
        <v>24006146</v>
      </c>
    </row>
    <row r="42" spans="1:78" x14ac:dyDescent="0.35">
      <c r="A42" s="134" t="str">
        <f>A37</f>
        <v>100 Mesh, lb</v>
      </c>
      <c r="B42" s="135">
        <f t="shared" si="2"/>
        <v>500128.04166666669</v>
      </c>
      <c r="C42" s="136">
        <v>505100</v>
      </c>
      <c r="D42" s="136">
        <v>503100</v>
      </c>
      <c r="E42" s="136">
        <v>500560</v>
      </c>
      <c r="F42" s="136">
        <v>494820</v>
      </c>
      <c r="G42" s="136">
        <v>501560</v>
      </c>
      <c r="H42" s="136">
        <v>502620</v>
      </c>
      <c r="I42" s="136">
        <v>501580</v>
      </c>
      <c r="J42" s="136">
        <v>507500</v>
      </c>
      <c r="K42" s="136">
        <v>504900</v>
      </c>
      <c r="L42" s="136">
        <v>510340</v>
      </c>
      <c r="M42" s="136">
        <v>513280</v>
      </c>
      <c r="N42" s="136">
        <v>494440</v>
      </c>
      <c r="O42" s="136">
        <v>505800</v>
      </c>
      <c r="P42" s="136">
        <v>499840</v>
      </c>
      <c r="Q42" s="136">
        <v>501000</v>
      </c>
      <c r="R42" s="136">
        <v>502906</v>
      </c>
      <c r="S42" s="136">
        <v>499740</v>
      </c>
      <c r="T42" s="136">
        <v>504820</v>
      </c>
      <c r="U42" s="136">
        <v>502860</v>
      </c>
      <c r="V42" s="136">
        <v>496980</v>
      </c>
      <c r="W42" s="136">
        <v>497520</v>
      </c>
      <c r="X42" s="136">
        <v>499100</v>
      </c>
      <c r="Y42" s="136">
        <v>498360</v>
      </c>
      <c r="Z42" s="136">
        <v>496880</v>
      </c>
      <c r="AA42" s="136">
        <v>508160</v>
      </c>
      <c r="AB42" s="136">
        <v>495420</v>
      </c>
      <c r="AC42" s="136">
        <v>498280</v>
      </c>
      <c r="AD42" s="136">
        <v>492880</v>
      </c>
      <c r="AE42" s="136">
        <v>501360</v>
      </c>
      <c r="AF42" s="136">
        <v>500880</v>
      </c>
      <c r="AG42" s="136">
        <v>499040</v>
      </c>
      <c r="AH42" s="136">
        <v>495660</v>
      </c>
      <c r="AI42" s="136">
        <v>490200</v>
      </c>
      <c r="AJ42" s="136">
        <v>500460</v>
      </c>
      <c r="AK42" s="136">
        <v>510480</v>
      </c>
      <c r="AL42" s="136">
        <v>507580</v>
      </c>
      <c r="AM42" s="136">
        <v>498680</v>
      </c>
      <c r="AN42" s="136">
        <v>498940</v>
      </c>
      <c r="AO42" s="136">
        <v>498640</v>
      </c>
      <c r="AP42" s="136">
        <v>498320</v>
      </c>
      <c r="AQ42" s="136">
        <v>498280</v>
      </c>
      <c r="AR42" s="136">
        <v>498580</v>
      </c>
      <c r="AS42" s="136">
        <v>499260</v>
      </c>
      <c r="AT42" s="136">
        <v>497580</v>
      </c>
      <c r="AU42" s="136">
        <v>499880</v>
      </c>
      <c r="AV42" s="136">
        <v>494000</v>
      </c>
      <c r="AW42" s="136">
        <v>497520</v>
      </c>
      <c r="AX42" s="136">
        <v>480460</v>
      </c>
      <c r="AY42" s="136"/>
      <c r="AZ42" s="136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8">
        <f t="shared" si="1"/>
        <v>24006146</v>
      </c>
    </row>
    <row r="43" spans="1:78" x14ac:dyDescent="0.35">
      <c r="A43" s="122" t="str">
        <f>A38</f>
        <v/>
      </c>
      <c r="B43" s="105" t="str">
        <f t="shared" si="2"/>
        <v/>
      </c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  <c r="AZ43" s="124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08">
        <f t="shared" si="1"/>
        <v>0</v>
      </c>
    </row>
    <row r="44" spans="1:78" x14ac:dyDescent="0.35">
      <c r="A44" s="139" t="str">
        <f>A39</f>
        <v/>
      </c>
      <c r="B44" s="140" t="str">
        <f t="shared" si="2"/>
        <v/>
      </c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  <c r="AO44" s="141"/>
      <c r="AP44" s="141"/>
      <c r="AQ44" s="141"/>
      <c r="AR44" s="141"/>
      <c r="AS44" s="141"/>
      <c r="AT44" s="141"/>
      <c r="AU44" s="141"/>
      <c r="AV44" s="141"/>
      <c r="AW44" s="141"/>
      <c r="AX44" s="141"/>
      <c r="AY44" s="141"/>
      <c r="AZ44" s="141"/>
      <c r="BA44" s="141"/>
      <c r="BB44" s="141"/>
      <c r="BC44" s="141"/>
      <c r="BD44" s="141"/>
      <c r="BE44" s="141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1"/>
      <c r="BQ44" s="141"/>
      <c r="BR44" s="141"/>
      <c r="BS44" s="141"/>
      <c r="BT44" s="141"/>
      <c r="BU44" s="141"/>
      <c r="BV44" s="141"/>
      <c r="BW44" s="141"/>
      <c r="BX44" s="141"/>
      <c r="BY44" s="141"/>
      <c r="BZ44" s="140">
        <f t="shared" si="1"/>
        <v>0</v>
      </c>
    </row>
    <row r="45" spans="1:78" x14ac:dyDescent="0.35">
      <c r="A45" s="142" t="str">
        <f>A40</f>
        <v/>
      </c>
      <c r="B45" s="143" t="str">
        <f t="shared" si="2"/>
        <v/>
      </c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24"/>
      <c r="BL45" s="124"/>
      <c r="BM45" s="124"/>
      <c r="BN45" s="124"/>
      <c r="BO45" s="124"/>
      <c r="BP45" s="124"/>
      <c r="BQ45" s="124"/>
      <c r="BR45" s="124"/>
      <c r="BS45" s="124"/>
      <c r="BT45" s="124"/>
      <c r="BU45" s="124"/>
      <c r="BV45" s="124"/>
      <c r="BW45" s="124"/>
      <c r="BX45" s="124"/>
      <c r="BY45" s="124"/>
      <c r="BZ45" s="105">
        <f t="shared" si="1"/>
        <v>0</v>
      </c>
    </row>
    <row r="46" spans="1:78" ht="15" thickBot="1" x14ac:dyDescent="0.4">
      <c r="A46" s="144" t="s">
        <v>41</v>
      </c>
      <c r="B46" s="145">
        <f t="shared" si="2"/>
        <v>500128.04166666669</v>
      </c>
      <c r="C46" s="146">
        <v>505100</v>
      </c>
      <c r="D46" s="146">
        <v>503100</v>
      </c>
      <c r="E46" s="146">
        <v>500560</v>
      </c>
      <c r="F46" s="146">
        <v>494820</v>
      </c>
      <c r="G46" s="146">
        <v>501560</v>
      </c>
      <c r="H46" s="146">
        <v>502620</v>
      </c>
      <c r="I46" s="146">
        <v>501580</v>
      </c>
      <c r="J46" s="146">
        <v>507500</v>
      </c>
      <c r="K46" s="146">
        <v>504900</v>
      </c>
      <c r="L46" s="146">
        <v>510340</v>
      </c>
      <c r="M46" s="146">
        <v>513280</v>
      </c>
      <c r="N46" s="146">
        <v>494440</v>
      </c>
      <c r="O46" s="146">
        <v>505800</v>
      </c>
      <c r="P46" s="146">
        <v>499840</v>
      </c>
      <c r="Q46" s="146">
        <v>501000</v>
      </c>
      <c r="R46" s="146">
        <v>502906</v>
      </c>
      <c r="S46" s="146">
        <v>499740</v>
      </c>
      <c r="T46" s="146">
        <v>504820</v>
      </c>
      <c r="U46" s="146">
        <v>502860</v>
      </c>
      <c r="V46" s="146">
        <v>496980</v>
      </c>
      <c r="W46" s="146">
        <v>497520</v>
      </c>
      <c r="X46" s="146">
        <v>499100</v>
      </c>
      <c r="Y46" s="146">
        <v>498360</v>
      </c>
      <c r="Z46" s="146">
        <v>496880</v>
      </c>
      <c r="AA46" s="146">
        <v>508160</v>
      </c>
      <c r="AB46" s="146">
        <v>495420</v>
      </c>
      <c r="AC46" s="146">
        <v>498280</v>
      </c>
      <c r="AD46" s="146">
        <v>492880</v>
      </c>
      <c r="AE46" s="146">
        <v>501360</v>
      </c>
      <c r="AF46" s="146">
        <v>500880</v>
      </c>
      <c r="AG46" s="146">
        <v>499040</v>
      </c>
      <c r="AH46" s="146">
        <v>495660</v>
      </c>
      <c r="AI46" s="146">
        <v>490200</v>
      </c>
      <c r="AJ46" s="146">
        <v>500460</v>
      </c>
      <c r="AK46" s="146">
        <v>510480</v>
      </c>
      <c r="AL46" s="146">
        <v>507580</v>
      </c>
      <c r="AM46" s="146">
        <v>498680</v>
      </c>
      <c r="AN46" s="146">
        <v>498940</v>
      </c>
      <c r="AO46" s="146">
        <v>498640</v>
      </c>
      <c r="AP46" s="146">
        <v>498320</v>
      </c>
      <c r="AQ46" s="146">
        <v>498280</v>
      </c>
      <c r="AR46" s="146">
        <v>498580</v>
      </c>
      <c r="AS46" s="146">
        <v>499260</v>
      </c>
      <c r="AT46" s="146">
        <v>497580</v>
      </c>
      <c r="AU46" s="146">
        <v>499880</v>
      </c>
      <c r="AV46" s="146">
        <v>494000</v>
      </c>
      <c r="AW46" s="146">
        <v>497520</v>
      </c>
      <c r="AX46" s="146">
        <v>480460</v>
      </c>
      <c r="AY46" s="146"/>
      <c r="AZ46" s="146"/>
      <c r="BA46" s="146"/>
      <c r="BB46" s="146"/>
      <c r="BC46" s="146"/>
      <c r="BD46" s="146"/>
      <c r="BE46" s="146"/>
      <c r="BF46" s="146"/>
      <c r="BG46" s="146"/>
      <c r="BH46" s="146"/>
      <c r="BI46" s="146"/>
      <c r="BJ46" s="146"/>
      <c r="BK46" s="146"/>
      <c r="BL46" s="146"/>
      <c r="BM46" s="146"/>
      <c r="BN46" s="146"/>
      <c r="BO46" s="146"/>
      <c r="BP46" s="146"/>
      <c r="BQ46" s="146"/>
      <c r="BR46" s="146"/>
      <c r="BS46" s="146"/>
      <c r="BT46" s="146"/>
      <c r="BU46" s="146"/>
      <c r="BV46" s="146"/>
      <c r="BW46" s="146"/>
      <c r="BX46" s="146"/>
      <c r="BY46" s="146"/>
      <c r="BZ46" s="145">
        <f t="shared" si="1"/>
        <v>24006146</v>
      </c>
    </row>
    <row r="47" spans="1:78" x14ac:dyDescent="0.35">
      <c r="A47" s="147" t="str">
        <f>'[10]Set Up'!E51</f>
        <v>Plexslick 957, gal</v>
      </c>
      <c r="B47" s="148">
        <f t="shared" si="2"/>
        <v>274.85416666666669</v>
      </c>
      <c r="C47" s="149">
        <v>456</v>
      </c>
      <c r="D47" s="150">
        <v>480</v>
      </c>
      <c r="E47" s="150">
        <v>453</v>
      </c>
      <c r="F47" s="150">
        <v>350</v>
      </c>
      <c r="G47" s="150">
        <v>320</v>
      </c>
      <c r="H47" s="150">
        <v>386</v>
      </c>
      <c r="I47" s="150">
        <v>318</v>
      </c>
      <c r="J47" s="150">
        <v>390</v>
      </c>
      <c r="K47" s="150">
        <v>394</v>
      </c>
      <c r="L47" s="151">
        <v>314</v>
      </c>
      <c r="M47" s="151">
        <v>320</v>
      </c>
      <c r="N47" s="151">
        <v>420</v>
      </c>
      <c r="O47" s="151">
        <v>458</v>
      </c>
      <c r="P47" s="151">
        <v>290</v>
      </c>
      <c r="Q47" s="151">
        <v>269</v>
      </c>
      <c r="R47" s="151">
        <v>340</v>
      </c>
      <c r="S47" s="151">
        <v>295</v>
      </c>
      <c r="T47" s="151">
        <v>310</v>
      </c>
      <c r="U47" s="151">
        <v>267</v>
      </c>
      <c r="V47" s="151">
        <v>272</v>
      </c>
      <c r="W47" s="151">
        <v>306</v>
      </c>
      <c r="X47" s="151">
        <v>260</v>
      </c>
      <c r="Y47" s="151">
        <v>325</v>
      </c>
      <c r="Z47" s="151">
        <v>248</v>
      </c>
      <c r="AA47" s="151">
        <v>265</v>
      </c>
      <c r="AB47" s="151">
        <v>225</v>
      </c>
      <c r="AC47" s="151">
        <v>237</v>
      </c>
      <c r="AD47" s="151">
        <v>221</v>
      </c>
      <c r="AE47" s="151">
        <v>240</v>
      </c>
      <c r="AF47" s="151">
        <v>215</v>
      </c>
      <c r="AG47" s="151">
        <v>225</v>
      </c>
      <c r="AH47" s="151">
        <v>211</v>
      </c>
      <c r="AI47" s="151">
        <v>218</v>
      </c>
      <c r="AJ47" s="151">
        <v>207</v>
      </c>
      <c r="AK47" s="151">
        <v>187</v>
      </c>
      <c r="AL47" s="151">
        <v>197</v>
      </c>
      <c r="AM47" s="151">
        <v>203</v>
      </c>
      <c r="AN47" s="151">
        <v>181</v>
      </c>
      <c r="AO47" s="151">
        <v>185</v>
      </c>
      <c r="AP47" s="151">
        <v>186</v>
      </c>
      <c r="AQ47" s="151">
        <v>194</v>
      </c>
      <c r="AR47" s="151">
        <v>192</v>
      </c>
      <c r="AS47" s="151">
        <v>190</v>
      </c>
      <c r="AT47" s="151">
        <v>190</v>
      </c>
      <c r="AU47" s="151">
        <v>232</v>
      </c>
      <c r="AV47" s="151">
        <v>190</v>
      </c>
      <c r="AW47" s="151">
        <v>192</v>
      </c>
      <c r="AX47" s="151">
        <v>169</v>
      </c>
      <c r="AY47" s="151"/>
      <c r="AZ47" s="151"/>
      <c r="BA47" s="152"/>
      <c r="BB47" s="152"/>
      <c r="BC47" s="152"/>
      <c r="BD47" s="152"/>
      <c r="BE47" s="152"/>
      <c r="BF47" s="152"/>
      <c r="BG47" s="152"/>
      <c r="BH47" s="152"/>
      <c r="BI47" s="152"/>
      <c r="BJ47" s="152"/>
      <c r="BK47" s="152"/>
      <c r="BL47" s="152"/>
      <c r="BM47" s="152"/>
      <c r="BN47" s="152"/>
      <c r="BO47" s="152"/>
      <c r="BP47" s="152"/>
      <c r="BQ47" s="152"/>
      <c r="BR47" s="152"/>
      <c r="BS47" s="152"/>
      <c r="BT47" s="152"/>
      <c r="BU47" s="152"/>
      <c r="BV47" s="152"/>
      <c r="BW47" s="152"/>
      <c r="BX47" s="152"/>
      <c r="BY47" s="152"/>
      <c r="BZ47" s="153">
        <f t="shared" si="1"/>
        <v>13193</v>
      </c>
    </row>
    <row r="48" spans="1:78" x14ac:dyDescent="0.35">
      <c r="A48" s="154" t="str">
        <f>'[10]Set Up'!E52</f>
        <v>Chemplex 4-N-1, gal</v>
      </c>
      <c r="B48" s="155">
        <f t="shared" si="2"/>
        <v>4.854166666666667</v>
      </c>
      <c r="C48" s="156">
        <v>8</v>
      </c>
      <c r="D48" s="157">
        <v>7</v>
      </c>
      <c r="E48" s="157">
        <v>7</v>
      </c>
      <c r="F48" s="157">
        <v>8</v>
      </c>
      <c r="G48" s="157">
        <v>8</v>
      </c>
      <c r="H48" s="157">
        <v>7</v>
      </c>
      <c r="I48" s="157">
        <v>8</v>
      </c>
      <c r="J48" s="157">
        <v>8</v>
      </c>
      <c r="K48" s="157">
        <v>8</v>
      </c>
      <c r="L48" s="107">
        <v>7</v>
      </c>
      <c r="M48" s="107">
        <v>7</v>
      </c>
      <c r="N48" s="107">
        <v>7</v>
      </c>
      <c r="O48" s="107">
        <v>7</v>
      </c>
      <c r="P48" s="107">
        <v>7</v>
      </c>
      <c r="Q48" s="107">
        <v>3</v>
      </c>
      <c r="R48" s="107">
        <v>4</v>
      </c>
      <c r="S48" s="107">
        <v>4</v>
      </c>
      <c r="T48" s="107">
        <v>4</v>
      </c>
      <c r="U48" s="107">
        <v>4</v>
      </c>
      <c r="V48" s="107">
        <v>4</v>
      </c>
      <c r="W48" s="107">
        <v>4</v>
      </c>
      <c r="X48" s="107">
        <v>4</v>
      </c>
      <c r="Y48" s="107">
        <v>4</v>
      </c>
      <c r="Z48" s="107">
        <v>4</v>
      </c>
      <c r="AA48" s="107">
        <v>4</v>
      </c>
      <c r="AB48" s="107">
        <v>4</v>
      </c>
      <c r="AC48" s="107">
        <v>4</v>
      </c>
      <c r="AD48" s="107">
        <v>4</v>
      </c>
      <c r="AE48" s="107">
        <v>4</v>
      </c>
      <c r="AF48" s="107">
        <v>4</v>
      </c>
      <c r="AG48" s="107">
        <v>4</v>
      </c>
      <c r="AH48" s="107">
        <v>3</v>
      </c>
      <c r="AI48" s="107">
        <v>3</v>
      </c>
      <c r="AJ48" s="107">
        <v>3</v>
      </c>
      <c r="AK48" s="107">
        <v>4</v>
      </c>
      <c r="AL48" s="107">
        <v>4</v>
      </c>
      <c r="AM48" s="107">
        <v>4</v>
      </c>
      <c r="AN48" s="107">
        <v>3</v>
      </c>
      <c r="AO48" s="107">
        <v>3</v>
      </c>
      <c r="AP48" s="107">
        <v>3</v>
      </c>
      <c r="AQ48" s="107">
        <v>4</v>
      </c>
      <c r="AR48" s="107">
        <v>4</v>
      </c>
      <c r="AS48" s="107">
        <v>4</v>
      </c>
      <c r="AT48" s="107">
        <v>4</v>
      </c>
      <c r="AU48" s="107">
        <v>4</v>
      </c>
      <c r="AV48" s="107">
        <v>4</v>
      </c>
      <c r="AW48" s="107">
        <v>4</v>
      </c>
      <c r="AX48" s="107">
        <v>4</v>
      </c>
      <c r="AY48" s="107"/>
      <c r="AZ48" s="107"/>
      <c r="BA48" s="106"/>
      <c r="BB48" s="106"/>
      <c r="BC48" s="106"/>
      <c r="BD48" s="106"/>
      <c r="BE48" s="106"/>
      <c r="BF48" s="106"/>
      <c r="BG48" s="106"/>
      <c r="BH48" s="106"/>
      <c r="BI48" s="106"/>
      <c r="BJ48" s="106"/>
      <c r="BK48" s="106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58">
        <f t="shared" si="1"/>
        <v>233</v>
      </c>
    </row>
    <row r="49" spans="1:78" x14ac:dyDescent="0.35">
      <c r="A49" s="147" t="str">
        <f>'[10]Set Up'!E53</f>
        <v>Payzone 845, gal</v>
      </c>
      <c r="B49" s="148">
        <f t="shared" si="2"/>
        <v>89.958333333333329</v>
      </c>
      <c r="C49" s="159">
        <v>91</v>
      </c>
      <c r="D49" s="160">
        <v>95</v>
      </c>
      <c r="E49" s="160">
        <v>91</v>
      </c>
      <c r="F49" s="160">
        <v>89</v>
      </c>
      <c r="G49" s="160">
        <v>91</v>
      </c>
      <c r="H49" s="160">
        <v>91</v>
      </c>
      <c r="I49" s="160">
        <v>91</v>
      </c>
      <c r="J49" s="160">
        <v>90</v>
      </c>
      <c r="K49" s="160">
        <v>90</v>
      </c>
      <c r="L49" s="161">
        <v>92</v>
      </c>
      <c r="M49" s="161">
        <v>90</v>
      </c>
      <c r="N49" s="161">
        <v>90</v>
      </c>
      <c r="O49" s="161">
        <v>91</v>
      </c>
      <c r="P49" s="161">
        <v>90</v>
      </c>
      <c r="Q49" s="161">
        <v>87</v>
      </c>
      <c r="R49" s="161">
        <v>96</v>
      </c>
      <c r="S49" s="161">
        <v>90</v>
      </c>
      <c r="T49" s="161">
        <v>91</v>
      </c>
      <c r="U49" s="161">
        <v>91</v>
      </c>
      <c r="V49" s="161">
        <v>92</v>
      </c>
      <c r="W49" s="161">
        <v>91</v>
      </c>
      <c r="X49" s="161">
        <v>88</v>
      </c>
      <c r="Y49" s="161">
        <v>92</v>
      </c>
      <c r="Z49" s="161">
        <v>87</v>
      </c>
      <c r="AA49" s="161">
        <v>90</v>
      </c>
      <c r="AB49" s="161">
        <v>88</v>
      </c>
      <c r="AC49" s="161">
        <v>90</v>
      </c>
      <c r="AD49" s="161">
        <v>88</v>
      </c>
      <c r="AE49" s="161">
        <v>90</v>
      </c>
      <c r="AF49" s="161">
        <v>87</v>
      </c>
      <c r="AG49" s="161">
        <v>90</v>
      </c>
      <c r="AH49" s="161">
        <v>90</v>
      </c>
      <c r="AI49" s="161">
        <v>88</v>
      </c>
      <c r="AJ49" s="161">
        <v>90</v>
      </c>
      <c r="AK49" s="161">
        <v>91</v>
      </c>
      <c r="AL49" s="161">
        <v>90</v>
      </c>
      <c r="AM49" s="161">
        <v>89</v>
      </c>
      <c r="AN49" s="161">
        <v>87</v>
      </c>
      <c r="AO49" s="161">
        <v>89</v>
      </c>
      <c r="AP49" s="161">
        <v>89</v>
      </c>
      <c r="AQ49" s="161">
        <v>90</v>
      </c>
      <c r="AR49" s="161">
        <v>90</v>
      </c>
      <c r="AS49" s="161">
        <v>90</v>
      </c>
      <c r="AT49" s="161">
        <v>87</v>
      </c>
      <c r="AU49" s="161">
        <v>93</v>
      </c>
      <c r="AV49" s="161">
        <v>89</v>
      </c>
      <c r="AW49" s="161">
        <v>90</v>
      </c>
      <c r="AX49" s="161">
        <v>86</v>
      </c>
      <c r="AY49" s="161"/>
      <c r="AZ49" s="161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3">
        <f t="shared" si="1"/>
        <v>4318</v>
      </c>
    </row>
    <row r="50" spans="1:78" x14ac:dyDescent="0.35">
      <c r="A50" s="154" t="str">
        <f>'[10]Set Up'!E54</f>
        <v>Payzone 850, gal</v>
      </c>
      <c r="B50" s="155">
        <f t="shared" si="2"/>
        <v>33.854166666666664</v>
      </c>
      <c r="C50" s="156">
        <v>34</v>
      </c>
      <c r="D50" s="157">
        <v>36</v>
      </c>
      <c r="E50" s="157">
        <v>34</v>
      </c>
      <c r="F50" s="157">
        <v>33</v>
      </c>
      <c r="G50" s="157">
        <v>34</v>
      </c>
      <c r="H50" s="157">
        <v>34</v>
      </c>
      <c r="I50" s="157">
        <v>34</v>
      </c>
      <c r="J50" s="157">
        <v>34</v>
      </c>
      <c r="K50" s="157">
        <v>33</v>
      </c>
      <c r="L50" s="157">
        <v>34</v>
      </c>
      <c r="M50" s="157">
        <v>34</v>
      </c>
      <c r="N50" s="157">
        <v>34</v>
      </c>
      <c r="O50" s="157">
        <v>34</v>
      </c>
      <c r="P50" s="157">
        <v>33</v>
      </c>
      <c r="Q50" s="157">
        <v>33</v>
      </c>
      <c r="R50" s="157">
        <v>36</v>
      </c>
      <c r="S50" s="157">
        <v>33</v>
      </c>
      <c r="T50" s="107">
        <v>34</v>
      </c>
      <c r="U50" s="107">
        <v>34</v>
      </c>
      <c r="V50" s="107">
        <v>34</v>
      </c>
      <c r="W50" s="107">
        <v>34</v>
      </c>
      <c r="X50" s="107">
        <v>33</v>
      </c>
      <c r="Y50" s="107">
        <v>34</v>
      </c>
      <c r="Z50" s="107">
        <v>33</v>
      </c>
      <c r="AA50" s="107">
        <v>34</v>
      </c>
      <c r="AB50" s="107">
        <v>34</v>
      </c>
      <c r="AC50" s="107">
        <v>34</v>
      </c>
      <c r="AD50" s="107">
        <v>33</v>
      </c>
      <c r="AE50" s="107">
        <v>34</v>
      </c>
      <c r="AF50" s="107">
        <v>34</v>
      </c>
      <c r="AG50" s="107">
        <v>34</v>
      </c>
      <c r="AH50" s="107">
        <v>34</v>
      </c>
      <c r="AI50" s="107">
        <v>34</v>
      </c>
      <c r="AJ50" s="107">
        <v>34</v>
      </c>
      <c r="AK50" s="107">
        <v>34</v>
      </c>
      <c r="AL50" s="107">
        <v>33</v>
      </c>
      <c r="AM50" s="107">
        <v>34</v>
      </c>
      <c r="AN50" s="107">
        <v>34</v>
      </c>
      <c r="AO50" s="107">
        <v>34</v>
      </c>
      <c r="AP50" s="107">
        <v>34</v>
      </c>
      <c r="AQ50" s="107">
        <v>34</v>
      </c>
      <c r="AR50" s="107">
        <v>34</v>
      </c>
      <c r="AS50" s="107">
        <v>34</v>
      </c>
      <c r="AT50" s="107">
        <v>34</v>
      </c>
      <c r="AU50" s="107">
        <v>34</v>
      </c>
      <c r="AV50" s="107">
        <v>33</v>
      </c>
      <c r="AW50" s="107">
        <v>34</v>
      </c>
      <c r="AX50" s="107">
        <v>33</v>
      </c>
      <c r="AY50" s="107"/>
      <c r="AZ50" s="107"/>
      <c r="BA50" s="106"/>
      <c r="BB50" s="106"/>
      <c r="BC50" s="106"/>
      <c r="BD50" s="106"/>
      <c r="BE50" s="106"/>
      <c r="BF50" s="106"/>
      <c r="BG50" s="106"/>
      <c r="BH50" s="106"/>
      <c r="BI50" s="106"/>
      <c r="BJ50" s="106"/>
      <c r="BK50" s="106"/>
      <c r="BL50" s="106"/>
      <c r="BM50" s="106"/>
      <c r="BN50" s="106"/>
      <c r="BO50" s="106"/>
      <c r="BP50" s="106"/>
      <c r="BQ50" s="106"/>
      <c r="BR50" s="106"/>
      <c r="BS50" s="106"/>
      <c r="BT50" s="106"/>
      <c r="BU50" s="106"/>
      <c r="BV50" s="106"/>
      <c r="BW50" s="106"/>
      <c r="BX50" s="106"/>
      <c r="BY50" s="106"/>
      <c r="BZ50" s="158">
        <f t="shared" si="1"/>
        <v>1625</v>
      </c>
    </row>
    <row r="51" spans="1:78" x14ac:dyDescent="0.35">
      <c r="A51" s="147" t="str">
        <f>'[10]Set Up'!E55</f>
        <v>Payzone 217, gal</v>
      </c>
      <c r="B51" s="148">
        <f t="shared" si="2"/>
        <v>89.958333333333329</v>
      </c>
      <c r="C51" s="159">
        <v>91</v>
      </c>
      <c r="D51" s="160">
        <v>95</v>
      </c>
      <c r="E51" s="160">
        <v>91</v>
      </c>
      <c r="F51" s="160">
        <v>89</v>
      </c>
      <c r="G51" s="160">
        <v>91</v>
      </c>
      <c r="H51" s="160">
        <v>91</v>
      </c>
      <c r="I51" s="160">
        <v>91</v>
      </c>
      <c r="J51" s="160">
        <v>90</v>
      </c>
      <c r="K51" s="160">
        <v>90</v>
      </c>
      <c r="L51" s="161">
        <v>92</v>
      </c>
      <c r="M51" s="161">
        <v>90</v>
      </c>
      <c r="N51" s="161">
        <v>90</v>
      </c>
      <c r="O51" s="161">
        <v>91</v>
      </c>
      <c r="P51" s="161">
        <v>90</v>
      </c>
      <c r="Q51" s="161">
        <v>87</v>
      </c>
      <c r="R51" s="161">
        <v>96</v>
      </c>
      <c r="S51" s="161">
        <v>90</v>
      </c>
      <c r="T51" s="161">
        <v>91</v>
      </c>
      <c r="U51" s="161">
        <v>91</v>
      </c>
      <c r="V51" s="161">
        <v>92</v>
      </c>
      <c r="W51" s="161">
        <v>91</v>
      </c>
      <c r="X51" s="161">
        <v>88</v>
      </c>
      <c r="Y51" s="161">
        <v>92</v>
      </c>
      <c r="Z51" s="161">
        <v>87</v>
      </c>
      <c r="AA51" s="161">
        <v>90</v>
      </c>
      <c r="AB51" s="161">
        <v>88</v>
      </c>
      <c r="AC51" s="161">
        <v>90</v>
      </c>
      <c r="AD51" s="161">
        <v>88</v>
      </c>
      <c r="AE51" s="161">
        <v>90</v>
      </c>
      <c r="AF51" s="161">
        <v>87</v>
      </c>
      <c r="AG51" s="161">
        <v>90</v>
      </c>
      <c r="AH51" s="161">
        <v>90</v>
      </c>
      <c r="AI51" s="161">
        <v>88</v>
      </c>
      <c r="AJ51" s="161">
        <v>90</v>
      </c>
      <c r="AK51" s="161">
        <v>91</v>
      </c>
      <c r="AL51" s="161">
        <v>90</v>
      </c>
      <c r="AM51" s="161">
        <v>89</v>
      </c>
      <c r="AN51" s="161">
        <v>87</v>
      </c>
      <c r="AO51" s="161">
        <v>89</v>
      </c>
      <c r="AP51" s="161">
        <v>89</v>
      </c>
      <c r="AQ51" s="161">
        <v>90</v>
      </c>
      <c r="AR51" s="161">
        <v>90</v>
      </c>
      <c r="AS51" s="161">
        <v>90</v>
      </c>
      <c r="AT51" s="161">
        <v>87</v>
      </c>
      <c r="AU51" s="161">
        <v>93</v>
      </c>
      <c r="AV51" s="161">
        <v>89</v>
      </c>
      <c r="AW51" s="161">
        <v>90</v>
      </c>
      <c r="AX51" s="161">
        <v>86</v>
      </c>
      <c r="AY51" s="161"/>
      <c r="AZ51" s="161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3">
        <f t="shared" si="1"/>
        <v>4318</v>
      </c>
    </row>
    <row r="52" spans="1:78" x14ac:dyDescent="0.35">
      <c r="A52" s="154" t="str">
        <f>'[10]Set Up'!E56</f>
        <v>Stim741 Gel, gal</v>
      </c>
      <c r="B52" s="155">
        <f t="shared" si="2"/>
        <v>19.148936170212767</v>
      </c>
      <c r="C52" s="156">
        <v>10</v>
      </c>
      <c r="D52" s="157">
        <v>20</v>
      </c>
      <c r="E52" s="157">
        <v>20</v>
      </c>
      <c r="F52" s="157">
        <v>20</v>
      </c>
      <c r="G52" s="157">
        <v>10</v>
      </c>
      <c r="H52" s="157">
        <v>10</v>
      </c>
      <c r="I52" s="157">
        <v>20</v>
      </c>
      <c r="J52" s="157">
        <v>20</v>
      </c>
      <c r="K52" s="157">
        <v>20</v>
      </c>
      <c r="L52" s="107">
        <v>20</v>
      </c>
      <c r="M52" s="107">
        <v>20</v>
      </c>
      <c r="N52" s="107">
        <v>10</v>
      </c>
      <c r="O52" s="107">
        <v>20</v>
      </c>
      <c r="P52" s="107">
        <v>20</v>
      </c>
      <c r="Q52" s="107">
        <v>20</v>
      </c>
      <c r="R52" s="107">
        <v>20</v>
      </c>
      <c r="S52" s="107">
        <v>20</v>
      </c>
      <c r="T52" s="107">
        <v>20</v>
      </c>
      <c r="U52" s="107">
        <v>20</v>
      </c>
      <c r="V52" s="107">
        <v>20</v>
      </c>
      <c r="W52" s="107">
        <v>20</v>
      </c>
      <c r="X52" s="107">
        <v>20</v>
      </c>
      <c r="Y52" s="107">
        <v>20</v>
      </c>
      <c r="Z52" s="107">
        <v>20</v>
      </c>
      <c r="AA52" s="107">
        <v>20</v>
      </c>
      <c r="AB52" s="107">
        <v>20</v>
      </c>
      <c r="AC52" s="107">
        <v>20</v>
      </c>
      <c r="AD52" s="107">
        <v>20</v>
      </c>
      <c r="AE52" s="107">
        <v>20</v>
      </c>
      <c r="AF52" s="107">
        <v>20</v>
      </c>
      <c r="AG52" s="107">
        <v>20</v>
      </c>
      <c r="AH52" s="107">
        <v>20</v>
      </c>
      <c r="AI52" s="107">
        <v>20</v>
      </c>
      <c r="AJ52" s="107">
        <v>20</v>
      </c>
      <c r="AK52" s="107">
        <v>20</v>
      </c>
      <c r="AL52" s="107">
        <v>20</v>
      </c>
      <c r="AM52" s="107">
        <v>20</v>
      </c>
      <c r="AN52" s="107">
        <v>20</v>
      </c>
      <c r="AO52" s="107">
        <v>20</v>
      </c>
      <c r="AP52" s="107">
        <v>20</v>
      </c>
      <c r="AQ52" s="107">
        <v>20</v>
      </c>
      <c r="AR52" s="107">
        <v>20</v>
      </c>
      <c r="AS52" s="107">
        <v>20</v>
      </c>
      <c r="AT52" s="107">
        <v>20</v>
      </c>
      <c r="AU52" s="107">
        <v>20</v>
      </c>
      <c r="AV52" s="107">
        <v>20</v>
      </c>
      <c r="AW52" s="107">
        <v>20</v>
      </c>
      <c r="AX52" s="107"/>
      <c r="AY52" s="107"/>
      <c r="AZ52" s="107"/>
      <c r="BA52" s="106"/>
      <c r="BB52" s="106"/>
      <c r="BC52" s="106"/>
      <c r="BD52" s="106"/>
      <c r="BE52" s="106"/>
      <c r="BF52" s="106"/>
      <c r="BG52" s="106"/>
      <c r="BH52" s="106"/>
      <c r="BI52" s="106"/>
      <c r="BJ52" s="106"/>
      <c r="BK52" s="106"/>
      <c r="BL52" s="106"/>
      <c r="BM52" s="106"/>
      <c r="BN52" s="106"/>
      <c r="BO52" s="106"/>
      <c r="BP52" s="106"/>
      <c r="BQ52" s="106"/>
      <c r="BR52" s="106"/>
      <c r="BS52" s="106"/>
      <c r="BT52" s="106"/>
      <c r="BU52" s="106"/>
      <c r="BV52" s="106"/>
      <c r="BW52" s="106"/>
      <c r="BX52" s="106"/>
      <c r="BY52" s="106"/>
      <c r="BZ52" s="158">
        <f t="shared" si="1"/>
        <v>900</v>
      </c>
    </row>
    <row r="53" spans="1:78" x14ac:dyDescent="0.35">
      <c r="A53" s="147" t="str">
        <f>'[10]Set Up'!E57</f>
        <v>Bekkalube</v>
      </c>
      <c r="B53" s="148" t="str">
        <f t="shared" si="2"/>
        <v/>
      </c>
      <c r="C53" s="159"/>
      <c r="D53" s="160"/>
      <c r="E53" s="160"/>
      <c r="F53" s="160"/>
      <c r="G53" s="160"/>
      <c r="H53" s="160"/>
      <c r="I53" s="160"/>
      <c r="J53" s="160"/>
      <c r="K53" s="160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  <c r="AF53" s="161"/>
      <c r="AG53" s="161"/>
      <c r="AH53" s="161"/>
      <c r="AI53" s="161"/>
      <c r="AJ53" s="161"/>
      <c r="AK53" s="161">
        <v>10</v>
      </c>
      <c r="AL53" s="161"/>
      <c r="AM53" s="161"/>
      <c r="AN53" s="161"/>
      <c r="AO53" s="161"/>
      <c r="AP53" s="161"/>
      <c r="AQ53" s="161"/>
      <c r="AR53" s="161"/>
      <c r="AS53" s="161"/>
      <c r="AT53" s="161"/>
      <c r="AU53" s="161"/>
      <c r="AV53" s="161"/>
      <c r="AW53" s="161"/>
      <c r="AX53" s="161"/>
      <c r="AY53" s="161"/>
      <c r="AZ53" s="161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3">
        <f t="shared" si="1"/>
        <v>10</v>
      </c>
    </row>
    <row r="54" spans="1:78" x14ac:dyDescent="0.35">
      <c r="A54" s="154">
        <f>'[10]Set Up'!E58</f>
        <v>0</v>
      </c>
      <c r="B54" s="155" t="str">
        <f t="shared" si="2"/>
        <v/>
      </c>
      <c r="C54" s="156"/>
      <c r="D54" s="157"/>
      <c r="E54" s="157"/>
      <c r="F54" s="157"/>
      <c r="G54" s="157"/>
      <c r="H54" s="157"/>
      <c r="I54" s="157"/>
      <c r="J54" s="157"/>
      <c r="K54" s="15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6"/>
      <c r="BB54" s="106"/>
      <c r="BC54" s="106"/>
      <c r="BD54" s="106"/>
      <c r="BE54" s="106"/>
      <c r="BF54" s="106"/>
      <c r="BG54" s="106"/>
      <c r="BH54" s="106"/>
      <c r="BI54" s="106"/>
      <c r="BJ54" s="106"/>
      <c r="BK54" s="106"/>
      <c r="BL54" s="106"/>
      <c r="BM54" s="106"/>
      <c r="BN54" s="106"/>
      <c r="BO54" s="106"/>
      <c r="BP54" s="106"/>
      <c r="BQ54" s="106"/>
      <c r="BR54" s="106"/>
      <c r="BS54" s="106"/>
      <c r="BT54" s="106"/>
      <c r="BU54" s="106"/>
      <c r="BV54" s="106"/>
      <c r="BW54" s="106"/>
      <c r="BX54" s="106"/>
      <c r="BY54" s="106"/>
      <c r="BZ54" s="158">
        <f t="shared" si="1"/>
        <v>0</v>
      </c>
    </row>
    <row r="55" spans="1:78" x14ac:dyDescent="0.35">
      <c r="A55" s="147" t="str">
        <f>'[10]Set Up'!E59</f>
        <v>Diesel, gal</v>
      </c>
      <c r="B55" s="148">
        <f t="shared" si="2"/>
        <v>4293.3264583333321</v>
      </c>
      <c r="C55" s="159">
        <v>3619.4</v>
      </c>
      <c r="D55" s="160">
        <v>3751</v>
      </c>
      <c r="E55" s="160">
        <v>3436.3</v>
      </c>
      <c r="F55" s="160">
        <v>3793</v>
      </c>
      <c r="G55" s="160">
        <v>3583</v>
      </c>
      <c r="H55" s="160">
        <v>3605.1</v>
      </c>
      <c r="I55" s="160">
        <v>3876</v>
      </c>
      <c r="J55" s="160">
        <v>3708</v>
      </c>
      <c r="K55" s="160">
        <v>3676.9</v>
      </c>
      <c r="L55" s="161">
        <v>3632</v>
      </c>
      <c r="M55" s="161">
        <v>3419</v>
      </c>
      <c r="N55" s="161">
        <v>3604.6</v>
      </c>
      <c r="O55" s="161">
        <v>3426.7</v>
      </c>
      <c r="P55" s="161">
        <v>3742</v>
      </c>
      <c r="Q55" s="161">
        <v>3435</v>
      </c>
      <c r="R55" s="161">
        <v>4015</v>
      </c>
      <c r="S55" s="161">
        <v>3095</v>
      </c>
      <c r="T55" s="161">
        <v>3416</v>
      </c>
      <c r="U55" s="161">
        <v>3593.27</v>
      </c>
      <c r="V55" s="161">
        <v>3564.7</v>
      </c>
      <c r="W55" s="161">
        <v>3746.2</v>
      </c>
      <c r="X55" s="161">
        <v>3145</v>
      </c>
      <c r="Y55" s="161">
        <v>3247</v>
      </c>
      <c r="Z55" s="161">
        <v>37454.9</v>
      </c>
      <c r="AA55" s="161">
        <v>3745.9</v>
      </c>
      <c r="AB55" s="161">
        <v>3434.1</v>
      </c>
      <c r="AC55" s="161">
        <v>3416.4</v>
      </c>
      <c r="AD55" s="161">
        <v>3869.2</v>
      </c>
      <c r="AE55" s="161">
        <v>3728</v>
      </c>
      <c r="AF55" s="161">
        <v>3657.3</v>
      </c>
      <c r="AG55" s="161">
        <v>3192.3</v>
      </c>
      <c r="AH55" s="161">
        <v>3679.4</v>
      </c>
      <c r="AI55" s="161">
        <v>3410</v>
      </c>
      <c r="AJ55" s="161">
        <v>3439</v>
      </c>
      <c r="AK55" s="161">
        <v>3886.7</v>
      </c>
      <c r="AL55" s="161">
        <v>3912</v>
      </c>
      <c r="AM55" s="161">
        <v>3573</v>
      </c>
      <c r="AN55" s="161">
        <v>3278.3</v>
      </c>
      <c r="AO55" s="161">
        <v>3416.5</v>
      </c>
      <c r="AP55" s="161">
        <v>3771</v>
      </c>
      <c r="AQ55" s="161">
        <v>3427.6</v>
      </c>
      <c r="AR55" s="161">
        <v>3553.6</v>
      </c>
      <c r="AS55" s="161">
        <v>3575.3</v>
      </c>
      <c r="AT55" s="161">
        <v>3570.2</v>
      </c>
      <c r="AU55" s="161">
        <v>4998.8</v>
      </c>
      <c r="AV55" s="161">
        <v>3184</v>
      </c>
      <c r="AW55" s="161">
        <v>3436</v>
      </c>
      <c r="AX55" s="161">
        <v>3340</v>
      </c>
      <c r="AY55" s="161"/>
      <c r="AZ55" s="161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3">
        <f t="shared" si="1"/>
        <v>206079.66999999995</v>
      </c>
    </row>
    <row r="56" spans="1:78" x14ac:dyDescent="0.35">
      <c r="A56" s="154">
        <f>'[10]Set Up'!E60</f>
        <v>0</v>
      </c>
      <c r="B56" s="155" t="str">
        <f t="shared" si="2"/>
        <v/>
      </c>
      <c r="C56" s="156"/>
      <c r="D56" s="157"/>
      <c r="E56" s="157"/>
      <c r="F56" s="157"/>
      <c r="G56" s="157"/>
      <c r="H56" s="157"/>
      <c r="I56" s="157"/>
      <c r="J56" s="157"/>
      <c r="K56" s="15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6"/>
      <c r="BB56" s="106"/>
      <c r="BC56" s="106"/>
      <c r="BD56" s="106"/>
      <c r="BE56" s="106"/>
      <c r="BF56" s="106"/>
      <c r="BG56" s="106"/>
      <c r="BH56" s="106"/>
      <c r="BI56" s="106"/>
      <c r="BJ56" s="106"/>
      <c r="BK56" s="106"/>
      <c r="BL56" s="106"/>
      <c r="BM56" s="106"/>
      <c r="BN56" s="106"/>
      <c r="BO56" s="106"/>
      <c r="BP56" s="106"/>
      <c r="BQ56" s="106"/>
      <c r="BR56" s="106"/>
      <c r="BS56" s="106"/>
      <c r="BT56" s="106"/>
      <c r="BU56" s="106"/>
      <c r="BV56" s="106"/>
      <c r="BW56" s="106"/>
      <c r="BX56" s="106"/>
      <c r="BY56" s="106"/>
      <c r="BZ56" s="158">
        <f t="shared" si="1"/>
        <v>0</v>
      </c>
    </row>
    <row r="57" spans="1:78" x14ac:dyDescent="0.35">
      <c r="A57" s="164">
        <f>'[10]Set Up'!E61</f>
        <v>0</v>
      </c>
      <c r="B57" s="165" t="str">
        <f t="shared" si="2"/>
        <v/>
      </c>
      <c r="C57" s="159"/>
      <c r="D57" s="160"/>
      <c r="E57" s="160"/>
      <c r="F57" s="160"/>
      <c r="G57" s="160"/>
      <c r="H57" s="160"/>
      <c r="I57" s="160"/>
      <c r="J57" s="160"/>
      <c r="K57" s="160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3">
        <f t="shared" si="1"/>
        <v>0</v>
      </c>
    </row>
    <row r="58" spans="1:78" x14ac:dyDescent="0.35">
      <c r="A58" s="166" t="str">
        <f>'[10]Set Up'!E62</f>
        <v>15% HCl Acid, gal</v>
      </c>
      <c r="B58" s="167">
        <f t="shared" si="2"/>
        <v>786.29166666666663</v>
      </c>
      <c r="C58" s="156">
        <v>1261</v>
      </c>
      <c r="D58" s="157">
        <v>1224</v>
      </c>
      <c r="E58" s="157">
        <v>1161</v>
      </c>
      <c r="F58" s="157">
        <v>1251</v>
      </c>
      <c r="G58" s="157">
        <v>1277</v>
      </c>
      <c r="H58" s="157">
        <v>1211</v>
      </c>
      <c r="I58" s="157">
        <v>1256</v>
      </c>
      <c r="J58" s="157">
        <v>1269</v>
      </c>
      <c r="K58" s="157">
        <v>1261</v>
      </c>
      <c r="L58" s="107">
        <v>1224</v>
      </c>
      <c r="M58" s="107">
        <v>1161</v>
      </c>
      <c r="N58" s="107">
        <v>1189</v>
      </c>
      <c r="O58" s="107">
        <v>1227</v>
      </c>
      <c r="P58" s="107">
        <v>1206</v>
      </c>
      <c r="Q58" s="107">
        <v>554</v>
      </c>
      <c r="R58" s="107">
        <v>575</v>
      </c>
      <c r="S58" s="107">
        <v>596</v>
      </c>
      <c r="T58" s="107">
        <v>610</v>
      </c>
      <c r="U58" s="107">
        <v>620</v>
      </c>
      <c r="V58" s="107">
        <v>631</v>
      </c>
      <c r="W58" s="107">
        <v>633</v>
      </c>
      <c r="X58" s="107">
        <v>575</v>
      </c>
      <c r="Y58" s="107">
        <v>625</v>
      </c>
      <c r="Z58" s="107">
        <v>617</v>
      </c>
      <c r="AA58" s="107">
        <v>628</v>
      </c>
      <c r="AB58" s="107">
        <v>633</v>
      </c>
      <c r="AC58" s="107">
        <v>635</v>
      </c>
      <c r="AD58" s="107">
        <v>633</v>
      </c>
      <c r="AE58" s="107">
        <v>631</v>
      </c>
      <c r="AF58" s="107">
        <v>625</v>
      </c>
      <c r="AG58" s="107">
        <v>609</v>
      </c>
      <c r="AH58" s="107">
        <v>599</v>
      </c>
      <c r="AI58" s="107">
        <v>580</v>
      </c>
      <c r="AJ58" s="107">
        <v>559</v>
      </c>
      <c r="AK58" s="107">
        <v>662</v>
      </c>
      <c r="AL58" s="107">
        <v>609</v>
      </c>
      <c r="AM58" s="107">
        <v>546</v>
      </c>
      <c r="AN58" s="107">
        <v>509</v>
      </c>
      <c r="AO58" s="107">
        <v>541</v>
      </c>
      <c r="AP58" s="107">
        <v>565</v>
      </c>
      <c r="AQ58" s="107">
        <v>585</v>
      </c>
      <c r="AR58" s="107">
        <v>604</v>
      </c>
      <c r="AS58" s="107">
        <v>615</v>
      </c>
      <c r="AT58" s="107">
        <v>625</v>
      </c>
      <c r="AU58" s="107">
        <v>633</v>
      </c>
      <c r="AV58" s="107">
        <v>633</v>
      </c>
      <c r="AW58" s="107">
        <v>636</v>
      </c>
      <c r="AX58" s="107">
        <v>633</v>
      </c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90">
        <f t="shared" si="1"/>
        <v>37742</v>
      </c>
    </row>
  </sheetData>
  <mergeCells count="17">
    <mergeCell ref="A1:D1"/>
    <mergeCell ref="E1:K1"/>
    <mergeCell ref="L1:V6"/>
    <mergeCell ref="B2:D2"/>
    <mergeCell ref="F2:G2"/>
    <mergeCell ref="B3:D3"/>
    <mergeCell ref="F3:G3"/>
    <mergeCell ref="B4:D4"/>
    <mergeCell ref="F4:G4"/>
    <mergeCell ref="B5:D5"/>
    <mergeCell ref="C16:I16"/>
    <mergeCell ref="F5:G5"/>
    <mergeCell ref="B6:E6"/>
    <mergeCell ref="F6:H6"/>
    <mergeCell ref="I6:K6"/>
    <mergeCell ref="B8:B12"/>
    <mergeCell ref="B13:B15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Z57"/>
  <sheetViews>
    <sheetView workbookViewId="0">
      <selection activeCell="A31" sqref="A31:A33"/>
    </sheetView>
  </sheetViews>
  <sheetFormatPr defaultRowHeight="14.5" x14ac:dyDescent="0.35"/>
  <cols>
    <col min="1" max="1" width="21.1796875" bestFit="1" customWidth="1"/>
    <col min="2" max="2" width="17.81640625" bestFit="1" customWidth="1"/>
    <col min="3" max="4" width="7.453125" bestFit="1" customWidth="1"/>
    <col min="5" max="5" width="9.54296875" bestFit="1" customWidth="1"/>
    <col min="6" max="7" width="7.453125" bestFit="1" customWidth="1"/>
    <col min="8" max="8" width="8.1796875" bestFit="1" customWidth="1"/>
    <col min="9" max="9" width="7.453125" bestFit="1" customWidth="1"/>
    <col min="10" max="10" width="8" bestFit="1" customWidth="1"/>
    <col min="11" max="55" width="7.453125" bestFit="1" customWidth="1"/>
    <col min="56" max="56" width="5.7265625" bestFit="1" customWidth="1"/>
    <col min="57" max="77" width="3.1796875" bestFit="1" customWidth="1"/>
    <col min="78" max="78" width="9.81640625" bestFit="1" customWidth="1"/>
  </cols>
  <sheetData>
    <row r="1" spans="1:78" x14ac:dyDescent="0.35">
      <c r="A1" s="3" t="s">
        <v>1</v>
      </c>
      <c r="B1" s="188">
        <f>'[11]Set Up'!E4</f>
        <v>0</v>
      </c>
      <c r="C1" s="207"/>
      <c r="D1" s="208"/>
      <c r="E1" s="4" t="s">
        <v>2</v>
      </c>
      <c r="F1" s="209" t="str">
        <f>'[11]Set Up'!E8</f>
        <v>Loving Texas, TX</v>
      </c>
      <c r="G1" s="210"/>
      <c r="H1" s="5" t="str">
        <f>'[11]Set Up'!K14</f>
        <v>Length</v>
      </c>
      <c r="I1" s="6" t="str">
        <f>'[11]Set Up'!E14</f>
        <v>OD</v>
      </c>
      <c r="J1" s="7" t="str">
        <f>'[11]Set Up'!F14</f>
        <v>Weight</v>
      </c>
      <c r="K1" s="6" t="str">
        <f>'[11]Set Up'!H14</f>
        <v>Grade</v>
      </c>
      <c r="L1" s="18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8"/>
    </row>
    <row r="2" spans="1:78" x14ac:dyDescent="0.35">
      <c r="A2" s="3" t="s">
        <v>3</v>
      </c>
      <c r="B2" s="188" t="str">
        <f>'[11]Set Up'!E6</f>
        <v>Matt Jones</v>
      </c>
      <c r="C2" s="207"/>
      <c r="D2" s="208"/>
      <c r="E2" s="4" t="s">
        <v>4</v>
      </c>
      <c r="F2" s="209" t="str">
        <f>'[11]Set Up'!J6</f>
        <v>Hot</v>
      </c>
      <c r="G2" s="210"/>
      <c r="H2" s="5">
        <f>'[11]Set Up'!K15</f>
        <v>12202</v>
      </c>
      <c r="I2" s="6" t="str">
        <f>'[11]Set Up'!E15</f>
        <v>5-1/2"</v>
      </c>
      <c r="J2" s="7">
        <f>'[11]Set Up'!F15</f>
        <v>23</v>
      </c>
      <c r="K2" s="6" t="str">
        <f>'[11]Set Up'!H15</f>
        <v>P-110</v>
      </c>
      <c r="L2" s="18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8"/>
    </row>
    <row r="3" spans="1:78" x14ac:dyDescent="0.35">
      <c r="A3" s="3" t="s">
        <v>5</v>
      </c>
      <c r="B3" s="188" t="str">
        <f>'[11]Set Up'!E5</f>
        <v>Anadarko Petroleum Corporation</v>
      </c>
      <c r="C3" s="207"/>
      <c r="D3" s="208"/>
      <c r="E3" s="4" t="s">
        <v>6</v>
      </c>
      <c r="F3" s="211" t="str">
        <f>'[11]Set Up'!R1</f>
        <v>Max Pressure, psi</v>
      </c>
      <c r="G3" s="212"/>
      <c r="H3" s="5">
        <f>'[11]Set Up'!K16</f>
        <v>11230</v>
      </c>
      <c r="I3" s="6" t="str">
        <f>'[11]Set Up'!E16</f>
        <v>4-1/2"</v>
      </c>
      <c r="J3" s="7">
        <f>'[11]Set Up'!F16</f>
        <v>13.5</v>
      </c>
      <c r="K3" s="6" t="str">
        <f>'[11]Set Up'!H16</f>
        <v>P-110</v>
      </c>
      <c r="L3" s="18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9"/>
    </row>
    <row r="4" spans="1:78" x14ac:dyDescent="0.35">
      <c r="A4" s="3" t="s">
        <v>7</v>
      </c>
      <c r="B4" s="188" t="str">
        <f>'[11]Set Up'!E7</f>
        <v>Silvertip 76-7 Unit B 2H</v>
      </c>
      <c r="C4" s="207"/>
      <c r="D4" s="208"/>
      <c r="E4" s="10" t="s">
        <v>8</v>
      </c>
      <c r="F4" s="186" t="str">
        <f>'[11]Set Up'!R10</f>
        <v>Job Type</v>
      </c>
      <c r="G4" s="187"/>
      <c r="H4" s="5" t="str">
        <f>'[11]Set Up'!K17</f>
        <v/>
      </c>
      <c r="I4" s="6" t="str">
        <f>'[11]Set Up'!E17</f>
        <v/>
      </c>
      <c r="J4" s="7" t="str">
        <f>'[11]Set Up'!F17</f>
        <v/>
      </c>
      <c r="K4" s="6" t="str">
        <f>'[11]Set Up'!H17</f>
        <v/>
      </c>
      <c r="L4" s="18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8"/>
    </row>
    <row r="5" spans="1:78" x14ac:dyDescent="0.35">
      <c r="A5" s="3" t="s">
        <v>9</v>
      </c>
      <c r="B5" s="188" t="str">
        <f>'[11]Set Up'!E9</f>
        <v>Wolfcamp Beta</v>
      </c>
      <c r="C5" s="189"/>
      <c r="D5" s="189"/>
      <c r="E5" s="190"/>
      <c r="F5" s="191" t="str">
        <f>'[11]Set Up'!E10</f>
        <v>PumpCo 3</v>
      </c>
      <c r="G5" s="192"/>
      <c r="H5" s="193"/>
      <c r="I5" s="191" t="str">
        <f>'[11]Set Up'!E11</f>
        <v>Odessa</v>
      </c>
      <c r="J5" s="192"/>
      <c r="K5" s="193"/>
      <c r="L5" s="182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3"/>
    </row>
    <row r="6" spans="1:78" ht="15" thickBot="1" x14ac:dyDescent="0.4">
      <c r="A6" s="14" t="s">
        <v>10</v>
      </c>
      <c r="B6" s="15" t="s">
        <v>11</v>
      </c>
      <c r="C6" s="15">
        <v>1</v>
      </c>
      <c r="D6" s="15">
        <v>2</v>
      </c>
      <c r="E6" s="15">
        <v>3</v>
      </c>
      <c r="F6" s="16">
        <v>4</v>
      </c>
      <c r="G6" s="15">
        <v>5</v>
      </c>
      <c r="H6" s="15">
        <v>6</v>
      </c>
      <c r="I6" s="15">
        <v>7</v>
      </c>
      <c r="J6" s="15">
        <v>8</v>
      </c>
      <c r="K6" s="15">
        <v>9</v>
      </c>
      <c r="L6" s="15">
        <v>10</v>
      </c>
      <c r="M6" s="15">
        <v>11</v>
      </c>
      <c r="N6" s="15">
        <v>12</v>
      </c>
      <c r="O6" s="15">
        <v>13</v>
      </c>
      <c r="P6" s="15">
        <v>14</v>
      </c>
      <c r="Q6" s="15">
        <v>15</v>
      </c>
      <c r="R6" s="15">
        <v>16</v>
      </c>
      <c r="S6" s="15">
        <v>17</v>
      </c>
      <c r="T6" s="15">
        <v>18</v>
      </c>
      <c r="U6" s="15">
        <v>19</v>
      </c>
      <c r="V6" s="15">
        <v>20</v>
      </c>
      <c r="W6" s="15">
        <v>21</v>
      </c>
      <c r="X6" s="15">
        <v>22</v>
      </c>
      <c r="Y6" s="15">
        <v>23</v>
      </c>
      <c r="Z6" s="15">
        <v>24</v>
      </c>
      <c r="AA6" s="15">
        <v>25</v>
      </c>
      <c r="AB6" s="15">
        <v>26</v>
      </c>
      <c r="AC6" s="15">
        <v>27</v>
      </c>
      <c r="AD6" s="15">
        <v>28</v>
      </c>
      <c r="AE6" s="15">
        <v>29</v>
      </c>
      <c r="AF6" s="15">
        <v>30</v>
      </c>
      <c r="AG6" s="15">
        <v>31</v>
      </c>
      <c r="AH6" s="15">
        <v>32</v>
      </c>
      <c r="AI6" s="15">
        <v>33</v>
      </c>
      <c r="AJ6" s="15">
        <v>34</v>
      </c>
      <c r="AK6" s="15">
        <v>35</v>
      </c>
      <c r="AL6" s="15">
        <v>36</v>
      </c>
      <c r="AM6" s="15">
        <v>37</v>
      </c>
      <c r="AN6" s="15">
        <v>38</v>
      </c>
      <c r="AO6" s="15">
        <v>39</v>
      </c>
      <c r="AP6" s="15">
        <v>40</v>
      </c>
      <c r="AQ6" s="15">
        <v>41</v>
      </c>
      <c r="AR6" s="15">
        <v>42</v>
      </c>
      <c r="AS6" s="15">
        <v>43</v>
      </c>
      <c r="AT6" s="15">
        <v>44</v>
      </c>
      <c r="AU6" s="15">
        <v>45</v>
      </c>
      <c r="AV6" s="15">
        <v>46</v>
      </c>
      <c r="AW6" s="15">
        <v>47</v>
      </c>
      <c r="AX6" s="15">
        <v>48</v>
      </c>
      <c r="AY6" s="15">
        <v>49</v>
      </c>
      <c r="AZ6" s="15">
        <v>50</v>
      </c>
      <c r="BA6" s="15">
        <v>51</v>
      </c>
      <c r="BB6" s="15">
        <v>52</v>
      </c>
      <c r="BC6" s="15">
        <v>53</v>
      </c>
      <c r="BD6" s="15">
        <v>54</v>
      </c>
      <c r="BE6" s="15">
        <v>55</v>
      </c>
      <c r="BF6" s="15">
        <v>56</v>
      </c>
      <c r="BG6" s="15">
        <v>57</v>
      </c>
      <c r="BH6" s="15">
        <v>58</v>
      </c>
      <c r="BI6" s="15">
        <v>59</v>
      </c>
      <c r="BJ6" s="15">
        <v>60</v>
      </c>
      <c r="BK6" s="15">
        <v>61</v>
      </c>
      <c r="BL6" s="15">
        <v>62</v>
      </c>
      <c r="BM6" s="15">
        <v>63</v>
      </c>
      <c r="BN6" s="15">
        <v>64</v>
      </c>
      <c r="BO6" s="15">
        <v>65</v>
      </c>
      <c r="BP6" s="15">
        <v>66</v>
      </c>
      <c r="BQ6" s="15">
        <v>67</v>
      </c>
      <c r="BR6" s="15">
        <v>68</v>
      </c>
      <c r="BS6" s="15">
        <v>69</v>
      </c>
      <c r="BT6" s="15">
        <v>70</v>
      </c>
      <c r="BU6" s="15">
        <v>71</v>
      </c>
      <c r="BV6" s="15">
        <v>72</v>
      </c>
      <c r="BW6" s="15">
        <v>73</v>
      </c>
      <c r="BX6" s="15">
        <v>74</v>
      </c>
      <c r="BY6" s="15">
        <v>75</v>
      </c>
      <c r="BZ6" s="17" t="s">
        <v>12</v>
      </c>
    </row>
    <row r="7" spans="1:78" x14ac:dyDescent="0.35">
      <c r="A7" s="18" t="s">
        <v>13</v>
      </c>
      <c r="B7" s="194" t="s">
        <v>14</v>
      </c>
      <c r="C7" s="19">
        <f>'[11]Set Up'!$U$2</f>
        <v>23174</v>
      </c>
      <c r="D7" s="19">
        <f>'[11]Set Up'!$U$3</f>
        <v>22974</v>
      </c>
      <c r="E7" s="19">
        <f>'[11]Set Up'!$U$4</f>
        <v>22774</v>
      </c>
      <c r="F7" s="19">
        <f>'[11]Set Up'!$U$5</f>
        <v>22574</v>
      </c>
      <c r="G7" s="19">
        <f>'[11]Set Up'!$U$6</f>
        <v>22374</v>
      </c>
      <c r="H7" s="19">
        <f>'[11]Set Up'!$U$7</f>
        <v>22174</v>
      </c>
      <c r="I7" s="19">
        <f>'[11]Set Up'!$U$8</f>
        <v>21973</v>
      </c>
      <c r="J7" s="19">
        <f>'[11]Set Up'!$U$9</f>
        <v>21773</v>
      </c>
      <c r="K7" s="19">
        <f>'[11]Set Up'!$U$10</f>
        <v>21573</v>
      </c>
      <c r="L7" s="19">
        <f>'[11]Set Up'!$U$11</f>
        <v>21373</v>
      </c>
      <c r="M7" s="19">
        <f>'[11]Set Up'!$U$12</f>
        <v>21173</v>
      </c>
      <c r="N7" s="19">
        <f>'[11]Set Up'!$U$13</f>
        <v>20973</v>
      </c>
      <c r="O7" s="19">
        <f>'[11]Set Up'!$U$14</f>
        <v>20773</v>
      </c>
      <c r="P7" s="19">
        <f>'[11]Set Up'!$U$15</f>
        <v>20573</v>
      </c>
      <c r="Q7" s="19">
        <f>'[11]Set Up'!$U$16</f>
        <v>20373</v>
      </c>
      <c r="R7" s="19">
        <f>'[11]Set Up'!$U$17</f>
        <v>20172</v>
      </c>
      <c r="S7" s="19">
        <f>'[11]Set Up'!$U$18</f>
        <v>19972</v>
      </c>
      <c r="T7" s="19">
        <f>'[11]Set Up'!$U$19</f>
        <v>19772</v>
      </c>
      <c r="U7" s="19">
        <f>'[11]Set Up'!$U$20</f>
        <v>19572</v>
      </c>
      <c r="V7" s="19">
        <f>'[11]Set Up'!$U$21</f>
        <v>19372</v>
      </c>
      <c r="W7" s="19">
        <f>'[11]Set Up'!$U$22</f>
        <v>19172</v>
      </c>
      <c r="X7" s="19">
        <f>'[11]Set Up'!$U$23</f>
        <v>18972</v>
      </c>
      <c r="Y7" s="19">
        <f>'[11]Set Up'!$U$24</f>
        <v>18772</v>
      </c>
      <c r="Z7" s="19">
        <f>'[11]Set Up'!$U$25</f>
        <v>18571</v>
      </c>
      <c r="AA7" s="19">
        <f>'[11]Set Up'!$U$26</f>
        <v>18371</v>
      </c>
      <c r="AB7" s="19">
        <f>'[11]Set Up'!$U$27</f>
        <v>18171</v>
      </c>
      <c r="AC7" s="19">
        <f>'[11]Set Up'!$U$28</f>
        <v>17971</v>
      </c>
      <c r="AD7" s="19">
        <f>'[11]Set Up'!$U$29</f>
        <v>17771</v>
      </c>
      <c r="AE7" s="19">
        <f>'[11]Set Up'!$U$30</f>
        <v>17571</v>
      </c>
      <c r="AF7" s="19">
        <f>'[11]Set Up'!$U$31</f>
        <v>17371</v>
      </c>
      <c r="AG7" s="19">
        <f>'[11]Set Up'!$U$32</f>
        <v>17171</v>
      </c>
      <c r="AH7" s="19">
        <f>'[11]Set Up'!$U$33</f>
        <v>16970</v>
      </c>
      <c r="AI7" s="19">
        <f>'[11]Set Up'!$U$34</f>
        <v>16770</v>
      </c>
      <c r="AJ7" s="19">
        <f>'[11]Set Up'!$U$35</f>
        <v>16570</v>
      </c>
      <c r="AK7" s="19">
        <f>'[11]Set Up'!$U$36</f>
        <v>16370</v>
      </c>
      <c r="AL7" s="19">
        <f>'[11]Set Up'!$U$37</f>
        <v>16170</v>
      </c>
      <c r="AM7" s="19">
        <f>'[11]Set Up'!$U$38</f>
        <v>15970</v>
      </c>
      <c r="AN7" s="19">
        <f>'[11]Set Up'!$U$39</f>
        <v>15770</v>
      </c>
      <c r="AO7" s="19">
        <f>'[11]Set Up'!$U$40</f>
        <v>15570</v>
      </c>
      <c r="AP7" s="19">
        <f>'[11]Set Up'!$U$41</f>
        <v>15370</v>
      </c>
      <c r="AQ7" s="19">
        <f>'[11]Set Up'!$U$42</f>
        <v>15169</v>
      </c>
      <c r="AR7" s="19">
        <f>'[11]Set Up'!$U$43</f>
        <v>14969</v>
      </c>
      <c r="AS7" s="19">
        <f>'[11]Set Up'!$U$44</f>
        <v>14769</v>
      </c>
      <c r="AT7" s="19">
        <f>'[11]Set Up'!$U$45</f>
        <v>14569</v>
      </c>
      <c r="AU7" s="19">
        <f>'[11]Set Up'!$U$46</f>
        <v>14369</v>
      </c>
      <c r="AV7" s="19">
        <f>'[11]Set Up'!$U$47</f>
        <v>14169</v>
      </c>
      <c r="AW7" s="19">
        <f>'[11]Set Up'!$U$48</f>
        <v>13969</v>
      </c>
      <c r="AX7" s="19">
        <f>'[11]Set Up'!$U$49</f>
        <v>13769</v>
      </c>
      <c r="AY7" s="19">
        <f>'[11]Set Up'!$U$50</f>
        <v>13568</v>
      </c>
      <c r="AZ7" s="19">
        <f>'[11]Set Up'!$U$51</f>
        <v>13368</v>
      </c>
      <c r="BA7" s="19">
        <f>'[11]Set Up'!$U$52</f>
        <v>13168</v>
      </c>
      <c r="BB7" s="19">
        <f>'[11]Set Up'!$U$53</f>
        <v>12968</v>
      </c>
      <c r="BC7" s="19">
        <f>'[11]Set Up'!$U$54</f>
        <v>12768</v>
      </c>
      <c r="BD7" s="19">
        <f>'[11]Set Up'!$U$55</f>
        <v>0</v>
      </c>
      <c r="BE7" s="19">
        <f>'[11]Set Up'!$U$56</f>
        <v>0</v>
      </c>
      <c r="BF7" s="19">
        <f>'[11]Set Up'!$U$57</f>
        <v>0</v>
      </c>
      <c r="BG7" s="19">
        <f>'[11]Set Up'!$U$58</f>
        <v>0</v>
      </c>
      <c r="BH7" s="19">
        <f>'[11]Set Up'!$U$59</f>
        <v>0</v>
      </c>
      <c r="BI7" s="19">
        <f>'[11]Set Up'!$U$60</f>
        <v>0</v>
      </c>
      <c r="BJ7" s="19">
        <f>'[11]Set Up'!$U$61</f>
        <v>0</v>
      </c>
      <c r="BK7" s="19">
        <f>'[11]Set Up'!$U$62</f>
        <v>0</v>
      </c>
      <c r="BL7" s="19">
        <f>'[11]Set Up'!$U$63</f>
        <v>0</v>
      </c>
      <c r="BM7" s="19">
        <f>'[11]Set Up'!$U$64</f>
        <v>0</v>
      </c>
      <c r="BN7" s="19">
        <f>'[11]Set Up'!$U$65</f>
        <v>0</v>
      </c>
      <c r="BO7" s="19">
        <f>'[11]Set Up'!$U$66</f>
        <v>0</v>
      </c>
      <c r="BP7" s="19">
        <f>'[11]Set Up'!$U$67</f>
        <v>0</v>
      </c>
      <c r="BQ7" s="19">
        <f>'[11]Set Up'!$U$68</f>
        <v>0</v>
      </c>
      <c r="BR7" s="19">
        <f>'[11]Set Up'!$U$69</f>
        <v>0</v>
      </c>
      <c r="BS7" s="19">
        <f>'[11]Set Up'!$U$70</f>
        <v>0</v>
      </c>
      <c r="BT7" s="19">
        <f>'[11]Set Up'!$U$71</f>
        <v>0</v>
      </c>
      <c r="BU7" s="19">
        <f>'[11]Set Up'!$U$72</f>
        <v>0</v>
      </c>
      <c r="BV7" s="19">
        <f>'[11]Set Up'!$U$73</f>
        <v>0</v>
      </c>
      <c r="BW7" s="19">
        <f>'[11]Set Up'!$U$74</f>
        <v>0</v>
      </c>
      <c r="BX7" s="19">
        <f>'[11]Set Up'!$U$75</f>
        <v>0</v>
      </c>
      <c r="BY7" s="19">
        <f>'[11]Set Up'!$U$76</f>
        <v>0</v>
      </c>
      <c r="BZ7" s="8"/>
    </row>
    <row r="8" spans="1:78" x14ac:dyDescent="0.35">
      <c r="A8" s="20" t="s">
        <v>15</v>
      </c>
      <c r="B8" s="195"/>
      <c r="C8" s="21" t="str">
        <f>'[11]Set Up'!$V1</f>
        <v>Bot Perf</v>
      </c>
      <c r="D8" s="21">
        <f>'[11]Set Up'!$V2</f>
        <v>23335</v>
      </c>
      <c r="E8" s="21">
        <f>'[11]Set Up'!$V3</f>
        <v>23135</v>
      </c>
      <c r="F8" s="21">
        <f>'[11]Set Up'!$V4</f>
        <v>22935</v>
      </c>
      <c r="G8" s="21">
        <f>'[11]Set Up'!$V5</f>
        <v>22735</v>
      </c>
      <c r="H8" s="21">
        <f>'[11]Set Up'!$V6</f>
        <v>22535</v>
      </c>
      <c r="I8" s="21">
        <f>'[11]Set Up'!$V7</f>
        <v>22335</v>
      </c>
      <c r="J8" s="21">
        <f>'[11]Set Up'!$V8</f>
        <v>22135</v>
      </c>
      <c r="K8" s="21">
        <f>'[11]Set Up'!$V9</f>
        <v>21934</v>
      </c>
      <c r="L8" s="21">
        <f>'[11]Set Up'!$V10</f>
        <v>21734</v>
      </c>
      <c r="M8" s="21">
        <f>'[11]Set Up'!$V11</f>
        <v>21534</v>
      </c>
      <c r="N8" s="21">
        <f>'[11]Set Up'!$V12</f>
        <v>21334</v>
      </c>
      <c r="O8" s="21">
        <f>'[11]Set Up'!$V13</f>
        <v>21134</v>
      </c>
      <c r="P8" s="21">
        <f>'[11]Set Up'!$V14</f>
        <v>20934</v>
      </c>
      <c r="Q8" s="21">
        <f>'[11]Set Up'!$V15</f>
        <v>20734</v>
      </c>
      <c r="R8" s="21">
        <f>'[11]Set Up'!$V16</f>
        <v>20534</v>
      </c>
      <c r="S8" s="21">
        <f>'[11]Set Up'!$V17</f>
        <v>20334</v>
      </c>
      <c r="T8" s="21">
        <f>'[11]Set Up'!$V18</f>
        <v>20133</v>
      </c>
      <c r="U8" s="21">
        <f>'[11]Set Up'!$V19</f>
        <v>19933</v>
      </c>
      <c r="V8" s="21">
        <f>'[11]Set Up'!$V20</f>
        <v>19733</v>
      </c>
      <c r="W8" s="21">
        <f>'[11]Set Up'!$V21</f>
        <v>19533</v>
      </c>
      <c r="X8" s="21">
        <f>'[11]Set Up'!$V22</f>
        <v>19333</v>
      </c>
      <c r="Y8" s="21">
        <f>'[11]Set Up'!$V23</f>
        <v>19133</v>
      </c>
      <c r="Z8" s="21">
        <f>'[11]Set Up'!$V24</f>
        <v>18933</v>
      </c>
      <c r="AA8" s="21">
        <f>'[11]Set Up'!$V25</f>
        <v>18733</v>
      </c>
      <c r="AB8" s="21">
        <f>'[11]Set Up'!$V26</f>
        <v>18532</v>
      </c>
      <c r="AC8" s="21">
        <f>'[11]Set Up'!$V27</f>
        <v>18332</v>
      </c>
      <c r="AD8" s="21">
        <f>'[11]Set Up'!$V28</f>
        <v>18132</v>
      </c>
      <c r="AE8" s="21">
        <f>'[11]Set Up'!$V29</f>
        <v>17932</v>
      </c>
      <c r="AF8" s="21">
        <f>'[11]Set Up'!$V30</f>
        <v>17732</v>
      </c>
      <c r="AG8" s="21">
        <f>'[11]Set Up'!$V31</f>
        <v>17532</v>
      </c>
      <c r="AH8" s="21">
        <f>'[11]Set Up'!$V32</f>
        <v>17332</v>
      </c>
      <c r="AI8" s="21">
        <f>'[11]Set Up'!$V33</f>
        <v>17132</v>
      </c>
      <c r="AJ8" s="21">
        <f>'[11]Set Up'!$V34</f>
        <v>16931</v>
      </c>
      <c r="AK8" s="21">
        <f>'[11]Set Up'!$V35</f>
        <v>16731</v>
      </c>
      <c r="AL8" s="21">
        <f>'[11]Set Up'!$V36</f>
        <v>16531</v>
      </c>
      <c r="AM8" s="21">
        <f>'[11]Set Up'!$V37</f>
        <v>16331</v>
      </c>
      <c r="AN8" s="21">
        <f>'[11]Set Up'!$V38</f>
        <v>16131</v>
      </c>
      <c r="AO8" s="21">
        <f>'[11]Set Up'!$V39</f>
        <v>15931</v>
      </c>
      <c r="AP8" s="21">
        <f>'[11]Set Up'!$V40</f>
        <v>15731</v>
      </c>
      <c r="AQ8" s="21">
        <f>'[11]Set Up'!$V41</f>
        <v>15331</v>
      </c>
      <c r="AR8" s="21">
        <f>'[11]Set Up'!$V42</f>
        <v>15331</v>
      </c>
      <c r="AS8" s="21">
        <f>'[11]Set Up'!$V43</f>
        <v>15130</v>
      </c>
      <c r="AT8" s="21">
        <f>'[11]Set Up'!$V44</f>
        <v>14930</v>
      </c>
      <c r="AU8" s="21">
        <f>'[11]Set Up'!$V45</f>
        <v>14730</v>
      </c>
      <c r="AV8" s="21">
        <f>'[11]Set Up'!$V46</f>
        <v>14530</v>
      </c>
      <c r="AW8" s="21">
        <f>'[11]Set Up'!$V47</f>
        <v>14330</v>
      </c>
      <c r="AX8" s="21">
        <f>'[11]Set Up'!$V48</f>
        <v>14130</v>
      </c>
      <c r="AY8" s="21">
        <f>'[11]Set Up'!$V49</f>
        <v>13930</v>
      </c>
      <c r="AZ8" s="21">
        <f>'[11]Set Up'!$V50</f>
        <v>13730</v>
      </c>
      <c r="BA8" s="21">
        <f>'[11]Set Up'!$V51</f>
        <v>13529</v>
      </c>
      <c r="BB8" s="21">
        <f>'[11]Set Up'!$V52</f>
        <v>13329</v>
      </c>
      <c r="BC8" s="21">
        <f>'[11]Set Up'!$V53</f>
        <v>13129</v>
      </c>
      <c r="BD8" s="21">
        <f>'[11]Set Up'!$V54</f>
        <v>12929</v>
      </c>
      <c r="BE8" s="21">
        <f>'[11]Set Up'!$V55</f>
        <v>0</v>
      </c>
      <c r="BF8" s="21">
        <f>'[11]Set Up'!$V56</f>
        <v>0</v>
      </c>
      <c r="BG8" s="21">
        <f>'[11]Set Up'!$V57</f>
        <v>0</v>
      </c>
      <c r="BH8" s="21">
        <f>'[11]Set Up'!$V58</f>
        <v>0</v>
      </c>
      <c r="BI8" s="21">
        <f>'[11]Set Up'!$V59</f>
        <v>0</v>
      </c>
      <c r="BJ8" s="21">
        <f>'[11]Set Up'!$V60</f>
        <v>0</v>
      </c>
      <c r="BK8" s="21">
        <f>'[11]Set Up'!$V61</f>
        <v>0</v>
      </c>
      <c r="BL8" s="21">
        <f>'[11]Set Up'!$V62</f>
        <v>0</v>
      </c>
      <c r="BM8" s="21">
        <f>'[11]Set Up'!$V63</f>
        <v>0</v>
      </c>
      <c r="BN8" s="21">
        <f>'[11]Set Up'!$V64</f>
        <v>0</v>
      </c>
      <c r="BO8" s="21">
        <f>'[11]Set Up'!$V65</f>
        <v>0</v>
      </c>
      <c r="BP8" s="21">
        <f>'[11]Set Up'!$V66</f>
        <v>0</v>
      </c>
      <c r="BQ8" s="21">
        <f>'[11]Set Up'!$V67</f>
        <v>0</v>
      </c>
      <c r="BR8" s="21">
        <f>'[11]Set Up'!$V68</f>
        <v>0</v>
      </c>
      <c r="BS8" s="21">
        <f>'[11]Set Up'!$V69</f>
        <v>0</v>
      </c>
      <c r="BT8" s="21">
        <f>'[11]Set Up'!$V70</f>
        <v>0</v>
      </c>
      <c r="BU8" s="21">
        <f>'[11]Set Up'!$V71</f>
        <v>0</v>
      </c>
      <c r="BV8" s="21">
        <f>'[11]Set Up'!$V72</f>
        <v>0</v>
      </c>
      <c r="BW8" s="21">
        <f>'[11]Set Up'!$V73</f>
        <v>0</v>
      </c>
      <c r="BX8" s="21">
        <f>'[11]Set Up'!$V74</f>
        <v>0</v>
      </c>
      <c r="BY8" s="21">
        <f>'[11]Set Up'!$V75</f>
        <v>0</v>
      </c>
      <c r="BZ8" s="8"/>
    </row>
    <row r="9" spans="1:78" ht="15" thickBot="1" x14ac:dyDescent="0.4">
      <c r="A9" s="22" t="s">
        <v>16</v>
      </c>
      <c r="B9" s="195"/>
      <c r="C9" s="23" t="str">
        <f>'[11]Set Up'!$W1</f>
        <v>No. Perfs</v>
      </c>
      <c r="D9" s="23">
        <f>'[11]Set Up'!$W2</f>
        <v>24</v>
      </c>
      <c r="E9" s="23">
        <f>'[11]Set Up'!$W3</f>
        <v>24</v>
      </c>
      <c r="F9" s="23">
        <f>'[11]Set Up'!$W4</f>
        <v>24</v>
      </c>
      <c r="G9" s="23">
        <f>'[11]Set Up'!$W5</f>
        <v>24</v>
      </c>
      <c r="H9" s="23">
        <f>'[11]Set Up'!$W6</f>
        <v>24</v>
      </c>
      <c r="I9" s="23">
        <f>'[11]Set Up'!$W7</f>
        <v>24</v>
      </c>
      <c r="J9" s="23">
        <f>'[11]Set Up'!$W8</f>
        <v>24</v>
      </c>
      <c r="K9" s="23">
        <f>'[11]Set Up'!$W9</f>
        <v>24</v>
      </c>
      <c r="L9" s="23">
        <f>'[11]Set Up'!$W10</f>
        <v>24</v>
      </c>
      <c r="M9" s="23">
        <f>'[11]Set Up'!$W11</f>
        <v>24</v>
      </c>
      <c r="N9" s="23">
        <f>'[11]Set Up'!$W12</f>
        <v>24</v>
      </c>
      <c r="O9" s="23">
        <f>'[11]Set Up'!$W13</f>
        <v>24</v>
      </c>
      <c r="P9" s="23">
        <f>'[11]Set Up'!$W14</f>
        <v>24</v>
      </c>
      <c r="Q9" s="23">
        <f>'[11]Set Up'!$W15</f>
        <v>24</v>
      </c>
      <c r="R9" s="23">
        <f>'[11]Set Up'!$W16</f>
        <v>24</v>
      </c>
      <c r="S9" s="23">
        <f>'[11]Set Up'!$W17</f>
        <v>24</v>
      </c>
      <c r="T9" s="23">
        <f>'[11]Set Up'!$W18</f>
        <v>24</v>
      </c>
      <c r="U9" s="23">
        <f>'[11]Set Up'!$W19</f>
        <v>24</v>
      </c>
      <c r="V9" s="23">
        <f>'[11]Set Up'!$W20</f>
        <v>24</v>
      </c>
      <c r="W9" s="23">
        <f>'[11]Set Up'!$W21</f>
        <v>24</v>
      </c>
      <c r="X9" s="23">
        <f>'[11]Set Up'!$W22</f>
        <v>24</v>
      </c>
      <c r="Y9" s="23">
        <f>'[11]Set Up'!$W23</f>
        <v>24</v>
      </c>
      <c r="Z9" s="23">
        <f>'[11]Set Up'!$W24</f>
        <v>24</v>
      </c>
      <c r="AA9" s="23">
        <f>'[11]Set Up'!$W25</f>
        <v>24</v>
      </c>
      <c r="AB9" s="23">
        <f>'[11]Set Up'!$W26</f>
        <v>24</v>
      </c>
      <c r="AC9" s="23">
        <f>'[11]Set Up'!$W27</f>
        <v>24</v>
      </c>
      <c r="AD9" s="23">
        <f>'[11]Set Up'!$W28</f>
        <v>24</v>
      </c>
      <c r="AE9" s="23">
        <f>'[11]Set Up'!$W29</f>
        <v>24</v>
      </c>
      <c r="AF9" s="23">
        <f>'[11]Set Up'!$W30</f>
        <v>24</v>
      </c>
      <c r="AG9" s="23">
        <f>'[11]Set Up'!$W31</f>
        <v>24</v>
      </c>
      <c r="AH9" s="23">
        <f>'[11]Set Up'!$W32</f>
        <v>24</v>
      </c>
      <c r="AI9" s="23">
        <f>'[11]Set Up'!$W33</f>
        <v>24</v>
      </c>
      <c r="AJ9" s="23">
        <f>'[11]Set Up'!$W34</f>
        <v>24</v>
      </c>
      <c r="AK9" s="23">
        <f>'[11]Set Up'!$W35</f>
        <v>24</v>
      </c>
      <c r="AL9" s="23">
        <f>'[11]Set Up'!$W36</f>
        <v>24</v>
      </c>
      <c r="AM9" s="23">
        <f>'[11]Set Up'!$W37</f>
        <v>24</v>
      </c>
      <c r="AN9" s="23">
        <f>'[11]Set Up'!$W38</f>
        <v>24</v>
      </c>
      <c r="AO9" s="23">
        <f>'[11]Set Up'!$W39</f>
        <v>24</v>
      </c>
      <c r="AP9" s="23">
        <f>'[11]Set Up'!$W40</f>
        <v>24</v>
      </c>
      <c r="AQ9" s="23">
        <f>'[11]Set Up'!$W41</f>
        <v>24</v>
      </c>
      <c r="AR9" s="23">
        <f>'[11]Set Up'!$W42</f>
        <v>24</v>
      </c>
      <c r="AS9" s="23">
        <f>'[11]Set Up'!$W43</f>
        <v>24</v>
      </c>
      <c r="AT9" s="23">
        <f>'[11]Set Up'!$W44</f>
        <v>24</v>
      </c>
      <c r="AU9" s="23">
        <f>'[11]Set Up'!$W45</f>
        <v>24</v>
      </c>
      <c r="AV9" s="23">
        <f>'[11]Set Up'!$W46</f>
        <v>24</v>
      </c>
      <c r="AW9" s="23">
        <f>'[11]Set Up'!$W47</f>
        <v>24</v>
      </c>
      <c r="AX9" s="23">
        <f>'[11]Set Up'!$W48</f>
        <v>24</v>
      </c>
      <c r="AY9" s="23">
        <f>'[11]Set Up'!$W49</f>
        <v>24</v>
      </c>
      <c r="AZ9" s="23">
        <f>'[11]Set Up'!$W50</f>
        <v>24</v>
      </c>
      <c r="BA9" s="23">
        <f>'[11]Set Up'!$W51</f>
        <v>24</v>
      </c>
      <c r="BB9" s="23">
        <f>'[11]Set Up'!$W52</f>
        <v>24</v>
      </c>
      <c r="BC9" s="23">
        <f>'[11]Set Up'!$W53</f>
        <v>24</v>
      </c>
      <c r="BD9" s="23">
        <f>'[11]Set Up'!$W54</f>
        <v>24</v>
      </c>
      <c r="BE9" s="23">
        <f>'[11]Set Up'!$W55</f>
        <v>0</v>
      </c>
      <c r="BF9" s="23">
        <f>'[11]Set Up'!$W56</f>
        <v>0</v>
      </c>
      <c r="BG9" s="23">
        <f>'[11]Set Up'!$W57</f>
        <v>0</v>
      </c>
      <c r="BH9" s="23">
        <f>'[11]Set Up'!$W58</f>
        <v>0</v>
      </c>
      <c r="BI9" s="23">
        <f>'[11]Set Up'!$W59</f>
        <v>0</v>
      </c>
      <c r="BJ9" s="23">
        <f>'[11]Set Up'!$W60</f>
        <v>0</v>
      </c>
      <c r="BK9" s="23">
        <f>'[11]Set Up'!$W61</f>
        <v>0</v>
      </c>
      <c r="BL9" s="23">
        <f>'[11]Set Up'!$W62</f>
        <v>0</v>
      </c>
      <c r="BM9" s="23">
        <f>'[11]Set Up'!$W63</f>
        <v>0</v>
      </c>
      <c r="BN9" s="23">
        <f>'[11]Set Up'!$W64</f>
        <v>0</v>
      </c>
      <c r="BO9" s="23">
        <f>'[11]Set Up'!$W65</f>
        <v>0</v>
      </c>
      <c r="BP9" s="23">
        <f>'[11]Set Up'!$W66</f>
        <v>0</v>
      </c>
      <c r="BQ9" s="23">
        <f>'[11]Set Up'!$W67</f>
        <v>0</v>
      </c>
      <c r="BR9" s="23">
        <f>'[11]Set Up'!$W68</f>
        <v>0</v>
      </c>
      <c r="BS9" s="23">
        <f>'[11]Set Up'!$W69</f>
        <v>0</v>
      </c>
      <c r="BT9" s="23">
        <f>'[11]Set Up'!$W70</f>
        <v>0</v>
      </c>
      <c r="BU9" s="23">
        <f>'[11]Set Up'!$W71</f>
        <v>0</v>
      </c>
      <c r="BV9" s="23">
        <f>'[11]Set Up'!$W72</f>
        <v>0</v>
      </c>
      <c r="BW9" s="23">
        <f>'[11]Set Up'!$W73</f>
        <v>0</v>
      </c>
      <c r="BX9" s="23">
        <f>'[11]Set Up'!$W74</f>
        <v>0</v>
      </c>
      <c r="BY9" s="23">
        <f>'[11]Set Up'!$W75</f>
        <v>0</v>
      </c>
      <c r="BZ9" s="8"/>
    </row>
    <row r="10" spans="1:78" x14ac:dyDescent="0.35">
      <c r="A10" s="18" t="s">
        <v>17</v>
      </c>
      <c r="B10" s="195"/>
      <c r="C10" s="19" t="str">
        <f>'[11]Set Up'!$X1</f>
        <v>Plug</v>
      </c>
      <c r="D10" s="19">
        <f>'[11]Set Up'!$X2</f>
        <v>23354</v>
      </c>
      <c r="E10" s="19">
        <f>'[11]Set Up'!$X3</f>
        <v>23154</v>
      </c>
      <c r="F10" s="19">
        <f>'[11]Set Up'!$X4</f>
        <v>22954</v>
      </c>
      <c r="G10" s="19">
        <f>'[11]Set Up'!$X5</f>
        <v>22754</v>
      </c>
      <c r="H10" s="19">
        <f>'[11]Set Up'!$X6</f>
        <v>22554</v>
      </c>
      <c r="I10" s="19">
        <f>'[11]Set Up'!$X7</f>
        <v>22354</v>
      </c>
      <c r="J10" s="19">
        <f>'[11]Set Up'!$X8</f>
        <v>22154</v>
      </c>
      <c r="K10" s="19">
        <f>'[11]Set Up'!$X9</f>
        <v>21953</v>
      </c>
      <c r="L10" s="19">
        <f>'[11]Set Up'!$X10</f>
        <v>21753</v>
      </c>
      <c r="M10" s="19">
        <f>'[11]Set Up'!$X11</f>
        <v>21553</v>
      </c>
      <c r="N10" s="19">
        <f>'[11]Set Up'!$X12</f>
        <v>21353</v>
      </c>
      <c r="O10" s="19">
        <f>'[11]Set Up'!$X13</f>
        <v>21153</v>
      </c>
      <c r="P10" s="19">
        <f>'[11]Set Up'!$X14</f>
        <v>20953</v>
      </c>
      <c r="Q10" s="19">
        <f>'[11]Set Up'!$X15</f>
        <v>20753</v>
      </c>
      <c r="R10" s="19">
        <f>'[11]Set Up'!$X16</f>
        <v>20553</v>
      </c>
      <c r="S10" s="19">
        <f>'[11]Set Up'!$X17</f>
        <v>20353</v>
      </c>
      <c r="T10" s="19">
        <f>'[11]Set Up'!$X18</f>
        <v>20152</v>
      </c>
      <c r="U10" s="19">
        <f>'[11]Set Up'!$X19</f>
        <v>19952</v>
      </c>
      <c r="V10" s="19">
        <f>'[11]Set Up'!$X20</f>
        <v>19752</v>
      </c>
      <c r="W10" s="19">
        <f>'[11]Set Up'!$X21</f>
        <v>19552</v>
      </c>
      <c r="X10" s="19">
        <f>'[11]Set Up'!$X22</f>
        <v>19352</v>
      </c>
      <c r="Y10" s="19">
        <f>'[11]Set Up'!$X23</f>
        <v>19152</v>
      </c>
      <c r="Z10" s="19">
        <f>'[11]Set Up'!$X24</f>
        <v>18952</v>
      </c>
      <c r="AA10" s="19">
        <f>'[11]Set Up'!$X25</f>
        <v>18752</v>
      </c>
      <c r="AB10" s="19">
        <f>'[11]Set Up'!$X26</f>
        <v>18551</v>
      </c>
      <c r="AC10" s="19">
        <f>'[11]Set Up'!$X27</f>
        <v>18351</v>
      </c>
      <c r="AD10" s="19">
        <f>'[11]Set Up'!$X28</f>
        <v>18151</v>
      </c>
      <c r="AE10" s="19">
        <f>'[11]Set Up'!$X29</f>
        <v>17951</v>
      </c>
      <c r="AF10" s="19">
        <f>'[11]Set Up'!$X30</f>
        <v>17751</v>
      </c>
      <c r="AG10" s="19">
        <f>'[11]Set Up'!$X31</f>
        <v>17551</v>
      </c>
      <c r="AH10" s="19">
        <f>'[11]Set Up'!$X32</f>
        <v>17351</v>
      </c>
      <c r="AI10" s="19">
        <f>'[11]Set Up'!$X33</f>
        <v>17151</v>
      </c>
      <c r="AJ10" s="19">
        <f>'[11]Set Up'!$X34</f>
        <v>16950</v>
      </c>
      <c r="AK10" s="19">
        <f>'[11]Set Up'!$X35</f>
        <v>16750</v>
      </c>
      <c r="AL10" s="19">
        <f>'[11]Set Up'!$X36</f>
        <v>16550</v>
      </c>
      <c r="AM10" s="19">
        <f>'[11]Set Up'!$X37</f>
        <v>16350</v>
      </c>
      <c r="AN10" s="19">
        <f>'[11]Set Up'!$X38</f>
        <v>16150</v>
      </c>
      <c r="AO10" s="19">
        <f>'[11]Set Up'!$X39</f>
        <v>15950</v>
      </c>
      <c r="AP10" s="19">
        <f>'[11]Set Up'!$X40</f>
        <v>15750</v>
      </c>
      <c r="AQ10" s="19">
        <f>'[11]Set Up'!$X41</f>
        <v>15550</v>
      </c>
      <c r="AR10" s="19">
        <f>'[11]Set Up'!$X42</f>
        <v>15350</v>
      </c>
      <c r="AS10" s="19">
        <f>'[11]Set Up'!$X43</f>
        <v>15149</v>
      </c>
      <c r="AT10" s="19">
        <f>'[11]Set Up'!$X44</f>
        <v>14949</v>
      </c>
      <c r="AU10" s="19">
        <f>'[11]Set Up'!$X45</f>
        <v>14749</v>
      </c>
      <c r="AV10" s="19">
        <f>'[11]Set Up'!$X46</f>
        <v>14549</v>
      </c>
      <c r="AW10" s="19">
        <f>'[11]Set Up'!$X47</f>
        <v>14349</v>
      </c>
      <c r="AX10" s="19">
        <f>'[11]Set Up'!$X48</f>
        <v>14149</v>
      </c>
      <c r="AY10" s="19">
        <f>'[11]Set Up'!$X49</f>
        <v>13949</v>
      </c>
      <c r="AZ10" s="19">
        <f>'[11]Set Up'!$X50</f>
        <v>13749</v>
      </c>
      <c r="BA10" s="19">
        <f>'[11]Set Up'!$X51</f>
        <v>13548</v>
      </c>
      <c r="BB10" s="19">
        <f>'[11]Set Up'!$X52</f>
        <v>13348</v>
      </c>
      <c r="BC10" s="19">
        <f>'[11]Set Up'!$X53</f>
        <v>13148</v>
      </c>
      <c r="BD10" s="19">
        <f>'[11]Set Up'!$X54</f>
        <v>12948</v>
      </c>
      <c r="BE10" s="19">
        <f>'[11]Set Up'!$X55</f>
        <v>0</v>
      </c>
      <c r="BF10" s="19">
        <f>'[11]Set Up'!$X56</f>
        <v>0</v>
      </c>
      <c r="BG10" s="19">
        <f>'[11]Set Up'!$X57</f>
        <v>0</v>
      </c>
      <c r="BH10" s="19">
        <f>'[11]Set Up'!$X58</f>
        <v>0</v>
      </c>
      <c r="BI10" s="19">
        <f>'[11]Set Up'!$X59</f>
        <v>0</v>
      </c>
      <c r="BJ10" s="19">
        <f>'[11]Set Up'!$X60</f>
        <v>0</v>
      </c>
      <c r="BK10" s="19">
        <f>'[11]Set Up'!$X61</f>
        <v>0</v>
      </c>
      <c r="BL10" s="19">
        <f>'[11]Set Up'!$X62</f>
        <v>0</v>
      </c>
      <c r="BM10" s="19">
        <f>'[11]Set Up'!$X63</f>
        <v>0</v>
      </c>
      <c r="BN10" s="19">
        <f>'[11]Set Up'!$X64</f>
        <v>0</v>
      </c>
      <c r="BO10" s="19">
        <f>'[11]Set Up'!$X65</f>
        <v>0</v>
      </c>
      <c r="BP10" s="19">
        <f>'[11]Set Up'!$X66</f>
        <v>0</v>
      </c>
      <c r="BQ10" s="19">
        <f>'[11]Set Up'!$X67</f>
        <v>0</v>
      </c>
      <c r="BR10" s="19">
        <f>'[11]Set Up'!$X68</f>
        <v>0</v>
      </c>
      <c r="BS10" s="19">
        <f>'[11]Set Up'!$X69</f>
        <v>0</v>
      </c>
      <c r="BT10" s="19">
        <f>'[11]Set Up'!$X70</f>
        <v>0</v>
      </c>
      <c r="BU10" s="19">
        <f>'[11]Set Up'!$X71</f>
        <v>0</v>
      </c>
      <c r="BV10" s="19">
        <f>'[11]Set Up'!$X72</f>
        <v>0</v>
      </c>
      <c r="BW10" s="19">
        <f>'[11]Set Up'!$X73</f>
        <v>0</v>
      </c>
      <c r="BX10" s="19">
        <f>'[11]Set Up'!$X74</f>
        <v>0</v>
      </c>
      <c r="BY10" s="19">
        <f>'[11]Set Up'!$X75</f>
        <v>0</v>
      </c>
      <c r="BZ10" s="8"/>
    </row>
    <row r="11" spans="1:78" ht="15" thickBot="1" x14ac:dyDescent="0.4">
      <c r="A11" s="20" t="s">
        <v>18</v>
      </c>
      <c r="B11" s="195"/>
      <c r="C11" s="24" t="str">
        <f>'[11]Set Up'!$AA1</f>
        <v>TVD</v>
      </c>
      <c r="D11" s="24">
        <f>'[11]Set Up'!$AA2</f>
        <v>12407</v>
      </c>
      <c r="E11" s="24">
        <f>'[11]Set Up'!$AA3</f>
        <v>12412</v>
      </c>
      <c r="F11" s="24">
        <f>'[11]Set Up'!$AA4</f>
        <v>12410</v>
      </c>
      <c r="G11" s="24">
        <f>'[11]Set Up'!$AA5</f>
        <v>12406</v>
      </c>
      <c r="H11" s="24">
        <f>'[11]Set Up'!$AA6</f>
        <v>12406</v>
      </c>
      <c r="I11" s="24">
        <f>'[11]Set Up'!$AA7</f>
        <v>12403</v>
      </c>
      <c r="J11" s="24">
        <f>'[11]Set Up'!$AA8</f>
        <v>12401</v>
      </c>
      <c r="K11" s="24">
        <f>'[11]Set Up'!$AA9</f>
        <v>12398</v>
      </c>
      <c r="L11" s="24">
        <f>'[11]Set Up'!$AA10</f>
        <v>12389</v>
      </c>
      <c r="M11" s="24">
        <f>'[11]Set Up'!$AA11</f>
        <v>12382</v>
      </c>
      <c r="N11" s="24">
        <f>'[11]Set Up'!$AA12</f>
        <v>12386</v>
      </c>
      <c r="O11" s="24">
        <f>'[11]Set Up'!$AA13</f>
        <v>12386</v>
      </c>
      <c r="P11" s="24">
        <f>'[11]Set Up'!$AA14</f>
        <v>12380</v>
      </c>
      <c r="Q11" s="24">
        <f>'[11]Set Up'!$AA15</f>
        <v>12371</v>
      </c>
      <c r="R11" s="24">
        <f>'[11]Set Up'!$AA16</f>
        <v>12364</v>
      </c>
      <c r="S11" s="24">
        <f>'[11]Set Up'!$AA17</f>
        <v>12366</v>
      </c>
      <c r="T11" s="24">
        <f>'[11]Set Up'!$AA18</f>
        <v>12370</v>
      </c>
      <c r="U11" s="24">
        <f>'[11]Set Up'!$AA19</f>
        <v>12367</v>
      </c>
      <c r="V11" s="24">
        <f>'[11]Set Up'!$AA20</f>
        <v>12365</v>
      </c>
      <c r="W11" s="24">
        <f>'[11]Set Up'!$AA21</f>
        <v>12360</v>
      </c>
      <c r="X11" s="24">
        <f>'[11]Set Up'!$AA22</f>
        <v>12355</v>
      </c>
      <c r="Y11" s="24">
        <f>'[11]Set Up'!$AA23</f>
        <v>12355</v>
      </c>
      <c r="Z11" s="24">
        <f>'[11]Set Up'!$AA24</f>
        <v>12348</v>
      </c>
      <c r="AA11" s="24">
        <f>'[11]Set Up'!$AA25</f>
        <v>12341</v>
      </c>
      <c r="AB11" s="24">
        <f>'[11]Set Up'!$AA26</f>
        <v>12335</v>
      </c>
      <c r="AC11" s="24">
        <f>'[11]Set Up'!$AA27</f>
        <v>12334</v>
      </c>
      <c r="AD11" s="24">
        <f>'[11]Set Up'!$AA28</f>
        <v>12335</v>
      </c>
      <c r="AE11" s="24">
        <f>'[11]Set Up'!$AA29</f>
        <v>12335</v>
      </c>
      <c r="AF11" s="24">
        <f>'[11]Set Up'!$AA30</f>
        <v>12332</v>
      </c>
      <c r="AG11" s="24">
        <f>'[11]Set Up'!$AA31</f>
        <v>12322</v>
      </c>
      <c r="AH11" s="24">
        <f>'[11]Set Up'!$AA32</f>
        <v>12320</v>
      </c>
      <c r="AI11" s="24">
        <f>'[11]Set Up'!$AA33</f>
        <v>12317</v>
      </c>
      <c r="AJ11" s="24">
        <f>'[11]Set Up'!$AA34</f>
        <v>12323</v>
      </c>
      <c r="AK11" s="24">
        <f>'[11]Set Up'!$AA35</f>
        <v>12340</v>
      </c>
      <c r="AL11" s="24">
        <f>'[11]Set Up'!$AA36</f>
        <v>12341</v>
      </c>
      <c r="AM11" s="24">
        <f>'[11]Set Up'!$AA37</f>
        <v>12337</v>
      </c>
      <c r="AN11" s="24">
        <f>'[11]Set Up'!$AA38</f>
        <v>12334</v>
      </c>
      <c r="AO11" s="24">
        <f>'[11]Set Up'!$AA39</f>
        <v>12326</v>
      </c>
      <c r="AP11" s="24">
        <f>'[11]Set Up'!$AA40</f>
        <v>12327</v>
      </c>
      <c r="AQ11" s="24">
        <f>'[11]Set Up'!$AA41</f>
        <v>12327</v>
      </c>
      <c r="AR11" s="24">
        <f>'[11]Set Up'!$AA42</f>
        <v>12326</v>
      </c>
      <c r="AS11" s="24">
        <f>'[11]Set Up'!$AA43</f>
        <v>12323</v>
      </c>
      <c r="AT11" s="24">
        <f>'[11]Set Up'!$AA44</f>
        <v>12309</v>
      </c>
      <c r="AU11" s="24">
        <f>'[11]Set Up'!$AA45</f>
        <v>12297</v>
      </c>
      <c r="AV11" s="24">
        <f>'[11]Set Up'!$AA46</f>
        <v>12295</v>
      </c>
      <c r="AW11" s="24">
        <f>'[11]Set Up'!$AA47</f>
        <v>12288</v>
      </c>
      <c r="AX11" s="24">
        <f>'[11]Set Up'!$AA48</f>
        <v>12275</v>
      </c>
      <c r="AY11" s="24">
        <f>'[11]Set Up'!$AA49</f>
        <v>12288</v>
      </c>
      <c r="AZ11" s="24">
        <f>'[11]Set Up'!$AA50</f>
        <v>12285</v>
      </c>
      <c r="BA11" s="24">
        <f>'[11]Set Up'!$AA51</f>
        <v>12291</v>
      </c>
      <c r="BB11" s="24">
        <f>'[11]Set Up'!$AA52</f>
        <v>12303</v>
      </c>
      <c r="BC11" s="24">
        <f>'[11]Set Up'!$AA53</f>
        <v>12312</v>
      </c>
      <c r="BD11" s="24">
        <f>'[11]Set Up'!$AA54</f>
        <v>12308</v>
      </c>
      <c r="BE11" s="24">
        <f>'[11]Set Up'!$AA55</f>
        <v>0</v>
      </c>
      <c r="BF11" s="24">
        <f>'[11]Set Up'!$AA56</f>
        <v>0</v>
      </c>
      <c r="BG11" s="24">
        <f>'[11]Set Up'!$AA57</f>
        <v>0</v>
      </c>
      <c r="BH11" s="24">
        <f>'[11]Set Up'!$AA58</f>
        <v>0</v>
      </c>
      <c r="BI11" s="24">
        <f>'[11]Set Up'!$AA59</f>
        <v>0</v>
      </c>
      <c r="BJ11" s="24">
        <f>'[11]Set Up'!$AA60</f>
        <v>0</v>
      </c>
      <c r="BK11" s="24">
        <f>'[11]Set Up'!$AA61</f>
        <v>0</v>
      </c>
      <c r="BL11" s="24">
        <f>'[11]Set Up'!$AA62</f>
        <v>0</v>
      </c>
      <c r="BM11" s="24">
        <f>'[11]Set Up'!$AA63</f>
        <v>0</v>
      </c>
      <c r="BN11" s="24">
        <f>'[11]Set Up'!$AA64</f>
        <v>0</v>
      </c>
      <c r="BO11" s="24">
        <f>'[11]Set Up'!$AA65</f>
        <v>0</v>
      </c>
      <c r="BP11" s="24">
        <f>'[11]Set Up'!$AA66</f>
        <v>0</v>
      </c>
      <c r="BQ11" s="24">
        <f>'[11]Set Up'!$AA67</f>
        <v>0</v>
      </c>
      <c r="BR11" s="24">
        <f>'[11]Set Up'!$AA68</f>
        <v>0</v>
      </c>
      <c r="BS11" s="24">
        <f>'[11]Set Up'!$AA69</f>
        <v>0</v>
      </c>
      <c r="BT11" s="24">
        <f>'[11]Set Up'!$AA70</f>
        <v>0</v>
      </c>
      <c r="BU11" s="24">
        <f>'[11]Set Up'!$AA71</f>
        <v>0</v>
      </c>
      <c r="BV11" s="24">
        <f>'[11]Set Up'!$AA72</f>
        <v>0</v>
      </c>
      <c r="BW11" s="24">
        <f>'[11]Set Up'!$AA73</f>
        <v>0</v>
      </c>
      <c r="BX11" s="24">
        <f>'[11]Set Up'!$AA74</f>
        <v>0</v>
      </c>
      <c r="BY11" s="24">
        <f>'[11]Set Up'!$AA75</f>
        <v>0</v>
      </c>
      <c r="BZ11" s="8"/>
    </row>
    <row r="12" spans="1:78" x14ac:dyDescent="0.35">
      <c r="A12" s="25" t="s">
        <v>19</v>
      </c>
      <c r="B12" s="196" t="s">
        <v>20</v>
      </c>
      <c r="C12" s="26">
        <f>IF(C7="","",IF(C7&lt;'[11]Set Up'!$J$15,C7*'[11]Set Up'!$N$15,IF(C7&lt;'[11]Set Up'!$J$16,(C7-'[11]Set Up'!$J$15)*'[11]Set Up'!$N$16+'[11]Set Up'!$O$15,IF(C7&lt;'[11]Set Up'!$J$17,(C7-'[11]Set Up'!$J$16)*'[11]Set Up'!$N$17+'[11]Set Up'!$O$15+'[11]Set Up'!$O$16,(C7-'[11]Set Up'!$J$17)*'[11]Set Up'!$N$18 + SUM('[11]Set Up'!$O$15:'[11]Set Up'!$O$17)))))</f>
        <v>422.4076353423261</v>
      </c>
      <c r="D12" s="26">
        <f>IF(D7="","",IF(D7&lt;'[11]Set Up'!$J$15,D7*'[11]Set Up'!$N$15,IF(D7&lt;'[11]Set Up'!$J$16,(D7-'[11]Set Up'!$J$15)*'[11]Set Up'!$N$16+'[11]Set Up'!$O$15,IF(D7&lt;'[11]Set Up'!$J$17,(D7-'[11]Set Up'!$J$16)*'[11]Set Up'!$N$17+'[11]Set Up'!$O$15+'[11]Set Up'!$O$16,(D7-'[11]Set Up'!$J$17)*'[11]Set Up'!$N$18 + SUM('[11]Set Up'!$O$15:'[11]Set Up'!$O$17)))))</f>
        <v>419.42134573820385</v>
      </c>
      <c r="E12" s="26">
        <f>IF(E7="","",IF(E7&lt;'[11]Set Up'!$J$15,E7*'[11]Set Up'!$N$15,IF(E7&lt;'[11]Set Up'!$J$16,(E7-'[11]Set Up'!$J$15)*'[11]Set Up'!$N$16+'[11]Set Up'!$O$15,IF(E7&lt;'[11]Set Up'!$J$17,(E7-'[11]Set Up'!$J$16)*'[11]Set Up'!$N$17+'[11]Set Up'!$O$15+'[11]Set Up'!$O$16,(E7-'[11]Set Up'!$J$17)*'[11]Set Up'!$N$18 + SUM('[11]Set Up'!$O$15:'[11]Set Up'!$O$17)))))</f>
        <v>416.43505613408155</v>
      </c>
      <c r="F12" s="26">
        <f>IF(F7="","",IF(F7&lt;'[11]Set Up'!$J$15,F7*'[11]Set Up'!$N$15,IF(F7&lt;'[11]Set Up'!$J$16,(F7-'[11]Set Up'!$J$15)*'[11]Set Up'!$N$16+'[11]Set Up'!$O$15,IF(F7&lt;'[11]Set Up'!$J$17,(F7-'[11]Set Up'!$J$16)*'[11]Set Up'!$N$17+'[11]Set Up'!$O$15+'[11]Set Up'!$O$16,(F7-'[11]Set Up'!$J$17)*'[11]Set Up'!$N$18 + SUM('[11]Set Up'!$O$15:'[11]Set Up'!$O$17)))))</f>
        <v>413.44876652995924</v>
      </c>
      <c r="G12" s="26">
        <f>IF(G7="","",IF(G7&lt;'[11]Set Up'!$J$15,G7*'[11]Set Up'!$N$15,IF(G7&lt;'[11]Set Up'!$J$16,(G7-'[11]Set Up'!$J$15)*'[11]Set Up'!$N$16+'[11]Set Up'!$O$15,IF(G7&lt;'[11]Set Up'!$J$17,(G7-'[11]Set Up'!$J$16)*'[11]Set Up'!$N$17+'[11]Set Up'!$O$15+'[11]Set Up'!$O$16,(G7-'[11]Set Up'!$J$17)*'[11]Set Up'!$N$18 + SUM('[11]Set Up'!$O$15:'[11]Set Up'!$O$17)))))</f>
        <v>410.462476925837</v>
      </c>
      <c r="H12" s="26">
        <f>IF(H7="","",IF(H7&lt;'[11]Set Up'!$J$15,H7*'[11]Set Up'!$N$15,IF(H7&lt;'[11]Set Up'!$J$16,(H7-'[11]Set Up'!$J$15)*'[11]Set Up'!$N$16+'[11]Set Up'!$O$15,IF(H7&lt;'[11]Set Up'!$J$17,(H7-'[11]Set Up'!$J$16)*'[11]Set Up'!$N$17+'[11]Set Up'!$O$15+'[11]Set Up'!$O$16,(H7-'[11]Set Up'!$J$17)*'[11]Set Up'!$N$18 + SUM('[11]Set Up'!$O$15:'[11]Set Up'!$O$17)))))</f>
        <v>407.47618732171475</v>
      </c>
      <c r="I12" s="26">
        <f>IF(I7="","",IF(I7&lt;'[11]Set Up'!$J$15,I7*'[11]Set Up'!$N$15,IF(I7&lt;'[11]Set Up'!$J$16,(I7-'[11]Set Up'!$J$15)*'[11]Set Up'!$N$16+'[11]Set Up'!$O$15,IF(I7&lt;'[11]Set Up'!$J$17,(I7-'[11]Set Up'!$J$16)*'[11]Set Up'!$N$17+'[11]Set Up'!$O$15+'[11]Set Up'!$O$16,(I7-'[11]Set Up'!$J$17)*'[11]Set Up'!$N$18 + SUM('[11]Set Up'!$O$15:'[11]Set Up'!$O$17)))))</f>
        <v>404.47496626957184</v>
      </c>
      <c r="J12" s="26">
        <f>IF(J7="","",IF(J7&lt;'[11]Set Up'!$J$15,J7*'[11]Set Up'!$N$15,IF(J7&lt;'[11]Set Up'!$J$16,(J7-'[11]Set Up'!$J$15)*'[11]Set Up'!$N$16+'[11]Set Up'!$O$15,IF(J7&lt;'[11]Set Up'!$J$17,(J7-'[11]Set Up'!$J$16)*'[11]Set Up'!$N$17+'[11]Set Up'!$O$15+'[11]Set Up'!$O$16,(J7-'[11]Set Up'!$J$17)*'[11]Set Up'!$N$18 + SUM('[11]Set Up'!$O$15:'[11]Set Up'!$O$17)))))</f>
        <v>401.48867666544953</v>
      </c>
      <c r="K12" s="26">
        <f>IF(K7="","",IF(K7&lt;'[11]Set Up'!$J$15,K7*'[11]Set Up'!$N$15,IF(K7&lt;'[11]Set Up'!$J$16,(K7-'[11]Set Up'!$J$15)*'[11]Set Up'!$N$16+'[11]Set Up'!$O$15,IF(K7&lt;'[11]Set Up'!$J$17,(K7-'[11]Set Up'!$J$16)*'[11]Set Up'!$N$17+'[11]Set Up'!$O$15+'[11]Set Up'!$O$16,(K7-'[11]Set Up'!$J$17)*'[11]Set Up'!$N$18 + SUM('[11]Set Up'!$O$15:'[11]Set Up'!$O$17)))))</f>
        <v>398.50238706132723</v>
      </c>
      <c r="L12" s="26">
        <f>IF(L7="","",IF(L7&lt;'[11]Set Up'!$J$15,L7*'[11]Set Up'!$N$15,IF(L7&lt;'[11]Set Up'!$J$16,(L7-'[11]Set Up'!$J$15)*'[11]Set Up'!$N$16+'[11]Set Up'!$O$15,IF(L7&lt;'[11]Set Up'!$J$17,(L7-'[11]Set Up'!$J$16)*'[11]Set Up'!$N$17+'[11]Set Up'!$O$15+'[11]Set Up'!$O$16,(L7-'[11]Set Up'!$J$17)*'[11]Set Up'!$N$18 + SUM('[11]Set Up'!$O$15:'[11]Set Up'!$O$17)))))</f>
        <v>395.51609745720498</v>
      </c>
      <c r="M12" s="26">
        <f>IF(M7="","",IF(M7&lt;'[11]Set Up'!$J$15,M7*'[11]Set Up'!$N$15,IF(M7&lt;'[11]Set Up'!$J$16,(M7-'[11]Set Up'!$J$15)*'[11]Set Up'!$N$16+'[11]Set Up'!$O$15,IF(M7&lt;'[11]Set Up'!$J$17,(M7-'[11]Set Up'!$J$16)*'[11]Set Up'!$N$17+'[11]Set Up'!$O$15+'[11]Set Up'!$O$16,(M7-'[11]Set Up'!$J$17)*'[11]Set Up'!$N$18 + SUM('[11]Set Up'!$O$15:'[11]Set Up'!$O$17)))))</f>
        <v>392.52980785308273</v>
      </c>
      <c r="N12" s="26">
        <f>IF(N7="","",IF(N7&lt;'[11]Set Up'!$J$15,N7*'[11]Set Up'!$N$15,IF(N7&lt;'[11]Set Up'!$J$16,(N7-'[11]Set Up'!$J$15)*'[11]Set Up'!$N$16+'[11]Set Up'!$O$15,IF(N7&lt;'[11]Set Up'!$J$17,(N7-'[11]Set Up'!$J$16)*'[11]Set Up'!$N$17+'[11]Set Up'!$O$15+'[11]Set Up'!$O$16,(N7-'[11]Set Up'!$J$17)*'[11]Set Up'!$N$18 + SUM('[11]Set Up'!$O$15:'[11]Set Up'!$O$17)))))</f>
        <v>389.54351824896042</v>
      </c>
      <c r="O12" s="26">
        <f>IF(O7="","",IF(O7&lt;'[11]Set Up'!$J$15,O7*'[11]Set Up'!$N$15,IF(O7&lt;'[11]Set Up'!$J$16,(O7-'[11]Set Up'!$J$15)*'[11]Set Up'!$N$16+'[11]Set Up'!$O$15,IF(O7&lt;'[11]Set Up'!$J$17,(O7-'[11]Set Up'!$J$16)*'[11]Set Up'!$N$17+'[11]Set Up'!$O$15+'[11]Set Up'!$O$16,(O7-'[11]Set Up'!$J$17)*'[11]Set Up'!$N$18 + SUM('[11]Set Up'!$O$15:'[11]Set Up'!$O$17)))))</f>
        <v>386.55722864483812</v>
      </c>
      <c r="P12" s="26">
        <f>IF(P7="","",IF(P7&lt;'[11]Set Up'!$J$15,P7*'[11]Set Up'!$N$15,IF(P7&lt;'[11]Set Up'!$J$16,(P7-'[11]Set Up'!$J$15)*'[11]Set Up'!$N$16+'[11]Set Up'!$O$15,IF(P7&lt;'[11]Set Up'!$J$17,(P7-'[11]Set Up'!$J$16)*'[11]Set Up'!$N$17+'[11]Set Up'!$O$15+'[11]Set Up'!$O$16,(P7-'[11]Set Up'!$J$17)*'[11]Set Up'!$N$18 + SUM('[11]Set Up'!$O$15:'[11]Set Up'!$O$17)))))</f>
        <v>383.57093904071587</v>
      </c>
      <c r="Q12" s="26">
        <f>IF(Q7="","",IF(Q7&lt;'[11]Set Up'!$J$15,Q7*'[11]Set Up'!$N$15,IF(Q7&lt;'[11]Set Up'!$J$16,(Q7-'[11]Set Up'!$J$15)*'[11]Set Up'!$N$16+'[11]Set Up'!$O$15,IF(Q7&lt;'[11]Set Up'!$J$17,(Q7-'[11]Set Up'!$J$16)*'[11]Set Up'!$N$17+'[11]Set Up'!$O$15+'[11]Set Up'!$O$16,(Q7-'[11]Set Up'!$J$17)*'[11]Set Up'!$N$18 + SUM('[11]Set Up'!$O$15:'[11]Set Up'!$O$17)))))</f>
        <v>380.58464943659362</v>
      </c>
      <c r="R12" s="26">
        <f>IF(R7="","",IF(R7&lt;'[11]Set Up'!$J$15,R7*'[11]Set Up'!$N$15,IF(R7&lt;'[11]Set Up'!$J$16,(R7-'[11]Set Up'!$J$15)*'[11]Set Up'!$N$16+'[11]Set Up'!$O$15,IF(R7&lt;'[11]Set Up'!$J$17,(R7-'[11]Set Up'!$J$16)*'[11]Set Up'!$N$17+'[11]Set Up'!$O$15+'[11]Set Up'!$O$16,(R7-'[11]Set Up'!$J$17)*'[11]Set Up'!$N$18 + SUM('[11]Set Up'!$O$15:'[11]Set Up'!$O$17)))))</f>
        <v>377.58342838445071</v>
      </c>
      <c r="S12" s="26">
        <f>IF(S7="","",IF(S7&lt;'[11]Set Up'!$J$15,S7*'[11]Set Up'!$N$15,IF(S7&lt;'[11]Set Up'!$J$16,(S7-'[11]Set Up'!$J$15)*'[11]Set Up'!$N$16+'[11]Set Up'!$O$15,IF(S7&lt;'[11]Set Up'!$J$17,(S7-'[11]Set Up'!$J$16)*'[11]Set Up'!$N$17+'[11]Set Up'!$O$15+'[11]Set Up'!$O$16,(S7-'[11]Set Up'!$J$17)*'[11]Set Up'!$N$18 + SUM('[11]Set Up'!$O$15:'[11]Set Up'!$O$17)))))</f>
        <v>374.59713878032841</v>
      </c>
      <c r="T12" s="26">
        <f>IF(T7="","",IF(T7&lt;'[11]Set Up'!$J$15,T7*'[11]Set Up'!$N$15,IF(T7&lt;'[11]Set Up'!$J$16,(T7-'[11]Set Up'!$J$15)*'[11]Set Up'!$N$16+'[11]Set Up'!$O$15,IF(T7&lt;'[11]Set Up'!$J$17,(T7-'[11]Set Up'!$J$16)*'[11]Set Up'!$N$17+'[11]Set Up'!$O$15+'[11]Set Up'!$O$16,(T7-'[11]Set Up'!$J$17)*'[11]Set Up'!$N$18 + SUM('[11]Set Up'!$O$15:'[11]Set Up'!$O$17)))))</f>
        <v>371.61084917620616</v>
      </c>
      <c r="U12" s="26">
        <f>IF(U7="","",IF(U7&lt;'[11]Set Up'!$J$15,U7*'[11]Set Up'!$N$15,IF(U7&lt;'[11]Set Up'!$J$16,(U7-'[11]Set Up'!$J$15)*'[11]Set Up'!$N$16+'[11]Set Up'!$O$15,IF(U7&lt;'[11]Set Up'!$J$17,(U7-'[11]Set Up'!$J$16)*'[11]Set Up'!$N$17+'[11]Set Up'!$O$15+'[11]Set Up'!$O$16,(U7-'[11]Set Up'!$J$17)*'[11]Set Up'!$N$18 + SUM('[11]Set Up'!$O$15:'[11]Set Up'!$O$17)))))</f>
        <v>368.62455957208385</v>
      </c>
      <c r="V12" s="26">
        <f>IF(V7="","",IF(V7&lt;'[11]Set Up'!$J$15,V7*'[11]Set Up'!$N$15,IF(V7&lt;'[11]Set Up'!$J$16,(V7-'[11]Set Up'!$J$15)*'[11]Set Up'!$N$16+'[11]Set Up'!$O$15,IF(V7&lt;'[11]Set Up'!$J$17,(V7-'[11]Set Up'!$J$16)*'[11]Set Up'!$N$17+'[11]Set Up'!$O$15+'[11]Set Up'!$O$16,(V7-'[11]Set Up'!$J$17)*'[11]Set Up'!$N$18 + SUM('[11]Set Up'!$O$15:'[11]Set Up'!$O$17)))))</f>
        <v>365.63826996796161</v>
      </c>
      <c r="W12" s="26">
        <f>IF(W7="","",IF(W7&lt;'[11]Set Up'!$J$15,W7*'[11]Set Up'!$N$15,IF(W7&lt;'[11]Set Up'!$J$16,(W7-'[11]Set Up'!$J$15)*'[11]Set Up'!$N$16+'[11]Set Up'!$O$15,IF(W7&lt;'[11]Set Up'!$J$17,(W7-'[11]Set Up'!$J$16)*'[11]Set Up'!$N$17+'[11]Set Up'!$O$15+'[11]Set Up'!$O$16,(W7-'[11]Set Up'!$J$17)*'[11]Set Up'!$N$18 + SUM('[11]Set Up'!$O$15:'[11]Set Up'!$O$17)))))</f>
        <v>362.6519803638393</v>
      </c>
      <c r="X12" s="26">
        <f>IF(X7="","",IF(X7&lt;'[11]Set Up'!$J$15,X7*'[11]Set Up'!$N$15,IF(X7&lt;'[11]Set Up'!$J$16,(X7-'[11]Set Up'!$J$15)*'[11]Set Up'!$N$16+'[11]Set Up'!$O$15,IF(X7&lt;'[11]Set Up'!$J$17,(X7-'[11]Set Up'!$J$16)*'[11]Set Up'!$N$17+'[11]Set Up'!$O$15+'[11]Set Up'!$O$16,(X7-'[11]Set Up'!$J$17)*'[11]Set Up'!$N$18 + SUM('[11]Set Up'!$O$15:'[11]Set Up'!$O$17)))))</f>
        <v>359.66569075971699</v>
      </c>
      <c r="Y12" s="26">
        <f>IF(Y7="","",IF(Y7&lt;'[11]Set Up'!$J$15,Y7*'[11]Set Up'!$N$15,IF(Y7&lt;'[11]Set Up'!$J$16,(Y7-'[11]Set Up'!$J$15)*'[11]Set Up'!$N$16+'[11]Set Up'!$O$15,IF(Y7&lt;'[11]Set Up'!$J$17,(Y7-'[11]Set Up'!$J$16)*'[11]Set Up'!$N$17+'[11]Set Up'!$O$15+'[11]Set Up'!$O$16,(Y7-'[11]Set Up'!$J$17)*'[11]Set Up'!$N$18 + SUM('[11]Set Up'!$O$15:'[11]Set Up'!$O$17)))))</f>
        <v>356.67940115559475</v>
      </c>
      <c r="Z12" s="26">
        <f>IF(Z7="","",IF(Z7&lt;'[11]Set Up'!$J$15,Z7*'[11]Set Up'!$N$15,IF(Z7&lt;'[11]Set Up'!$J$16,(Z7-'[11]Set Up'!$J$15)*'[11]Set Up'!$N$16+'[11]Set Up'!$O$15,IF(Z7&lt;'[11]Set Up'!$J$17,(Z7-'[11]Set Up'!$J$16)*'[11]Set Up'!$N$17+'[11]Set Up'!$O$15+'[11]Set Up'!$O$16,(Z7-'[11]Set Up'!$J$17)*'[11]Set Up'!$N$18 + SUM('[11]Set Up'!$O$15:'[11]Set Up'!$O$17)))))</f>
        <v>353.67818010345184</v>
      </c>
      <c r="AA12" s="26">
        <f>IF(AA7="","",IF(AA7&lt;'[11]Set Up'!$J$15,AA7*'[11]Set Up'!$N$15,IF(AA7&lt;'[11]Set Up'!$J$16,(AA7-'[11]Set Up'!$J$15)*'[11]Set Up'!$N$16+'[11]Set Up'!$O$15,IF(AA7&lt;'[11]Set Up'!$J$17,(AA7-'[11]Set Up'!$J$16)*'[11]Set Up'!$N$17+'[11]Set Up'!$O$15+'[11]Set Up'!$O$16,(AA7-'[11]Set Up'!$J$17)*'[11]Set Up'!$N$18 + SUM('[11]Set Up'!$O$15:'[11]Set Up'!$O$17)))))</f>
        <v>350.69189049932959</v>
      </c>
      <c r="AB12" s="26">
        <f>IF(AB7="","",IF(AB7&lt;'[11]Set Up'!$J$15,AB7*'[11]Set Up'!$N$15,IF(AB7&lt;'[11]Set Up'!$J$16,(AB7-'[11]Set Up'!$J$15)*'[11]Set Up'!$N$16+'[11]Set Up'!$O$15,IF(AB7&lt;'[11]Set Up'!$J$17,(AB7-'[11]Set Up'!$J$16)*'[11]Set Up'!$N$17+'[11]Set Up'!$O$15+'[11]Set Up'!$O$16,(AB7-'[11]Set Up'!$J$17)*'[11]Set Up'!$N$18 + SUM('[11]Set Up'!$O$15:'[11]Set Up'!$O$17)))))</f>
        <v>347.70560089520728</v>
      </c>
      <c r="AC12" s="26">
        <f>IF(AC7="","",IF(AC7&lt;'[11]Set Up'!$J$15,AC7*'[11]Set Up'!$N$15,IF(AC7&lt;'[11]Set Up'!$J$16,(AC7-'[11]Set Up'!$J$15)*'[11]Set Up'!$N$16+'[11]Set Up'!$O$15,IF(AC7&lt;'[11]Set Up'!$J$17,(AC7-'[11]Set Up'!$J$16)*'[11]Set Up'!$N$17+'[11]Set Up'!$O$15+'[11]Set Up'!$O$16,(AC7-'[11]Set Up'!$J$17)*'[11]Set Up'!$N$18 + SUM('[11]Set Up'!$O$15:'[11]Set Up'!$O$17)))))</f>
        <v>344.71931129108503</v>
      </c>
      <c r="AD12" s="26">
        <f>IF(AD7="","",IF(AD7&lt;'[11]Set Up'!$J$15,AD7*'[11]Set Up'!$N$15,IF(AD7&lt;'[11]Set Up'!$J$16,(AD7-'[11]Set Up'!$J$15)*'[11]Set Up'!$N$16+'[11]Set Up'!$O$15,IF(AD7&lt;'[11]Set Up'!$J$17,(AD7-'[11]Set Up'!$J$16)*'[11]Set Up'!$N$17+'[11]Set Up'!$O$15+'[11]Set Up'!$O$16,(AD7-'[11]Set Up'!$J$17)*'[11]Set Up'!$N$18 + SUM('[11]Set Up'!$O$15:'[11]Set Up'!$O$17)))))</f>
        <v>341.73302168696273</v>
      </c>
      <c r="AE12" s="26">
        <f>IF(AE7="","",IF(AE7&lt;'[11]Set Up'!$J$15,AE7*'[11]Set Up'!$N$15,IF(AE7&lt;'[11]Set Up'!$J$16,(AE7-'[11]Set Up'!$J$15)*'[11]Set Up'!$N$16+'[11]Set Up'!$O$15,IF(AE7&lt;'[11]Set Up'!$J$17,(AE7-'[11]Set Up'!$J$16)*'[11]Set Up'!$N$17+'[11]Set Up'!$O$15+'[11]Set Up'!$O$16,(AE7-'[11]Set Up'!$J$17)*'[11]Set Up'!$N$18 + SUM('[11]Set Up'!$O$15:'[11]Set Up'!$O$17)))))</f>
        <v>338.74673208284048</v>
      </c>
      <c r="AF12" s="26">
        <f>IF(AF7="","",IF(AF7&lt;'[11]Set Up'!$J$15,AF7*'[11]Set Up'!$N$15,IF(AF7&lt;'[11]Set Up'!$J$16,(AF7-'[11]Set Up'!$J$15)*'[11]Set Up'!$N$16+'[11]Set Up'!$O$15,IF(AF7&lt;'[11]Set Up'!$J$17,(AF7-'[11]Set Up'!$J$16)*'[11]Set Up'!$N$17+'[11]Set Up'!$O$15+'[11]Set Up'!$O$16,(AF7-'[11]Set Up'!$J$17)*'[11]Set Up'!$N$18 + SUM('[11]Set Up'!$O$15:'[11]Set Up'!$O$17)))))</f>
        <v>335.76044247871818</v>
      </c>
      <c r="AG12" s="26">
        <f>IF(AG7="","",IF(AG7&lt;'[11]Set Up'!$J$15,AG7*'[11]Set Up'!$N$15,IF(AG7&lt;'[11]Set Up'!$J$16,(AG7-'[11]Set Up'!$J$15)*'[11]Set Up'!$N$16+'[11]Set Up'!$O$15,IF(AG7&lt;'[11]Set Up'!$J$17,(AG7-'[11]Set Up'!$J$16)*'[11]Set Up'!$N$17+'[11]Set Up'!$O$15+'[11]Set Up'!$O$16,(AG7-'[11]Set Up'!$J$17)*'[11]Set Up'!$N$18 + SUM('[11]Set Up'!$O$15:'[11]Set Up'!$O$17)))))</f>
        <v>332.77415287459587</v>
      </c>
      <c r="AH12" s="26">
        <f>IF(AH7="","",IF(AH7&lt;'[11]Set Up'!$J$15,AH7*'[11]Set Up'!$N$15,IF(AH7&lt;'[11]Set Up'!$J$16,(AH7-'[11]Set Up'!$J$15)*'[11]Set Up'!$N$16+'[11]Set Up'!$O$15,IF(AH7&lt;'[11]Set Up'!$J$17,(AH7-'[11]Set Up'!$J$16)*'[11]Set Up'!$N$17+'[11]Set Up'!$O$15+'[11]Set Up'!$O$16,(AH7-'[11]Set Up'!$J$17)*'[11]Set Up'!$N$18 + SUM('[11]Set Up'!$O$15:'[11]Set Up'!$O$17)))))</f>
        <v>329.77293182245302</v>
      </c>
      <c r="AI12" s="26">
        <f>IF(AI7="","",IF(AI7&lt;'[11]Set Up'!$J$15,AI7*'[11]Set Up'!$N$15,IF(AI7&lt;'[11]Set Up'!$J$16,(AI7-'[11]Set Up'!$J$15)*'[11]Set Up'!$N$16+'[11]Set Up'!$O$15,IF(AI7&lt;'[11]Set Up'!$J$17,(AI7-'[11]Set Up'!$J$16)*'[11]Set Up'!$N$17+'[11]Set Up'!$O$15+'[11]Set Up'!$O$16,(AI7-'[11]Set Up'!$J$17)*'[11]Set Up'!$N$18 + SUM('[11]Set Up'!$O$15:'[11]Set Up'!$O$17)))))</f>
        <v>326.78664221833071</v>
      </c>
      <c r="AJ12" s="26">
        <f>IF(AJ7="","",IF(AJ7&lt;'[11]Set Up'!$J$15,AJ7*'[11]Set Up'!$N$15,IF(AJ7&lt;'[11]Set Up'!$J$16,(AJ7-'[11]Set Up'!$J$15)*'[11]Set Up'!$N$16+'[11]Set Up'!$O$15,IF(AJ7&lt;'[11]Set Up'!$J$17,(AJ7-'[11]Set Up'!$J$16)*'[11]Set Up'!$N$17+'[11]Set Up'!$O$15+'[11]Set Up'!$O$16,(AJ7-'[11]Set Up'!$J$17)*'[11]Set Up'!$N$18 + SUM('[11]Set Up'!$O$15:'[11]Set Up'!$O$17)))))</f>
        <v>323.80035261420846</v>
      </c>
      <c r="AK12" s="26">
        <f>IF(AK7="","",IF(AK7&lt;'[11]Set Up'!$J$15,AK7*'[11]Set Up'!$N$15,IF(AK7&lt;'[11]Set Up'!$J$16,(AK7-'[11]Set Up'!$J$15)*'[11]Set Up'!$N$16+'[11]Set Up'!$O$15,IF(AK7&lt;'[11]Set Up'!$J$17,(AK7-'[11]Set Up'!$J$16)*'[11]Set Up'!$N$17+'[11]Set Up'!$O$15+'[11]Set Up'!$O$16,(AK7-'[11]Set Up'!$J$17)*'[11]Set Up'!$N$18 + SUM('[11]Set Up'!$O$15:'[11]Set Up'!$O$17)))))</f>
        <v>320.81406301008616</v>
      </c>
      <c r="AL12" s="26">
        <f>IF(AL7="","",IF(AL7&lt;'[11]Set Up'!$J$15,AL7*'[11]Set Up'!$N$15,IF(AL7&lt;'[11]Set Up'!$J$16,(AL7-'[11]Set Up'!$J$15)*'[11]Set Up'!$N$16+'[11]Set Up'!$O$15,IF(AL7&lt;'[11]Set Up'!$J$17,(AL7-'[11]Set Up'!$J$16)*'[11]Set Up'!$N$17+'[11]Set Up'!$O$15+'[11]Set Up'!$O$16,(AL7-'[11]Set Up'!$J$17)*'[11]Set Up'!$N$18 + SUM('[11]Set Up'!$O$15:'[11]Set Up'!$O$17)))))</f>
        <v>317.82777340596391</v>
      </c>
      <c r="AM12" s="26">
        <f>IF(AM7="","",IF(AM7&lt;'[11]Set Up'!$J$15,AM7*'[11]Set Up'!$N$15,IF(AM7&lt;'[11]Set Up'!$J$16,(AM7-'[11]Set Up'!$J$15)*'[11]Set Up'!$N$16+'[11]Set Up'!$O$15,IF(AM7&lt;'[11]Set Up'!$J$17,(AM7-'[11]Set Up'!$J$16)*'[11]Set Up'!$N$17+'[11]Set Up'!$O$15+'[11]Set Up'!$O$16,(AM7-'[11]Set Up'!$J$17)*'[11]Set Up'!$N$18 + SUM('[11]Set Up'!$O$15:'[11]Set Up'!$O$17)))))</f>
        <v>314.8414838018416</v>
      </c>
      <c r="AN12" s="26">
        <f>IF(AN7="","",IF(AN7&lt;'[11]Set Up'!$J$15,AN7*'[11]Set Up'!$N$15,IF(AN7&lt;'[11]Set Up'!$J$16,(AN7-'[11]Set Up'!$J$15)*'[11]Set Up'!$N$16+'[11]Set Up'!$O$15,IF(AN7&lt;'[11]Set Up'!$J$17,(AN7-'[11]Set Up'!$J$16)*'[11]Set Up'!$N$17+'[11]Set Up'!$O$15+'[11]Set Up'!$O$16,(AN7-'[11]Set Up'!$J$17)*'[11]Set Up'!$N$18 + SUM('[11]Set Up'!$O$15:'[11]Set Up'!$O$17)))))</f>
        <v>311.85519419771936</v>
      </c>
      <c r="AO12" s="26">
        <f>IF(AO7="","",IF(AO7&lt;'[11]Set Up'!$J$15,AO7*'[11]Set Up'!$N$15,IF(AO7&lt;'[11]Set Up'!$J$16,(AO7-'[11]Set Up'!$J$15)*'[11]Set Up'!$N$16+'[11]Set Up'!$O$15,IF(AO7&lt;'[11]Set Up'!$J$17,(AO7-'[11]Set Up'!$J$16)*'[11]Set Up'!$N$17+'[11]Set Up'!$O$15+'[11]Set Up'!$O$16,(AO7-'[11]Set Up'!$J$17)*'[11]Set Up'!$N$18 + SUM('[11]Set Up'!$O$15:'[11]Set Up'!$O$17)))))</f>
        <v>308.86890459359705</v>
      </c>
      <c r="AP12" s="26">
        <f>IF(AP7="","",IF(AP7&lt;'[11]Set Up'!$J$15,AP7*'[11]Set Up'!$N$15,IF(AP7&lt;'[11]Set Up'!$J$16,(AP7-'[11]Set Up'!$J$15)*'[11]Set Up'!$N$16+'[11]Set Up'!$O$15,IF(AP7&lt;'[11]Set Up'!$J$17,(AP7-'[11]Set Up'!$J$16)*'[11]Set Up'!$N$17+'[11]Set Up'!$O$15+'[11]Set Up'!$O$16,(AP7-'[11]Set Up'!$J$17)*'[11]Set Up'!$N$18 + SUM('[11]Set Up'!$O$15:'[11]Set Up'!$O$17)))))</f>
        <v>305.8826149894748</v>
      </c>
      <c r="AQ12" s="26">
        <f>IF(AQ7="","",IF(AQ7&lt;'[11]Set Up'!$J$15,AQ7*'[11]Set Up'!$N$15,IF(AQ7&lt;'[11]Set Up'!$J$16,(AQ7-'[11]Set Up'!$J$15)*'[11]Set Up'!$N$16+'[11]Set Up'!$O$15,IF(AQ7&lt;'[11]Set Up'!$J$17,(AQ7-'[11]Set Up'!$J$16)*'[11]Set Up'!$N$17+'[11]Set Up'!$O$15+'[11]Set Up'!$O$16,(AQ7-'[11]Set Up'!$J$17)*'[11]Set Up'!$N$18 + SUM('[11]Set Up'!$O$15:'[11]Set Up'!$O$17)))))</f>
        <v>302.88139393733189</v>
      </c>
      <c r="AR12" s="26">
        <f>IF(AR7="","",IF(AR7&lt;'[11]Set Up'!$J$15,AR7*'[11]Set Up'!$N$15,IF(AR7&lt;'[11]Set Up'!$J$16,(AR7-'[11]Set Up'!$J$15)*'[11]Set Up'!$N$16+'[11]Set Up'!$O$15,IF(AR7&lt;'[11]Set Up'!$J$17,(AR7-'[11]Set Up'!$J$16)*'[11]Set Up'!$N$17+'[11]Set Up'!$O$15+'[11]Set Up'!$O$16,(AR7-'[11]Set Up'!$J$17)*'[11]Set Up'!$N$18 + SUM('[11]Set Up'!$O$15:'[11]Set Up'!$O$17)))))</f>
        <v>299.89510433320959</v>
      </c>
      <c r="AS12" s="26">
        <f>IF(AS7="","",IF(AS7&lt;'[11]Set Up'!$J$15,AS7*'[11]Set Up'!$N$15,IF(AS7&lt;'[11]Set Up'!$J$16,(AS7-'[11]Set Up'!$J$15)*'[11]Set Up'!$N$16+'[11]Set Up'!$O$15,IF(AS7&lt;'[11]Set Up'!$J$17,(AS7-'[11]Set Up'!$J$16)*'[11]Set Up'!$N$17+'[11]Set Up'!$O$15+'[11]Set Up'!$O$16,(AS7-'[11]Set Up'!$J$17)*'[11]Set Up'!$N$18 + SUM('[11]Set Up'!$O$15:'[11]Set Up'!$O$17)))))</f>
        <v>296.90881472908734</v>
      </c>
      <c r="AT12" s="26">
        <f>IF(AT7="","",IF(AT7&lt;'[11]Set Up'!$J$15,AT7*'[11]Set Up'!$N$15,IF(AT7&lt;'[11]Set Up'!$J$16,(AT7-'[11]Set Up'!$J$15)*'[11]Set Up'!$N$16+'[11]Set Up'!$O$15,IF(AT7&lt;'[11]Set Up'!$J$17,(AT7-'[11]Set Up'!$J$16)*'[11]Set Up'!$N$17+'[11]Set Up'!$O$15+'[11]Set Up'!$O$16,(AT7-'[11]Set Up'!$J$17)*'[11]Set Up'!$N$18 + SUM('[11]Set Up'!$O$15:'[11]Set Up'!$O$17)))))</f>
        <v>293.92252512496503</v>
      </c>
      <c r="AU12" s="26">
        <f>IF(AU7="","",IF(AU7&lt;'[11]Set Up'!$J$15,AU7*'[11]Set Up'!$N$15,IF(AU7&lt;'[11]Set Up'!$J$16,(AU7-'[11]Set Up'!$J$15)*'[11]Set Up'!$N$16+'[11]Set Up'!$O$15,IF(AU7&lt;'[11]Set Up'!$J$17,(AU7-'[11]Set Up'!$J$16)*'[11]Set Up'!$N$17+'[11]Set Up'!$O$15+'[11]Set Up'!$O$16,(AU7-'[11]Set Up'!$J$17)*'[11]Set Up'!$N$18 + SUM('[11]Set Up'!$O$15:'[11]Set Up'!$O$17)))))</f>
        <v>290.93623552084279</v>
      </c>
      <c r="AV12" s="26">
        <f>IF(AV7="","",IF(AV7&lt;'[11]Set Up'!$J$15,AV7*'[11]Set Up'!$N$15,IF(AV7&lt;'[11]Set Up'!$J$16,(AV7-'[11]Set Up'!$J$15)*'[11]Set Up'!$N$16+'[11]Set Up'!$O$15,IF(AV7&lt;'[11]Set Up'!$J$17,(AV7-'[11]Set Up'!$J$16)*'[11]Set Up'!$N$17+'[11]Set Up'!$O$15+'[11]Set Up'!$O$16,(AV7-'[11]Set Up'!$J$17)*'[11]Set Up'!$N$18 + SUM('[11]Set Up'!$O$15:'[11]Set Up'!$O$17)))))</f>
        <v>287.94994591672048</v>
      </c>
      <c r="AW12" s="26">
        <f>IF(AW7="","",IF(AW7&lt;'[11]Set Up'!$J$15,AW7*'[11]Set Up'!$N$15,IF(AW7&lt;'[11]Set Up'!$J$16,(AW7-'[11]Set Up'!$J$15)*'[11]Set Up'!$N$16+'[11]Set Up'!$O$15,IF(AW7&lt;'[11]Set Up'!$J$17,(AW7-'[11]Set Up'!$J$16)*'[11]Set Up'!$N$17+'[11]Set Up'!$O$15+'[11]Set Up'!$O$16,(AW7-'[11]Set Up'!$J$17)*'[11]Set Up'!$N$18 + SUM('[11]Set Up'!$O$15:'[11]Set Up'!$O$17)))))</f>
        <v>284.96365631259823</v>
      </c>
      <c r="AX12" s="26">
        <f>IF(AX7="","",IF(AX7&lt;'[11]Set Up'!$J$15,AX7*'[11]Set Up'!$N$15,IF(AX7&lt;'[11]Set Up'!$J$16,(AX7-'[11]Set Up'!$J$15)*'[11]Set Up'!$N$16+'[11]Set Up'!$O$15,IF(AX7&lt;'[11]Set Up'!$J$17,(AX7-'[11]Set Up'!$J$16)*'[11]Set Up'!$N$17+'[11]Set Up'!$O$15+'[11]Set Up'!$O$16,(AX7-'[11]Set Up'!$J$17)*'[11]Set Up'!$N$18 + SUM('[11]Set Up'!$O$15:'[11]Set Up'!$O$17)))))</f>
        <v>281.97736670847593</v>
      </c>
      <c r="AY12" s="26">
        <f>IF(AY7="","",IF(AY7&lt;'[11]Set Up'!$J$15,AY7*'[11]Set Up'!$N$15,IF(AY7&lt;'[11]Set Up'!$J$16,(AY7-'[11]Set Up'!$J$15)*'[11]Set Up'!$N$16+'[11]Set Up'!$O$15,IF(AY7&lt;'[11]Set Up'!$J$17,(AY7-'[11]Set Up'!$J$16)*'[11]Set Up'!$N$17+'[11]Set Up'!$O$15+'[11]Set Up'!$O$16,(AY7-'[11]Set Up'!$J$17)*'[11]Set Up'!$N$18 + SUM('[11]Set Up'!$O$15:'[11]Set Up'!$O$17)))))</f>
        <v>278.97614565633307</v>
      </c>
      <c r="AZ12" s="26">
        <f>IF(AZ7="","",IF(AZ7&lt;'[11]Set Up'!$J$15,AZ7*'[11]Set Up'!$N$15,IF(AZ7&lt;'[11]Set Up'!$J$16,(AZ7-'[11]Set Up'!$J$15)*'[11]Set Up'!$N$16+'[11]Set Up'!$O$15,IF(AZ7&lt;'[11]Set Up'!$J$17,(AZ7-'[11]Set Up'!$J$16)*'[11]Set Up'!$N$17+'[11]Set Up'!$O$15+'[11]Set Up'!$O$16,(AZ7-'[11]Set Up'!$J$17)*'[11]Set Up'!$N$18 + SUM('[11]Set Up'!$O$15:'[11]Set Up'!$O$17)))))</f>
        <v>275.98985605221077</v>
      </c>
      <c r="BA12" s="26">
        <f>IF(BA7="","",IF(BA7&lt;'[11]Set Up'!$J$15,BA7*'[11]Set Up'!$N$15,IF(BA7&lt;'[11]Set Up'!$J$16,(BA7-'[11]Set Up'!$J$15)*'[11]Set Up'!$N$16+'[11]Set Up'!$O$15,IF(BA7&lt;'[11]Set Up'!$J$17,(BA7-'[11]Set Up'!$J$16)*'[11]Set Up'!$N$17+'[11]Set Up'!$O$15+'[11]Set Up'!$O$16,(BA7-'[11]Set Up'!$J$17)*'[11]Set Up'!$N$18 + SUM('[11]Set Up'!$O$15:'[11]Set Up'!$O$17)))))</f>
        <v>273.00356644808846</v>
      </c>
      <c r="BB12" s="26">
        <f>IF(BB7="","",IF(BB7&lt;'[11]Set Up'!$J$15,BB7*'[11]Set Up'!$N$15,IF(BB7&lt;'[11]Set Up'!$J$16,(BB7-'[11]Set Up'!$J$15)*'[11]Set Up'!$N$16+'[11]Set Up'!$O$15,IF(BB7&lt;'[11]Set Up'!$J$17,(BB7-'[11]Set Up'!$J$16)*'[11]Set Up'!$N$17+'[11]Set Up'!$O$15+'[11]Set Up'!$O$16,(BB7-'[11]Set Up'!$J$17)*'[11]Set Up'!$N$18 + SUM('[11]Set Up'!$O$15:'[11]Set Up'!$O$17)))))</f>
        <v>270.01727684396621</v>
      </c>
      <c r="BC12" s="26">
        <f>IF(BC7="","",IF(BC7&lt;'[11]Set Up'!$J$15,BC7*'[11]Set Up'!$N$15,IF(BC7&lt;'[11]Set Up'!$J$16,(BC7-'[11]Set Up'!$J$15)*'[11]Set Up'!$N$16+'[11]Set Up'!$O$15,IF(BC7&lt;'[11]Set Up'!$J$17,(BC7-'[11]Set Up'!$J$16)*'[11]Set Up'!$N$17+'[11]Set Up'!$O$15+'[11]Set Up'!$O$16,(BC7-'[11]Set Up'!$J$17)*'[11]Set Up'!$N$18 + SUM('[11]Set Up'!$O$15:'[11]Set Up'!$O$17)))))</f>
        <v>267.03098723984391</v>
      </c>
      <c r="BD12" s="26">
        <f>IF(BD7="","",IF(BD7&lt;'[11]Set Up'!$J$15,BD7*'[11]Set Up'!$N$15,IF(BD7&lt;'[11]Set Up'!$J$16,(BD7-'[11]Set Up'!$J$15)*'[11]Set Up'!$N$16+'[11]Set Up'!$O$15,IF(BD7&lt;'[11]Set Up'!$J$17,(BD7-'[11]Set Up'!$J$16)*'[11]Set Up'!$N$17+'[11]Set Up'!$O$15+'[11]Set Up'!$O$16,(BD7-'[11]Set Up'!$J$17)*'[11]Set Up'!$N$18 + SUM('[11]Set Up'!$O$15:'[11]Set Up'!$O$17)))))</f>
        <v>0</v>
      </c>
      <c r="BE12" s="26">
        <f>IF(BE7="","",IF(BE7&lt;'[11]Set Up'!$J$15,BE7*'[11]Set Up'!$N$15,IF(BE7&lt;'[11]Set Up'!$J$16,(BE7-'[11]Set Up'!$J$15)*'[11]Set Up'!$N$16+'[11]Set Up'!$O$15,IF(BE7&lt;'[11]Set Up'!$J$17,(BE7-'[11]Set Up'!$J$16)*'[11]Set Up'!$N$17+'[11]Set Up'!$O$15+'[11]Set Up'!$O$16,(BE7-'[11]Set Up'!$J$17)*'[11]Set Up'!$N$18 + SUM('[11]Set Up'!$O$15:'[11]Set Up'!$O$17)))))</f>
        <v>0</v>
      </c>
      <c r="BF12" s="26">
        <f>IF(BF7="","",IF(BF7&lt;'[11]Set Up'!$J$15,BF7*'[11]Set Up'!$N$15,IF(BF7&lt;'[11]Set Up'!$J$16,(BF7-'[11]Set Up'!$J$15)*'[11]Set Up'!$N$16+'[11]Set Up'!$O$15,IF(BF7&lt;'[11]Set Up'!$J$17,(BF7-'[11]Set Up'!$J$16)*'[11]Set Up'!$N$17+'[11]Set Up'!$O$15+'[11]Set Up'!$O$16,(BF7-'[11]Set Up'!$J$17)*'[11]Set Up'!$N$18 + SUM('[11]Set Up'!$O$15:'[11]Set Up'!$O$17)))))</f>
        <v>0</v>
      </c>
      <c r="BG12" s="26">
        <f>IF(BG7="","",IF(BG7&lt;'[11]Set Up'!$J$15,BG7*'[11]Set Up'!$N$15,IF(BG7&lt;'[11]Set Up'!$J$16,(BG7-'[11]Set Up'!$J$15)*'[11]Set Up'!$N$16+'[11]Set Up'!$O$15,IF(BG7&lt;'[11]Set Up'!$J$17,(BG7-'[11]Set Up'!$J$16)*'[11]Set Up'!$N$17+'[11]Set Up'!$O$15+'[11]Set Up'!$O$16,(BG7-'[11]Set Up'!$J$17)*'[11]Set Up'!$N$18 + SUM('[11]Set Up'!$O$15:'[11]Set Up'!$O$17)))))</f>
        <v>0</v>
      </c>
      <c r="BH12" s="26">
        <f>IF(BH7="","",IF(BH7&lt;'[11]Set Up'!$J$15,BH7*'[11]Set Up'!$N$15,IF(BH7&lt;'[11]Set Up'!$J$16,(BH7-'[11]Set Up'!$J$15)*'[11]Set Up'!$N$16+'[11]Set Up'!$O$15,IF(BH7&lt;'[11]Set Up'!$J$17,(BH7-'[11]Set Up'!$J$16)*'[11]Set Up'!$N$17+'[11]Set Up'!$O$15+'[11]Set Up'!$O$16,(BH7-'[11]Set Up'!$J$17)*'[11]Set Up'!$N$18 + SUM('[11]Set Up'!$O$15:'[11]Set Up'!$O$17)))))</f>
        <v>0</v>
      </c>
      <c r="BI12" s="26">
        <f>IF(BI7="","",IF(BI7&lt;'[11]Set Up'!$J$15,BI7*'[11]Set Up'!$N$15,IF(BI7&lt;'[11]Set Up'!$J$16,(BI7-'[11]Set Up'!$J$15)*'[11]Set Up'!$N$16+'[11]Set Up'!$O$15,IF(BI7&lt;'[11]Set Up'!$J$17,(BI7-'[11]Set Up'!$J$16)*'[11]Set Up'!$N$17+'[11]Set Up'!$O$15+'[11]Set Up'!$O$16,(BI7-'[11]Set Up'!$J$17)*'[11]Set Up'!$N$18 + SUM('[11]Set Up'!$O$15:'[11]Set Up'!$O$17)))))</f>
        <v>0</v>
      </c>
      <c r="BJ12" s="26">
        <f>IF(BJ7="","",IF(BJ7&lt;'[11]Set Up'!$J$15,BJ7*'[11]Set Up'!$N$15,IF(BJ7&lt;'[11]Set Up'!$J$16,(BJ7-'[11]Set Up'!$J$15)*'[11]Set Up'!$N$16+'[11]Set Up'!$O$15,IF(BJ7&lt;'[11]Set Up'!$J$17,(BJ7-'[11]Set Up'!$J$16)*'[11]Set Up'!$N$17+'[11]Set Up'!$O$15+'[11]Set Up'!$O$16,(BJ7-'[11]Set Up'!$J$17)*'[11]Set Up'!$N$18 + SUM('[11]Set Up'!$O$15:'[11]Set Up'!$O$17)))))</f>
        <v>0</v>
      </c>
      <c r="BK12" s="26">
        <f>IF(BK7="","",IF(BK7&lt;'[11]Set Up'!$J$15,BK7*'[11]Set Up'!$N$15,IF(BK7&lt;'[11]Set Up'!$J$16,(BK7-'[11]Set Up'!$J$15)*'[11]Set Up'!$N$16+'[11]Set Up'!$O$15,IF(BK7&lt;'[11]Set Up'!$J$17,(BK7-'[11]Set Up'!$J$16)*'[11]Set Up'!$N$17+'[11]Set Up'!$O$15+'[11]Set Up'!$O$16,(BK7-'[11]Set Up'!$J$17)*'[11]Set Up'!$N$18 + SUM('[11]Set Up'!$O$15:'[11]Set Up'!$O$17)))))</f>
        <v>0</v>
      </c>
      <c r="BL12" s="26">
        <f>IF(BL7="","",IF(BL7&lt;'[11]Set Up'!$J$15,BL7*'[11]Set Up'!$N$15,IF(BL7&lt;'[11]Set Up'!$J$16,(BL7-'[11]Set Up'!$J$15)*'[11]Set Up'!$N$16+'[11]Set Up'!$O$15,IF(BL7&lt;'[11]Set Up'!$J$17,(BL7-'[11]Set Up'!$J$16)*'[11]Set Up'!$N$17+'[11]Set Up'!$O$15+'[11]Set Up'!$O$16,(BL7-'[11]Set Up'!$J$17)*'[11]Set Up'!$N$18 + SUM('[11]Set Up'!$O$15:'[11]Set Up'!$O$17)))))</f>
        <v>0</v>
      </c>
      <c r="BM12" s="26">
        <f>IF(BM7="","",IF(BM7&lt;'[11]Set Up'!$J$15,BM7*'[11]Set Up'!$N$15,IF(BM7&lt;'[11]Set Up'!$J$16,(BM7-'[11]Set Up'!$J$15)*'[11]Set Up'!$N$16+'[11]Set Up'!$O$15,IF(BM7&lt;'[11]Set Up'!$J$17,(BM7-'[11]Set Up'!$J$16)*'[11]Set Up'!$N$17+'[11]Set Up'!$O$15+'[11]Set Up'!$O$16,(BM7-'[11]Set Up'!$J$17)*'[11]Set Up'!$N$18 + SUM('[11]Set Up'!$O$15:'[11]Set Up'!$O$17)))))</f>
        <v>0</v>
      </c>
      <c r="BN12" s="26">
        <f>IF(BN7="","",IF(BN7&lt;'[11]Set Up'!$J$15,BN7*'[11]Set Up'!$N$15,IF(BN7&lt;'[11]Set Up'!$J$16,(BN7-'[11]Set Up'!$J$15)*'[11]Set Up'!$N$16+'[11]Set Up'!$O$15,IF(BN7&lt;'[11]Set Up'!$J$17,(BN7-'[11]Set Up'!$J$16)*'[11]Set Up'!$N$17+'[11]Set Up'!$O$15+'[11]Set Up'!$O$16,(BN7-'[11]Set Up'!$J$17)*'[11]Set Up'!$N$18 + SUM('[11]Set Up'!$O$15:'[11]Set Up'!$O$17)))))</f>
        <v>0</v>
      </c>
      <c r="BO12" s="26">
        <f>IF(BO7="","",IF(BO7&lt;'[11]Set Up'!$J$15,BO7*'[11]Set Up'!$N$15,IF(BO7&lt;'[11]Set Up'!$J$16,(BO7-'[11]Set Up'!$J$15)*'[11]Set Up'!$N$16+'[11]Set Up'!$O$15,IF(BO7&lt;'[11]Set Up'!$J$17,(BO7-'[11]Set Up'!$J$16)*'[11]Set Up'!$N$17+'[11]Set Up'!$O$15+'[11]Set Up'!$O$16,(BO7-'[11]Set Up'!$J$17)*'[11]Set Up'!$N$18 + SUM('[11]Set Up'!$O$15:'[11]Set Up'!$O$17)))))</f>
        <v>0</v>
      </c>
      <c r="BP12" s="26">
        <f>IF(BP7="","",IF(BP7&lt;'[11]Set Up'!$J$15,BP7*'[11]Set Up'!$N$15,IF(BP7&lt;'[11]Set Up'!$J$16,(BP7-'[11]Set Up'!$J$15)*'[11]Set Up'!$N$16+'[11]Set Up'!$O$15,IF(BP7&lt;'[11]Set Up'!$J$17,(BP7-'[11]Set Up'!$J$16)*'[11]Set Up'!$N$17+'[11]Set Up'!$O$15+'[11]Set Up'!$O$16,(BP7-'[11]Set Up'!$J$17)*'[11]Set Up'!$N$18 + SUM('[11]Set Up'!$O$15:'[11]Set Up'!$O$17)))))</f>
        <v>0</v>
      </c>
      <c r="BQ12" s="26">
        <f>IF(BQ7="","",IF(BQ7&lt;'[11]Set Up'!$J$15,BQ7*'[11]Set Up'!$N$15,IF(BQ7&lt;'[11]Set Up'!$J$16,(BQ7-'[11]Set Up'!$J$15)*'[11]Set Up'!$N$16+'[11]Set Up'!$O$15,IF(BQ7&lt;'[11]Set Up'!$J$17,(BQ7-'[11]Set Up'!$J$16)*'[11]Set Up'!$N$17+'[11]Set Up'!$O$15+'[11]Set Up'!$O$16,(BQ7-'[11]Set Up'!$J$17)*'[11]Set Up'!$N$18 + SUM('[11]Set Up'!$O$15:'[11]Set Up'!$O$17)))))</f>
        <v>0</v>
      </c>
      <c r="BR12" s="26">
        <f>IF(BR7="","",IF(BR7&lt;'[11]Set Up'!$J$15,BR7*'[11]Set Up'!$N$15,IF(BR7&lt;'[11]Set Up'!$J$16,(BR7-'[11]Set Up'!$J$15)*'[11]Set Up'!$N$16+'[11]Set Up'!$O$15,IF(BR7&lt;'[11]Set Up'!$J$17,(BR7-'[11]Set Up'!$J$16)*'[11]Set Up'!$N$17+'[11]Set Up'!$O$15+'[11]Set Up'!$O$16,(BR7-'[11]Set Up'!$J$17)*'[11]Set Up'!$N$18 + SUM('[11]Set Up'!$O$15:'[11]Set Up'!$O$17)))))</f>
        <v>0</v>
      </c>
      <c r="BS12" s="26">
        <f>IF(BS7="","",IF(BS7&lt;'[11]Set Up'!$J$15,BS7*'[11]Set Up'!$N$15,IF(BS7&lt;'[11]Set Up'!$J$16,(BS7-'[11]Set Up'!$J$15)*'[11]Set Up'!$N$16+'[11]Set Up'!$O$15,IF(BS7&lt;'[11]Set Up'!$J$17,(BS7-'[11]Set Up'!$J$16)*'[11]Set Up'!$N$17+'[11]Set Up'!$O$15+'[11]Set Up'!$O$16,(BS7-'[11]Set Up'!$J$17)*'[11]Set Up'!$N$18 + SUM('[11]Set Up'!$O$15:'[11]Set Up'!$O$17)))))</f>
        <v>0</v>
      </c>
      <c r="BT12" s="26">
        <f>IF(BT7="","",IF(BT7&lt;'[11]Set Up'!$J$15,BT7*'[11]Set Up'!$N$15,IF(BT7&lt;'[11]Set Up'!$J$16,(BT7-'[11]Set Up'!$J$15)*'[11]Set Up'!$N$16+'[11]Set Up'!$O$15,IF(BT7&lt;'[11]Set Up'!$J$17,(BT7-'[11]Set Up'!$J$16)*'[11]Set Up'!$N$17+'[11]Set Up'!$O$15+'[11]Set Up'!$O$16,(BT7-'[11]Set Up'!$J$17)*'[11]Set Up'!$N$18 + SUM('[11]Set Up'!$O$15:'[11]Set Up'!$O$17)))))</f>
        <v>0</v>
      </c>
      <c r="BU12" s="26">
        <f>IF(BU7="","",IF(BU7&lt;'[11]Set Up'!$J$15,BU7*'[11]Set Up'!$N$15,IF(BU7&lt;'[11]Set Up'!$J$16,(BU7-'[11]Set Up'!$J$15)*'[11]Set Up'!$N$16+'[11]Set Up'!$O$15,IF(BU7&lt;'[11]Set Up'!$J$17,(BU7-'[11]Set Up'!$J$16)*'[11]Set Up'!$N$17+'[11]Set Up'!$O$15+'[11]Set Up'!$O$16,(BU7-'[11]Set Up'!$J$17)*'[11]Set Up'!$N$18 + SUM('[11]Set Up'!$O$15:'[11]Set Up'!$O$17)))))</f>
        <v>0</v>
      </c>
      <c r="BV12" s="26">
        <f>IF(BV7="","",IF(BV7&lt;'[11]Set Up'!$J$15,BV7*'[11]Set Up'!$N$15,IF(BV7&lt;'[11]Set Up'!$J$16,(BV7-'[11]Set Up'!$J$15)*'[11]Set Up'!$N$16+'[11]Set Up'!$O$15,IF(BV7&lt;'[11]Set Up'!$J$17,(BV7-'[11]Set Up'!$J$16)*'[11]Set Up'!$N$17+'[11]Set Up'!$O$15+'[11]Set Up'!$O$16,(BV7-'[11]Set Up'!$J$17)*'[11]Set Up'!$N$18 + SUM('[11]Set Up'!$O$15:'[11]Set Up'!$O$17)))))</f>
        <v>0</v>
      </c>
      <c r="BW12" s="26">
        <f>IF(BW7="","",IF(BW7&lt;'[11]Set Up'!$J$15,BW7*'[11]Set Up'!$N$15,IF(BW7&lt;'[11]Set Up'!$J$16,(BW7-'[11]Set Up'!$J$15)*'[11]Set Up'!$N$16+'[11]Set Up'!$O$15,IF(BW7&lt;'[11]Set Up'!$J$17,(BW7-'[11]Set Up'!$J$16)*'[11]Set Up'!$N$17+'[11]Set Up'!$O$15+'[11]Set Up'!$O$16,(BW7-'[11]Set Up'!$J$17)*'[11]Set Up'!$N$18 + SUM('[11]Set Up'!$O$15:'[11]Set Up'!$O$17)))))</f>
        <v>0</v>
      </c>
      <c r="BX12" s="26">
        <f>IF(BX7="","",IF(BX7&lt;'[11]Set Up'!$J$15,BX7*'[11]Set Up'!$N$15,IF(BX7&lt;'[11]Set Up'!$J$16,(BX7-'[11]Set Up'!$J$15)*'[11]Set Up'!$N$16+'[11]Set Up'!$O$15,IF(BX7&lt;'[11]Set Up'!$J$17,(BX7-'[11]Set Up'!$J$16)*'[11]Set Up'!$N$17+'[11]Set Up'!$O$15+'[11]Set Up'!$O$16,(BX7-'[11]Set Up'!$J$17)*'[11]Set Up'!$N$18 + SUM('[11]Set Up'!$O$15:'[11]Set Up'!$O$17)))))</f>
        <v>0</v>
      </c>
      <c r="BY12" s="26">
        <f>IF(BY7="","",IF(BY7&lt;'[11]Set Up'!$J$15,BY7*'[11]Set Up'!$N$15,IF(BY7&lt;'[11]Set Up'!$J$16,(BY7-'[11]Set Up'!$J$15)*'[11]Set Up'!$N$16+'[11]Set Up'!$O$15,IF(BY7&lt;'[11]Set Up'!$J$17,(BY7-'[11]Set Up'!$J$16)*'[11]Set Up'!$N$17+'[11]Set Up'!$O$15+'[11]Set Up'!$O$16,(BY7-'[11]Set Up'!$J$17)*'[11]Set Up'!$N$18 + SUM('[11]Set Up'!$O$15:'[11]Set Up'!$O$17)))))</f>
        <v>0</v>
      </c>
      <c r="BZ12" s="8"/>
    </row>
    <row r="13" spans="1:78" x14ac:dyDescent="0.35">
      <c r="A13" s="27" t="s">
        <v>21</v>
      </c>
      <c r="B13" s="195"/>
      <c r="C13" s="28" t="e">
        <f>IF(C8="","",IF(C8&lt;'[11]Set Up'!$J$15,C8*'[11]Set Up'!$N$15,IF(C8&lt;'[11]Set Up'!$J$16,(C8-'[11]Set Up'!$J$15)*'[11]Set Up'!$N$16+'[11]Set Up'!$O$15,IF(C8&lt;'[11]Set Up'!$J$17,(C8-'[11]Set Up'!$J$16)*'[11]Set Up'!$N$17+'[11]Set Up'!$O$15+'[11]Set Up'!$O$16,(C8-'[11]Set Up'!$J$17)*'[11]Set Up'!$N$18 + SUM('[11]Set Up'!$O$15:'[11]Set Up'!$O$17)))))</f>
        <v>#VALUE!</v>
      </c>
      <c r="D13" s="28">
        <f>IF(D8="","",IF(D8&lt;'[11]Set Up'!$J$15,D8*'[11]Set Up'!$N$15,IF(D8&lt;'[11]Set Up'!$J$16,(D8-'[11]Set Up'!$J$15)*'[11]Set Up'!$N$16+'[11]Set Up'!$O$15,IF(D8&lt;'[11]Set Up'!$J$17,(D8-'[11]Set Up'!$J$16)*'[11]Set Up'!$N$17+'[11]Set Up'!$O$15+'[11]Set Up'!$O$16,(D8-'[11]Set Up'!$J$17)*'[11]Set Up'!$N$18 + SUM('[11]Set Up'!$O$15:'[11]Set Up'!$O$17)))))</f>
        <v>424.81159847364455</v>
      </c>
      <c r="E13" s="28">
        <f>IF(E8="","",IF(E8&lt;'[11]Set Up'!$J$15,E8*'[11]Set Up'!$N$15,IF(E8&lt;'[11]Set Up'!$J$16,(E8-'[11]Set Up'!$J$15)*'[11]Set Up'!$N$16+'[11]Set Up'!$O$15,IF(E8&lt;'[11]Set Up'!$J$17,(E8-'[11]Set Up'!$J$16)*'[11]Set Up'!$N$17+'[11]Set Up'!$O$15+'[11]Set Up'!$O$16,(E8-'[11]Set Up'!$J$17)*'[11]Set Up'!$N$18 + SUM('[11]Set Up'!$O$15:'[11]Set Up'!$O$17)))))</f>
        <v>421.82530886952225</v>
      </c>
      <c r="F13" s="28">
        <f>IF(F8="","",IF(F8&lt;'[11]Set Up'!$J$15,F8*'[11]Set Up'!$N$15,IF(F8&lt;'[11]Set Up'!$J$16,(F8-'[11]Set Up'!$J$15)*'[11]Set Up'!$N$16+'[11]Set Up'!$O$15,IF(F8&lt;'[11]Set Up'!$J$17,(F8-'[11]Set Up'!$J$16)*'[11]Set Up'!$N$17+'[11]Set Up'!$O$15+'[11]Set Up'!$O$16,(F8-'[11]Set Up'!$J$17)*'[11]Set Up'!$N$18 + SUM('[11]Set Up'!$O$15:'[11]Set Up'!$O$17)))))</f>
        <v>418.8390192654</v>
      </c>
      <c r="G13" s="28">
        <f>IF(G8="","",IF(G8&lt;'[11]Set Up'!$J$15,G8*'[11]Set Up'!$N$15,IF(G8&lt;'[11]Set Up'!$J$16,(G8-'[11]Set Up'!$J$15)*'[11]Set Up'!$N$16+'[11]Set Up'!$O$15,IF(G8&lt;'[11]Set Up'!$J$17,(G8-'[11]Set Up'!$J$16)*'[11]Set Up'!$N$17+'[11]Set Up'!$O$15+'[11]Set Up'!$O$16,(G8-'[11]Set Up'!$J$17)*'[11]Set Up'!$N$18 + SUM('[11]Set Up'!$O$15:'[11]Set Up'!$O$17)))))</f>
        <v>415.85272966127769</v>
      </c>
      <c r="H13" s="28">
        <f>IF(H8="","",IF(H8&lt;'[11]Set Up'!$J$15,H8*'[11]Set Up'!$N$15,IF(H8&lt;'[11]Set Up'!$J$16,(H8-'[11]Set Up'!$J$15)*'[11]Set Up'!$N$16+'[11]Set Up'!$O$15,IF(H8&lt;'[11]Set Up'!$J$17,(H8-'[11]Set Up'!$J$16)*'[11]Set Up'!$N$17+'[11]Set Up'!$O$15+'[11]Set Up'!$O$16,(H8-'[11]Set Up'!$J$17)*'[11]Set Up'!$N$18 + SUM('[11]Set Up'!$O$15:'[11]Set Up'!$O$17)))))</f>
        <v>412.86644005715539</v>
      </c>
      <c r="I13" s="28">
        <f>IF(I8="","",IF(I8&lt;'[11]Set Up'!$J$15,I8*'[11]Set Up'!$N$15,IF(I8&lt;'[11]Set Up'!$J$16,(I8-'[11]Set Up'!$J$15)*'[11]Set Up'!$N$16+'[11]Set Up'!$O$15,IF(I8&lt;'[11]Set Up'!$J$17,(I8-'[11]Set Up'!$J$16)*'[11]Set Up'!$N$17+'[11]Set Up'!$O$15+'[11]Set Up'!$O$16,(I8-'[11]Set Up'!$J$17)*'[11]Set Up'!$N$18 + SUM('[11]Set Up'!$O$15:'[11]Set Up'!$O$17)))))</f>
        <v>409.88015045303314</v>
      </c>
      <c r="J13" s="28">
        <f>IF(J8="","",IF(J8&lt;'[11]Set Up'!$J$15,J8*'[11]Set Up'!$N$15,IF(J8&lt;'[11]Set Up'!$J$16,(J8-'[11]Set Up'!$J$15)*'[11]Set Up'!$N$16+'[11]Set Up'!$O$15,IF(J8&lt;'[11]Set Up'!$J$17,(J8-'[11]Set Up'!$J$16)*'[11]Set Up'!$N$17+'[11]Set Up'!$O$15+'[11]Set Up'!$O$16,(J8-'[11]Set Up'!$J$17)*'[11]Set Up'!$N$18 + SUM('[11]Set Up'!$O$15:'[11]Set Up'!$O$17)))))</f>
        <v>406.89386084891089</v>
      </c>
      <c r="K13" s="28">
        <f>IF(K8="","",IF(K8&lt;'[11]Set Up'!$J$15,K8*'[11]Set Up'!$N$15,IF(K8&lt;'[11]Set Up'!$J$16,(K8-'[11]Set Up'!$J$15)*'[11]Set Up'!$N$16+'[11]Set Up'!$O$15,IF(K8&lt;'[11]Set Up'!$J$17,(K8-'[11]Set Up'!$J$16)*'[11]Set Up'!$N$17+'[11]Set Up'!$O$15+'[11]Set Up'!$O$16,(K8-'[11]Set Up'!$J$17)*'[11]Set Up'!$N$18 + SUM('[11]Set Up'!$O$15:'[11]Set Up'!$O$17)))))</f>
        <v>403.89263979676798</v>
      </c>
      <c r="L13" s="28">
        <f>IF(L8="","",IF(L8&lt;'[11]Set Up'!$J$15,L8*'[11]Set Up'!$N$15,IF(L8&lt;'[11]Set Up'!$J$16,(L8-'[11]Set Up'!$J$15)*'[11]Set Up'!$N$16+'[11]Set Up'!$O$15,IF(L8&lt;'[11]Set Up'!$J$17,(L8-'[11]Set Up'!$J$16)*'[11]Set Up'!$N$17+'[11]Set Up'!$O$15+'[11]Set Up'!$O$16,(L8-'[11]Set Up'!$J$17)*'[11]Set Up'!$N$18 + SUM('[11]Set Up'!$O$15:'[11]Set Up'!$O$17)))))</f>
        <v>400.90635019264573</v>
      </c>
      <c r="M13" s="28">
        <f>IF(M8="","",IF(M8&lt;'[11]Set Up'!$J$15,M8*'[11]Set Up'!$N$15,IF(M8&lt;'[11]Set Up'!$J$16,(M8-'[11]Set Up'!$J$15)*'[11]Set Up'!$N$16+'[11]Set Up'!$O$15,IF(M8&lt;'[11]Set Up'!$J$17,(M8-'[11]Set Up'!$J$16)*'[11]Set Up'!$N$17+'[11]Set Up'!$O$15+'[11]Set Up'!$O$16,(M8-'[11]Set Up'!$J$17)*'[11]Set Up'!$N$18 + SUM('[11]Set Up'!$O$15:'[11]Set Up'!$O$17)))))</f>
        <v>397.92006058852343</v>
      </c>
      <c r="N13" s="28">
        <f>IF(N8="","",IF(N8&lt;'[11]Set Up'!$J$15,N8*'[11]Set Up'!$N$15,IF(N8&lt;'[11]Set Up'!$J$16,(N8-'[11]Set Up'!$J$15)*'[11]Set Up'!$N$16+'[11]Set Up'!$O$15,IF(N8&lt;'[11]Set Up'!$J$17,(N8-'[11]Set Up'!$J$16)*'[11]Set Up'!$N$17+'[11]Set Up'!$O$15+'[11]Set Up'!$O$16,(N8-'[11]Set Up'!$J$17)*'[11]Set Up'!$N$18 + SUM('[11]Set Up'!$O$15:'[11]Set Up'!$O$17)))))</f>
        <v>394.93377098440112</v>
      </c>
      <c r="O13" s="28">
        <f>IF(O8="","",IF(O8&lt;'[11]Set Up'!$J$15,O8*'[11]Set Up'!$N$15,IF(O8&lt;'[11]Set Up'!$J$16,(O8-'[11]Set Up'!$J$15)*'[11]Set Up'!$N$16+'[11]Set Up'!$O$15,IF(O8&lt;'[11]Set Up'!$J$17,(O8-'[11]Set Up'!$J$16)*'[11]Set Up'!$N$17+'[11]Set Up'!$O$15+'[11]Set Up'!$O$16,(O8-'[11]Set Up'!$J$17)*'[11]Set Up'!$N$18 + SUM('[11]Set Up'!$O$15:'[11]Set Up'!$O$17)))))</f>
        <v>391.94748138027887</v>
      </c>
      <c r="P13" s="28">
        <f>IF(P8="","",IF(P8&lt;'[11]Set Up'!$J$15,P8*'[11]Set Up'!$N$15,IF(P8&lt;'[11]Set Up'!$J$16,(P8-'[11]Set Up'!$J$15)*'[11]Set Up'!$N$16+'[11]Set Up'!$O$15,IF(P8&lt;'[11]Set Up'!$J$17,(P8-'[11]Set Up'!$J$16)*'[11]Set Up'!$N$17+'[11]Set Up'!$O$15+'[11]Set Up'!$O$16,(P8-'[11]Set Up'!$J$17)*'[11]Set Up'!$N$18 + SUM('[11]Set Up'!$O$15:'[11]Set Up'!$O$17)))))</f>
        <v>388.96119177615657</v>
      </c>
      <c r="Q13" s="28">
        <f>IF(Q8="","",IF(Q8&lt;'[11]Set Up'!$J$15,Q8*'[11]Set Up'!$N$15,IF(Q8&lt;'[11]Set Up'!$J$16,(Q8-'[11]Set Up'!$J$15)*'[11]Set Up'!$N$16+'[11]Set Up'!$O$15,IF(Q8&lt;'[11]Set Up'!$J$17,(Q8-'[11]Set Up'!$J$16)*'[11]Set Up'!$N$17+'[11]Set Up'!$O$15+'[11]Set Up'!$O$16,(Q8-'[11]Set Up'!$J$17)*'[11]Set Up'!$N$18 + SUM('[11]Set Up'!$O$15:'[11]Set Up'!$O$17)))))</f>
        <v>385.97490217203432</v>
      </c>
      <c r="R13" s="28">
        <f>IF(R8="","",IF(R8&lt;'[11]Set Up'!$J$15,R8*'[11]Set Up'!$N$15,IF(R8&lt;'[11]Set Up'!$J$16,(R8-'[11]Set Up'!$J$15)*'[11]Set Up'!$N$16+'[11]Set Up'!$O$15,IF(R8&lt;'[11]Set Up'!$J$17,(R8-'[11]Set Up'!$J$16)*'[11]Set Up'!$N$17+'[11]Set Up'!$O$15+'[11]Set Up'!$O$16,(R8-'[11]Set Up'!$J$17)*'[11]Set Up'!$N$18 + SUM('[11]Set Up'!$O$15:'[11]Set Up'!$O$17)))))</f>
        <v>382.98861256791201</v>
      </c>
      <c r="S13" s="28">
        <f>IF(S8="","",IF(S8&lt;'[11]Set Up'!$J$15,S8*'[11]Set Up'!$N$15,IF(S8&lt;'[11]Set Up'!$J$16,(S8-'[11]Set Up'!$J$15)*'[11]Set Up'!$N$16+'[11]Set Up'!$O$15,IF(S8&lt;'[11]Set Up'!$J$17,(S8-'[11]Set Up'!$J$16)*'[11]Set Up'!$N$17+'[11]Set Up'!$O$15+'[11]Set Up'!$O$16,(S8-'[11]Set Up'!$J$17)*'[11]Set Up'!$N$18 + SUM('[11]Set Up'!$O$15:'[11]Set Up'!$O$17)))))</f>
        <v>380.00232296378977</v>
      </c>
      <c r="T13" s="28">
        <f>IF(T8="","",IF(T8&lt;'[11]Set Up'!$J$15,T8*'[11]Set Up'!$N$15,IF(T8&lt;'[11]Set Up'!$J$16,(T8-'[11]Set Up'!$J$15)*'[11]Set Up'!$N$16+'[11]Set Up'!$O$15,IF(T8&lt;'[11]Set Up'!$J$17,(T8-'[11]Set Up'!$J$16)*'[11]Set Up'!$N$17+'[11]Set Up'!$O$15+'[11]Set Up'!$O$16,(T8-'[11]Set Up'!$J$17)*'[11]Set Up'!$N$18 + SUM('[11]Set Up'!$O$15:'[11]Set Up'!$O$17)))))</f>
        <v>377.00110191164686</v>
      </c>
      <c r="U13" s="28">
        <f>IF(U8="","",IF(U8&lt;'[11]Set Up'!$J$15,U8*'[11]Set Up'!$N$15,IF(U8&lt;'[11]Set Up'!$J$16,(U8-'[11]Set Up'!$J$15)*'[11]Set Up'!$N$16+'[11]Set Up'!$O$15,IF(U8&lt;'[11]Set Up'!$J$17,(U8-'[11]Set Up'!$J$16)*'[11]Set Up'!$N$17+'[11]Set Up'!$O$15+'[11]Set Up'!$O$16,(U8-'[11]Set Up'!$J$17)*'[11]Set Up'!$N$18 + SUM('[11]Set Up'!$O$15:'[11]Set Up'!$O$17)))))</f>
        <v>374.01481230752461</v>
      </c>
      <c r="V13" s="28">
        <f>IF(V8="","",IF(V8&lt;'[11]Set Up'!$J$15,V8*'[11]Set Up'!$N$15,IF(V8&lt;'[11]Set Up'!$J$16,(V8-'[11]Set Up'!$J$15)*'[11]Set Up'!$N$16+'[11]Set Up'!$O$15,IF(V8&lt;'[11]Set Up'!$J$17,(V8-'[11]Set Up'!$J$16)*'[11]Set Up'!$N$17+'[11]Set Up'!$O$15+'[11]Set Up'!$O$16,(V8-'[11]Set Up'!$J$17)*'[11]Set Up'!$N$18 + SUM('[11]Set Up'!$O$15:'[11]Set Up'!$O$17)))))</f>
        <v>371.0285227034023</v>
      </c>
      <c r="W13" s="28">
        <f>IF(W8="","",IF(W8&lt;'[11]Set Up'!$J$15,W8*'[11]Set Up'!$N$15,IF(W8&lt;'[11]Set Up'!$J$16,(W8-'[11]Set Up'!$J$15)*'[11]Set Up'!$N$16+'[11]Set Up'!$O$15,IF(W8&lt;'[11]Set Up'!$J$17,(W8-'[11]Set Up'!$J$16)*'[11]Set Up'!$N$17+'[11]Set Up'!$O$15+'[11]Set Up'!$O$16,(W8-'[11]Set Up'!$J$17)*'[11]Set Up'!$N$18 + SUM('[11]Set Up'!$O$15:'[11]Set Up'!$O$17)))))</f>
        <v>368.04223309928</v>
      </c>
      <c r="X13" s="28">
        <f>IF(X8="","",IF(X8&lt;'[11]Set Up'!$J$15,X8*'[11]Set Up'!$N$15,IF(X8&lt;'[11]Set Up'!$J$16,(X8-'[11]Set Up'!$J$15)*'[11]Set Up'!$N$16+'[11]Set Up'!$O$15,IF(X8&lt;'[11]Set Up'!$J$17,(X8-'[11]Set Up'!$J$16)*'[11]Set Up'!$N$17+'[11]Set Up'!$O$15+'[11]Set Up'!$O$16,(X8-'[11]Set Up'!$J$17)*'[11]Set Up'!$N$18 + SUM('[11]Set Up'!$O$15:'[11]Set Up'!$O$17)))))</f>
        <v>365.05594349515775</v>
      </c>
      <c r="Y13" s="28">
        <f>IF(Y8="","",IF(Y8&lt;'[11]Set Up'!$J$15,Y8*'[11]Set Up'!$N$15,IF(Y8&lt;'[11]Set Up'!$J$16,(Y8-'[11]Set Up'!$J$15)*'[11]Set Up'!$N$16+'[11]Set Up'!$O$15,IF(Y8&lt;'[11]Set Up'!$J$17,(Y8-'[11]Set Up'!$J$16)*'[11]Set Up'!$N$17+'[11]Set Up'!$O$15+'[11]Set Up'!$O$16,(Y8-'[11]Set Up'!$J$17)*'[11]Set Up'!$N$18 + SUM('[11]Set Up'!$O$15:'[11]Set Up'!$O$17)))))</f>
        <v>362.06965389103544</v>
      </c>
      <c r="Z13" s="28">
        <f>IF(Z8="","",IF(Z8&lt;'[11]Set Up'!$J$15,Z8*'[11]Set Up'!$N$15,IF(Z8&lt;'[11]Set Up'!$J$16,(Z8-'[11]Set Up'!$J$15)*'[11]Set Up'!$N$16+'[11]Set Up'!$O$15,IF(Z8&lt;'[11]Set Up'!$J$17,(Z8-'[11]Set Up'!$J$16)*'[11]Set Up'!$N$17+'[11]Set Up'!$O$15+'[11]Set Up'!$O$16,(Z8-'[11]Set Up'!$J$17)*'[11]Set Up'!$N$18 + SUM('[11]Set Up'!$O$15:'[11]Set Up'!$O$17)))))</f>
        <v>359.08336428691319</v>
      </c>
      <c r="AA13" s="28">
        <f>IF(AA8="","",IF(AA8&lt;'[11]Set Up'!$J$15,AA8*'[11]Set Up'!$N$15,IF(AA8&lt;'[11]Set Up'!$J$16,(AA8-'[11]Set Up'!$J$15)*'[11]Set Up'!$N$16+'[11]Set Up'!$O$15,IF(AA8&lt;'[11]Set Up'!$J$17,(AA8-'[11]Set Up'!$J$16)*'[11]Set Up'!$N$17+'[11]Set Up'!$O$15+'[11]Set Up'!$O$16,(AA8-'[11]Set Up'!$J$17)*'[11]Set Up'!$N$18 + SUM('[11]Set Up'!$O$15:'[11]Set Up'!$O$17)))))</f>
        <v>356.09707468279089</v>
      </c>
      <c r="AB13" s="28">
        <f>IF(AB8="","",IF(AB8&lt;'[11]Set Up'!$J$15,AB8*'[11]Set Up'!$N$15,IF(AB8&lt;'[11]Set Up'!$J$16,(AB8-'[11]Set Up'!$J$15)*'[11]Set Up'!$N$16+'[11]Set Up'!$O$15,IF(AB8&lt;'[11]Set Up'!$J$17,(AB8-'[11]Set Up'!$J$16)*'[11]Set Up'!$N$17+'[11]Set Up'!$O$15+'[11]Set Up'!$O$16,(AB8-'[11]Set Up'!$J$17)*'[11]Set Up'!$N$18 + SUM('[11]Set Up'!$O$15:'[11]Set Up'!$O$17)))))</f>
        <v>353.09585363064798</v>
      </c>
      <c r="AC13" s="28">
        <f>IF(AC8="","",IF(AC8&lt;'[11]Set Up'!$J$15,AC8*'[11]Set Up'!$N$15,IF(AC8&lt;'[11]Set Up'!$J$16,(AC8-'[11]Set Up'!$J$15)*'[11]Set Up'!$N$16+'[11]Set Up'!$O$15,IF(AC8&lt;'[11]Set Up'!$J$17,(AC8-'[11]Set Up'!$J$16)*'[11]Set Up'!$N$17+'[11]Set Up'!$O$15+'[11]Set Up'!$O$16,(AC8-'[11]Set Up'!$J$17)*'[11]Set Up'!$N$18 + SUM('[11]Set Up'!$O$15:'[11]Set Up'!$O$17)))))</f>
        <v>350.10956402652573</v>
      </c>
      <c r="AD13" s="28">
        <f>IF(AD8="","",IF(AD8&lt;'[11]Set Up'!$J$15,AD8*'[11]Set Up'!$N$15,IF(AD8&lt;'[11]Set Up'!$J$16,(AD8-'[11]Set Up'!$J$15)*'[11]Set Up'!$N$16+'[11]Set Up'!$O$15,IF(AD8&lt;'[11]Set Up'!$J$17,(AD8-'[11]Set Up'!$J$16)*'[11]Set Up'!$N$17+'[11]Set Up'!$O$15+'[11]Set Up'!$O$16,(AD8-'[11]Set Up'!$J$17)*'[11]Set Up'!$N$18 + SUM('[11]Set Up'!$O$15:'[11]Set Up'!$O$17)))))</f>
        <v>347.12327442240348</v>
      </c>
      <c r="AE13" s="28">
        <f>IF(AE8="","",IF(AE8&lt;'[11]Set Up'!$J$15,AE8*'[11]Set Up'!$N$15,IF(AE8&lt;'[11]Set Up'!$J$16,(AE8-'[11]Set Up'!$J$15)*'[11]Set Up'!$N$16+'[11]Set Up'!$O$15,IF(AE8&lt;'[11]Set Up'!$J$17,(AE8-'[11]Set Up'!$J$16)*'[11]Set Up'!$N$17+'[11]Set Up'!$O$15+'[11]Set Up'!$O$16,(AE8-'[11]Set Up'!$J$17)*'[11]Set Up'!$N$18 + SUM('[11]Set Up'!$O$15:'[11]Set Up'!$O$17)))))</f>
        <v>344.13698481828118</v>
      </c>
      <c r="AF13" s="28">
        <f>IF(AF8="","",IF(AF8&lt;'[11]Set Up'!$J$15,AF8*'[11]Set Up'!$N$15,IF(AF8&lt;'[11]Set Up'!$J$16,(AF8-'[11]Set Up'!$J$15)*'[11]Set Up'!$N$16+'[11]Set Up'!$O$15,IF(AF8&lt;'[11]Set Up'!$J$17,(AF8-'[11]Set Up'!$J$16)*'[11]Set Up'!$N$17+'[11]Set Up'!$O$15+'[11]Set Up'!$O$16,(AF8-'[11]Set Up'!$J$17)*'[11]Set Up'!$N$18 + SUM('[11]Set Up'!$O$15:'[11]Set Up'!$O$17)))))</f>
        <v>341.15069521415887</v>
      </c>
      <c r="AG13" s="28">
        <f>IF(AG8="","",IF(AG8&lt;'[11]Set Up'!$J$15,AG8*'[11]Set Up'!$N$15,IF(AG8&lt;'[11]Set Up'!$J$16,(AG8-'[11]Set Up'!$J$15)*'[11]Set Up'!$N$16+'[11]Set Up'!$O$15,IF(AG8&lt;'[11]Set Up'!$J$17,(AG8-'[11]Set Up'!$J$16)*'[11]Set Up'!$N$17+'[11]Set Up'!$O$15+'[11]Set Up'!$O$16,(AG8-'[11]Set Up'!$J$17)*'[11]Set Up'!$N$18 + SUM('[11]Set Up'!$O$15:'[11]Set Up'!$O$17)))))</f>
        <v>338.16440561003662</v>
      </c>
      <c r="AH13" s="28">
        <f>IF(AH8="","",IF(AH8&lt;'[11]Set Up'!$J$15,AH8*'[11]Set Up'!$N$15,IF(AH8&lt;'[11]Set Up'!$J$16,(AH8-'[11]Set Up'!$J$15)*'[11]Set Up'!$N$16+'[11]Set Up'!$O$15,IF(AH8&lt;'[11]Set Up'!$J$17,(AH8-'[11]Set Up'!$J$16)*'[11]Set Up'!$N$17+'[11]Set Up'!$O$15+'[11]Set Up'!$O$16,(AH8-'[11]Set Up'!$J$17)*'[11]Set Up'!$N$18 + SUM('[11]Set Up'!$O$15:'[11]Set Up'!$O$17)))))</f>
        <v>335.17811600591432</v>
      </c>
      <c r="AI13" s="28">
        <f>IF(AI8="","",IF(AI8&lt;'[11]Set Up'!$J$15,AI8*'[11]Set Up'!$N$15,IF(AI8&lt;'[11]Set Up'!$J$16,(AI8-'[11]Set Up'!$J$15)*'[11]Set Up'!$N$16+'[11]Set Up'!$O$15,IF(AI8&lt;'[11]Set Up'!$J$17,(AI8-'[11]Set Up'!$J$16)*'[11]Set Up'!$N$17+'[11]Set Up'!$O$15+'[11]Set Up'!$O$16,(AI8-'[11]Set Up'!$J$17)*'[11]Set Up'!$N$18 + SUM('[11]Set Up'!$O$15:'[11]Set Up'!$O$17)))))</f>
        <v>332.19182640179207</v>
      </c>
      <c r="AJ13" s="28">
        <f>IF(AJ8="","",IF(AJ8&lt;'[11]Set Up'!$J$15,AJ8*'[11]Set Up'!$N$15,IF(AJ8&lt;'[11]Set Up'!$J$16,(AJ8-'[11]Set Up'!$J$15)*'[11]Set Up'!$N$16+'[11]Set Up'!$O$15,IF(AJ8&lt;'[11]Set Up'!$J$17,(AJ8-'[11]Set Up'!$J$16)*'[11]Set Up'!$N$17+'[11]Set Up'!$O$15+'[11]Set Up'!$O$16,(AJ8-'[11]Set Up'!$J$17)*'[11]Set Up'!$N$18 + SUM('[11]Set Up'!$O$15:'[11]Set Up'!$O$17)))))</f>
        <v>329.19060534964916</v>
      </c>
      <c r="AK13" s="28">
        <f>IF(AK8="","",IF(AK8&lt;'[11]Set Up'!$J$15,AK8*'[11]Set Up'!$N$15,IF(AK8&lt;'[11]Set Up'!$J$16,(AK8-'[11]Set Up'!$J$15)*'[11]Set Up'!$N$16+'[11]Set Up'!$O$15,IF(AK8&lt;'[11]Set Up'!$J$17,(AK8-'[11]Set Up'!$J$16)*'[11]Set Up'!$N$17+'[11]Set Up'!$O$15+'[11]Set Up'!$O$16,(AK8-'[11]Set Up'!$J$17)*'[11]Set Up'!$N$18 + SUM('[11]Set Up'!$O$15:'[11]Set Up'!$O$17)))))</f>
        <v>326.20431574552686</v>
      </c>
      <c r="AL13" s="28">
        <f>IF(AL8="","",IF(AL8&lt;'[11]Set Up'!$J$15,AL8*'[11]Set Up'!$N$15,IF(AL8&lt;'[11]Set Up'!$J$16,(AL8-'[11]Set Up'!$J$15)*'[11]Set Up'!$N$16+'[11]Set Up'!$O$15,IF(AL8&lt;'[11]Set Up'!$J$17,(AL8-'[11]Set Up'!$J$16)*'[11]Set Up'!$N$17+'[11]Set Up'!$O$15+'[11]Set Up'!$O$16,(AL8-'[11]Set Up'!$J$17)*'[11]Set Up'!$N$18 + SUM('[11]Set Up'!$O$15:'[11]Set Up'!$O$17)))))</f>
        <v>323.21802614140461</v>
      </c>
      <c r="AM13" s="28">
        <f>IF(AM8="","",IF(AM8&lt;'[11]Set Up'!$J$15,AM8*'[11]Set Up'!$N$15,IF(AM8&lt;'[11]Set Up'!$J$16,(AM8-'[11]Set Up'!$J$15)*'[11]Set Up'!$N$16+'[11]Set Up'!$O$15,IF(AM8&lt;'[11]Set Up'!$J$17,(AM8-'[11]Set Up'!$J$16)*'[11]Set Up'!$N$17+'[11]Set Up'!$O$15+'[11]Set Up'!$O$16,(AM8-'[11]Set Up'!$J$17)*'[11]Set Up'!$N$18 + SUM('[11]Set Up'!$O$15:'[11]Set Up'!$O$17)))))</f>
        <v>320.23173653728236</v>
      </c>
      <c r="AN13" s="28">
        <f>IF(AN8="","",IF(AN8&lt;'[11]Set Up'!$J$15,AN8*'[11]Set Up'!$N$15,IF(AN8&lt;'[11]Set Up'!$J$16,(AN8-'[11]Set Up'!$J$15)*'[11]Set Up'!$N$16+'[11]Set Up'!$O$15,IF(AN8&lt;'[11]Set Up'!$J$17,(AN8-'[11]Set Up'!$J$16)*'[11]Set Up'!$N$17+'[11]Set Up'!$O$15+'[11]Set Up'!$O$16,(AN8-'[11]Set Up'!$J$17)*'[11]Set Up'!$N$18 + SUM('[11]Set Up'!$O$15:'[11]Set Up'!$O$17)))))</f>
        <v>317.24544693316005</v>
      </c>
      <c r="AO13" s="28">
        <f>IF(AO8="","",IF(AO8&lt;'[11]Set Up'!$J$15,AO8*'[11]Set Up'!$N$15,IF(AO8&lt;'[11]Set Up'!$J$16,(AO8-'[11]Set Up'!$J$15)*'[11]Set Up'!$N$16+'[11]Set Up'!$O$15,IF(AO8&lt;'[11]Set Up'!$J$17,(AO8-'[11]Set Up'!$J$16)*'[11]Set Up'!$N$17+'[11]Set Up'!$O$15+'[11]Set Up'!$O$16,(AO8-'[11]Set Up'!$J$17)*'[11]Set Up'!$N$18 + SUM('[11]Set Up'!$O$15:'[11]Set Up'!$O$17)))))</f>
        <v>314.25915732903775</v>
      </c>
      <c r="AP13" s="28">
        <f>IF(AP8="","",IF(AP8&lt;'[11]Set Up'!$J$15,AP8*'[11]Set Up'!$N$15,IF(AP8&lt;'[11]Set Up'!$J$16,(AP8-'[11]Set Up'!$J$15)*'[11]Set Up'!$N$16+'[11]Set Up'!$O$15,IF(AP8&lt;'[11]Set Up'!$J$17,(AP8-'[11]Set Up'!$J$16)*'[11]Set Up'!$N$17+'[11]Set Up'!$O$15+'[11]Set Up'!$O$16,(AP8-'[11]Set Up'!$J$17)*'[11]Set Up'!$N$18 + SUM('[11]Set Up'!$O$15:'[11]Set Up'!$O$17)))))</f>
        <v>311.2728677249155</v>
      </c>
      <c r="AQ13" s="28">
        <f>IF(AQ8="","",IF(AQ8&lt;'[11]Set Up'!$J$15,AQ8*'[11]Set Up'!$N$15,IF(AQ8&lt;'[11]Set Up'!$J$16,(AQ8-'[11]Set Up'!$J$15)*'[11]Set Up'!$N$16+'[11]Set Up'!$O$15,IF(AQ8&lt;'[11]Set Up'!$J$17,(AQ8-'[11]Set Up'!$J$16)*'[11]Set Up'!$N$17+'[11]Set Up'!$O$15+'[11]Set Up'!$O$16,(AQ8-'[11]Set Up'!$J$17)*'[11]Set Up'!$N$18 + SUM('[11]Set Up'!$O$15:'[11]Set Up'!$O$17)))))</f>
        <v>305.30028851667095</v>
      </c>
      <c r="AR13" s="28">
        <f>IF(AR8="","",IF(AR8&lt;'[11]Set Up'!$J$15,AR8*'[11]Set Up'!$N$15,IF(AR8&lt;'[11]Set Up'!$J$16,(AR8-'[11]Set Up'!$J$15)*'[11]Set Up'!$N$16+'[11]Set Up'!$O$15,IF(AR8&lt;'[11]Set Up'!$J$17,(AR8-'[11]Set Up'!$J$16)*'[11]Set Up'!$N$17+'[11]Set Up'!$O$15+'[11]Set Up'!$O$16,(AR8-'[11]Set Up'!$J$17)*'[11]Set Up'!$N$18 + SUM('[11]Set Up'!$O$15:'[11]Set Up'!$O$17)))))</f>
        <v>305.30028851667095</v>
      </c>
      <c r="AS13" s="28">
        <f>IF(AS8="","",IF(AS8&lt;'[11]Set Up'!$J$15,AS8*'[11]Set Up'!$N$15,IF(AS8&lt;'[11]Set Up'!$J$16,(AS8-'[11]Set Up'!$J$15)*'[11]Set Up'!$N$16+'[11]Set Up'!$O$15,IF(AS8&lt;'[11]Set Up'!$J$17,(AS8-'[11]Set Up'!$J$16)*'[11]Set Up'!$N$17+'[11]Set Up'!$O$15+'[11]Set Up'!$O$16,(AS8-'[11]Set Up'!$J$17)*'[11]Set Up'!$N$18 + SUM('[11]Set Up'!$O$15:'[11]Set Up'!$O$17)))))</f>
        <v>302.29906746452804</v>
      </c>
      <c r="AT13" s="28">
        <f>IF(AT8="","",IF(AT8&lt;'[11]Set Up'!$J$15,AT8*'[11]Set Up'!$N$15,IF(AT8&lt;'[11]Set Up'!$J$16,(AT8-'[11]Set Up'!$J$15)*'[11]Set Up'!$N$16+'[11]Set Up'!$O$15,IF(AT8&lt;'[11]Set Up'!$J$17,(AT8-'[11]Set Up'!$J$16)*'[11]Set Up'!$N$17+'[11]Set Up'!$O$15+'[11]Set Up'!$O$16,(AT8-'[11]Set Up'!$J$17)*'[11]Set Up'!$N$18 + SUM('[11]Set Up'!$O$15:'[11]Set Up'!$O$17)))))</f>
        <v>299.31277786040579</v>
      </c>
      <c r="AU13" s="28">
        <f>IF(AU8="","",IF(AU8&lt;'[11]Set Up'!$J$15,AU8*'[11]Set Up'!$N$15,IF(AU8&lt;'[11]Set Up'!$J$16,(AU8-'[11]Set Up'!$J$15)*'[11]Set Up'!$N$16+'[11]Set Up'!$O$15,IF(AU8&lt;'[11]Set Up'!$J$17,(AU8-'[11]Set Up'!$J$16)*'[11]Set Up'!$N$17+'[11]Set Up'!$O$15+'[11]Set Up'!$O$16,(AU8-'[11]Set Up'!$J$17)*'[11]Set Up'!$N$18 + SUM('[11]Set Up'!$O$15:'[11]Set Up'!$O$17)))))</f>
        <v>296.32648825628348</v>
      </c>
      <c r="AV13" s="28">
        <f>IF(AV8="","",IF(AV8&lt;'[11]Set Up'!$J$15,AV8*'[11]Set Up'!$N$15,IF(AV8&lt;'[11]Set Up'!$J$16,(AV8-'[11]Set Up'!$J$15)*'[11]Set Up'!$N$16+'[11]Set Up'!$O$15,IF(AV8&lt;'[11]Set Up'!$J$17,(AV8-'[11]Set Up'!$J$16)*'[11]Set Up'!$N$17+'[11]Set Up'!$O$15+'[11]Set Up'!$O$16,(AV8-'[11]Set Up'!$J$17)*'[11]Set Up'!$N$18 + SUM('[11]Set Up'!$O$15:'[11]Set Up'!$O$17)))))</f>
        <v>293.34019865216123</v>
      </c>
      <c r="AW13" s="28">
        <f>IF(AW8="","",IF(AW8&lt;'[11]Set Up'!$J$15,AW8*'[11]Set Up'!$N$15,IF(AW8&lt;'[11]Set Up'!$J$16,(AW8-'[11]Set Up'!$J$15)*'[11]Set Up'!$N$16+'[11]Set Up'!$O$15,IF(AW8&lt;'[11]Set Up'!$J$17,(AW8-'[11]Set Up'!$J$16)*'[11]Set Up'!$N$17+'[11]Set Up'!$O$15+'[11]Set Up'!$O$16,(AW8-'[11]Set Up'!$J$17)*'[11]Set Up'!$N$18 + SUM('[11]Set Up'!$O$15:'[11]Set Up'!$O$17)))))</f>
        <v>290.35390904803893</v>
      </c>
      <c r="AX13" s="28">
        <f>IF(AX8="","",IF(AX8&lt;'[11]Set Up'!$J$15,AX8*'[11]Set Up'!$N$15,IF(AX8&lt;'[11]Set Up'!$J$16,(AX8-'[11]Set Up'!$J$15)*'[11]Set Up'!$N$16+'[11]Set Up'!$O$15,IF(AX8&lt;'[11]Set Up'!$J$17,(AX8-'[11]Set Up'!$J$16)*'[11]Set Up'!$N$17+'[11]Set Up'!$O$15+'[11]Set Up'!$O$16,(AX8-'[11]Set Up'!$J$17)*'[11]Set Up'!$N$18 + SUM('[11]Set Up'!$O$15:'[11]Set Up'!$O$17)))))</f>
        <v>287.36761944391662</v>
      </c>
      <c r="AY13" s="28">
        <f>IF(AY8="","",IF(AY8&lt;'[11]Set Up'!$J$15,AY8*'[11]Set Up'!$N$15,IF(AY8&lt;'[11]Set Up'!$J$16,(AY8-'[11]Set Up'!$J$15)*'[11]Set Up'!$N$16+'[11]Set Up'!$O$15,IF(AY8&lt;'[11]Set Up'!$J$17,(AY8-'[11]Set Up'!$J$16)*'[11]Set Up'!$N$17+'[11]Set Up'!$O$15+'[11]Set Up'!$O$16,(AY8-'[11]Set Up'!$J$17)*'[11]Set Up'!$N$18 + SUM('[11]Set Up'!$O$15:'[11]Set Up'!$O$17)))))</f>
        <v>284.38132983979438</v>
      </c>
      <c r="AZ13" s="28">
        <f>IF(AZ8="","",IF(AZ8&lt;'[11]Set Up'!$J$15,AZ8*'[11]Set Up'!$N$15,IF(AZ8&lt;'[11]Set Up'!$J$16,(AZ8-'[11]Set Up'!$J$15)*'[11]Set Up'!$N$16+'[11]Set Up'!$O$15,IF(AZ8&lt;'[11]Set Up'!$J$17,(AZ8-'[11]Set Up'!$J$16)*'[11]Set Up'!$N$17+'[11]Set Up'!$O$15+'[11]Set Up'!$O$16,(AZ8-'[11]Set Up'!$J$17)*'[11]Set Up'!$N$18 + SUM('[11]Set Up'!$O$15:'[11]Set Up'!$O$17)))))</f>
        <v>281.39504023567207</v>
      </c>
      <c r="BA13" s="28">
        <f>IF(BA8="","",IF(BA8&lt;'[11]Set Up'!$J$15,BA8*'[11]Set Up'!$N$15,IF(BA8&lt;'[11]Set Up'!$J$16,(BA8-'[11]Set Up'!$J$15)*'[11]Set Up'!$N$16+'[11]Set Up'!$O$15,IF(BA8&lt;'[11]Set Up'!$J$17,(BA8-'[11]Set Up'!$J$16)*'[11]Set Up'!$N$17+'[11]Set Up'!$O$15+'[11]Set Up'!$O$16,(BA8-'[11]Set Up'!$J$17)*'[11]Set Up'!$N$18 + SUM('[11]Set Up'!$O$15:'[11]Set Up'!$O$17)))))</f>
        <v>278.39381918352922</v>
      </c>
      <c r="BB13" s="28">
        <f>IF(BB8="","",IF(BB8&lt;'[11]Set Up'!$J$15,BB8*'[11]Set Up'!$N$15,IF(BB8&lt;'[11]Set Up'!$J$16,(BB8-'[11]Set Up'!$J$15)*'[11]Set Up'!$N$16+'[11]Set Up'!$O$15,IF(BB8&lt;'[11]Set Up'!$J$17,(BB8-'[11]Set Up'!$J$16)*'[11]Set Up'!$N$17+'[11]Set Up'!$O$15+'[11]Set Up'!$O$16,(BB8-'[11]Set Up'!$J$17)*'[11]Set Up'!$N$18 + SUM('[11]Set Up'!$O$15:'[11]Set Up'!$O$17)))))</f>
        <v>275.40752957940691</v>
      </c>
      <c r="BC13" s="28">
        <f>IF(BC8="","",IF(BC8&lt;'[11]Set Up'!$J$15,BC8*'[11]Set Up'!$N$15,IF(BC8&lt;'[11]Set Up'!$J$16,(BC8-'[11]Set Up'!$J$15)*'[11]Set Up'!$N$16+'[11]Set Up'!$O$15,IF(BC8&lt;'[11]Set Up'!$J$17,(BC8-'[11]Set Up'!$J$16)*'[11]Set Up'!$N$17+'[11]Set Up'!$O$15+'[11]Set Up'!$O$16,(BC8-'[11]Set Up'!$J$17)*'[11]Set Up'!$N$18 + SUM('[11]Set Up'!$O$15:'[11]Set Up'!$O$17)))))</f>
        <v>272.42123997528466</v>
      </c>
      <c r="BD13" s="28">
        <f>IF(BD8="","",IF(BD8&lt;'[11]Set Up'!$J$15,BD8*'[11]Set Up'!$N$15,IF(BD8&lt;'[11]Set Up'!$J$16,(BD8-'[11]Set Up'!$J$15)*'[11]Set Up'!$N$16+'[11]Set Up'!$O$15,IF(BD8&lt;'[11]Set Up'!$J$17,(BD8-'[11]Set Up'!$J$16)*'[11]Set Up'!$N$17+'[11]Set Up'!$O$15+'[11]Set Up'!$O$16,(BD8-'[11]Set Up'!$J$17)*'[11]Set Up'!$N$18 + SUM('[11]Set Up'!$O$15:'[11]Set Up'!$O$17)))))</f>
        <v>269.43495037116236</v>
      </c>
      <c r="BE13" s="28">
        <f>IF(BE8="","",IF(BE8&lt;'[11]Set Up'!$J$15,BE8*'[11]Set Up'!$N$15,IF(BE8&lt;'[11]Set Up'!$J$16,(BE8-'[11]Set Up'!$J$15)*'[11]Set Up'!$N$16+'[11]Set Up'!$O$15,IF(BE8&lt;'[11]Set Up'!$J$17,(BE8-'[11]Set Up'!$J$16)*'[11]Set Up'!$N$17+'[11]Set Up'!$O$15+'[11]Set Up'!$O$16,(BE8-'[11]Set Up'!$J$17)*'[11]Set Up'!$N$18 + SUM('[11]Set Up'!$O$15:'[11]Set Up'!$O$17)))))</f>
        <v>0</v>
      </c>
      <c r="BF13" s="28">
        <f>IF(BF8="","",IF(BF8&lt;'[11]Set Up'!$J$15,BF8*'[11]Set Up'!$N$15,IF(BF8&lt;'[11]Set Up'!$J$16,(BF8-'[11]Set Up'!$J$15)*'[11]Set Up'!$N$16+'[11]Set Up'!$O$15,IF(BF8&lt;'[11]Set Up'!$J$17,(BF8-'[11]Set Up'!$J$16)*'[11]Set Up'!$N$17+'[11]Set Up'!$O$15+'[11]Set Up'!$O$16,(BF8-'[11]Set Up'!$J$17)*'[11]Set Up'!$N$18 + SUM('[11]Set Up'!$O$15:'[11]Set Up'!$O$17)))))</f>
        <v>0</v>
      </c>
      <c r="BG13" s="28">
        <f>IF(BG8="","",IF(BG8&lt;'[11]Set Up'!$J$15,BG8*'[11]Set Up'!$N$15,IF(BG8&lt;'[11]Set Up'!$J$16,(BG8-'[11]Set Up'!$J$15)*'[11]Set Up'!$N$16+'[11]Set Up'!$O$15,IF(BG8&lt;'[11]Set Up'!$J$17,(BG8-'[11]Set Up'!$J$16)*'[11]Set Up'!$N$17+'[11]Set Up'!$O$15+'[11]Set Up'!$O$16,(BG8-'[11]Set Up'!$J$17)*'[11]Set Up'!$N$18 + SUM('[11]Set Up'!$O$15:'[11]Set Up'!$O$17)))))</f>
        <v>0</v>
      </c>
      <c r="BH13" s="28">
        <f>IF(BH8="","",IF(BH8&lt;'[11]Set Up'!$J$15,BH8*'[11]Set Up'!$N$15,IF(BH8&lt;'[11]Set Up'!$J$16,(BH8-'[11]Set Up'!$J$15)*'[11]Set Up'!$N$16+'[11]Set Up'!$O$15,IF(BH8&lt;'[11]Set Up'!$J$17,(BH8-'[11]Set Up'!$J$16)*'[11]Set Up'!$N$17+'[11]Set Up'!$O$15+'[11]Set Up'!$O$16,(BH8-'[11]Set Up'!$J$17)*'[11]Set Up'!$N$18 + SUM('[11]Set Up'!$O$15:'[11]Set Up'!$O$17)))))</f>
        <v>0</v>
      </c>
      <c r="BI13" s="28">
        <f>IF(BI8="","",IF(BI8&lt;'[11]Set Up'!$J$15,BI8*'[11]Set Up'!$N$15,IF(BI8&lt;'[11]Set Up'!$J$16,(BI8-'[11]Set Up'!$J$15)*'[11]Set Up'!$N$16+'[11]Set Up'!$O$15,IF(BI8&lt;'[11]Set Up'!$J$17,(BI8-'[11]Set Up'!$J$16)*'[11]Set Up'!$N$17+'[11]Set Up'!$O$15+'[11]Set Up'!$O$16,(BI8-'[11]Set Up'!$J$17)*'[11]Set Up'!$N$18 + SUM('[11]Set Up'!$O$15:'[11]Set Up'!$O$17)))))</f>
        <v>0</v>
      </c>
      <c r="BJ13" s="28">
        <f>IF(BJ8="","",IF(BJ8&lt;'[11]Set Up'!$J$15,BJ8*'[11]Set Up'!$N$15,IF(BJ8&lt;'[11]Set Up'!$J$16,(BJ8-'[11]Set Up'!$J$15)*'[11]Set Up'!$N$16+'[11]Set Up'!$O$15,IF(BJ8&lt;'[11]Set Up'!$J$17,(BJ8-'[11]Set Up'!$J$16)*'[11]Set Up'!$N$17+'[11]Set Up'!$O$15+'[11]Set Up'!$O$16,(BJ8-'[11]Set Up'!$J$17)*'[11]Set Up'!$N$18 + SUM('[11]Set Up'!$O$15:'[11]Set Up'!$O$17)))))</f>
        <v>0</v>
      </c>
      <c r="BK13" s="28">
        <f>IF(BK8="","",IF(BK8&lt;'[11]Set Up'!$J$15,BK8*'[11]Set Up'!$N$15,IF(BK8&lt;'[11]Set Up'!$J$16,(BK8-'[11]Set Up'!$J$15)*'[11]Set Up'!$N$16+'[11]Set Up'!$O$15,IF(BK8&lt;'[11]Set Up'!$J$17,(BK8-'[11]Set Up'!$J$16)*'[11]Set Up'!$N$17+'[11]Set Up'!$O$15+'[11]Set Up'!$O$16,(BK8-'[11]Set Up'!$J$17)*'[11]Set Up'!$N$18 + SUM('[11]Set Up'!$O$15:'[11]Set Up'!$O$17)))))</f>
        <v>0</v>
      </c>
      <c r="BL13" s="28">
        <f>IF(BL8="","",IF(BL8&lt;'[11]Set Up'!$J$15,BL8*'[11]Set Up'!$N$15,IF(BL8&lt;'[11]Set Up'!$J$16,(BL8-'[11]Set Up'!$J$15)*'[11]Set Up'!$N$16+'[11]Set Up'!$O$15,IF(BL8&lt;'[11]Set Up'!$J$17,(BL8-'[11]Set Up'!$J$16)*'[11]Set Up'!$N$17+'[11]Set Up'!$O$15+'[11]Set Up'!$O$16,(BL8-'[11]Set Up'!$J$17)*'[11]Set Up'!$N$18 + SUM('[11]Set Up'!$O$15:'[11]Set Up'!$O$17)))))</f>
        <v>0</v>
      </c>
      <c r="BM13" s="28">
        <f>IF(BM8="","",IF(BM8&lt;'[11]Set Up'!$J$15,BM8*'[11]Set Up'!$N$15,IF(BM8&lt;'[11]Set Up'!$J$16,(BM8-'[11]Set Up'!$J$15)*'[11]Set Up'!$N$16+'[11]Set Up'!$O$15,IF(BM8&lt;'[11]Set Up'!$J$17,(BM8-'[11]Set Up'!$J$16)*'[11]Set Up'!$N$17+'[11]Set Up'!$O$15+'[11]Set Up'!$O$16,(BM8-'[11]Set Up'!$J$17)*'[11]Set Up'!$N$18 + SUM('[11]Set Up'!$O$15:'[11]Set Up'!$O$17)))))</f>
        <v>0</v>
      </c>
      <c r="BN13" s="28">
        <f>IF(BN8="","",IF(BN8&lt;'[11]Set Up'!$J$15,BN8*'[11]Set Up'!$N$15,IF(BN8&lt;'[11]Set Up'!$J$16,(BN8-'[11]Set Up'!$J$15)*'[11]Set Up'!$N$16+'[11]Set Up'!$O$15,IF(BN8&lt;'[11]Set Up'!$J$17,(BN8-'[11]Set Up'!$J$16)*'[11]Set Up'!$N$17+'[11]Set Up'!$O$15+'[11]Set Up'!$O$16,(BN8-'[11]Set Up'!$J$17)*'[11]Set Up'!$N$18 + SUM('[11]Set Up'!$O$15:'[11]Set Up'!$O$17)))))</f>
        <v>0</v>
      </c>
      <c r="BO13" s="28">
        <f>IF(BO8="","",IF(BO8&lt;'[11]Set Up'!$J$15,BO8*'[11]Set Up'!$N$15,IF(BO8&lt;'[11]Set Up'!$J$16,(BO8-'[11]Set Up'!$J$15)*'[11]Set Up'!$N$16+'[11]Set Up'!$O$15,IF(BO8&lt;'[11]Set Up'!$J$17,(BO8-'[11]Set Up'!$J$16)*'[11]Set Up'!$N$17+'[11]Set Up'!$O$15+'[11]Set Up'!$O$16,(BO8-'[11]Set Up'!$J$17)*'[11]Set Up'!$N$18 + SUM('[11]Set Up'!$O$15:'[11]Set Up'!$O$17)))))</f>
        <v>0</v>
      </c>
      <c r="BP13" s="28">
        <f>IF(BP8="","",IF(BP8&lt;'[11]Set Up'!$J$15,BP8*'[11]Set Up'!$N$15,IF(BP8&lt;'[11]Set Up'!$J$16,(BP8-'[11]Set Up'!$J$15)*'[11]Set Up'!$N$16+'[11]Set Up'!$O$15,IF(BP8&lt;'[11]Set Up'!$J$17,(BP8-'[11]Set Up'!$J$16)*'[11]Set Up'!$N$17+'[11]Set Up'!$O$15+'[11]Set Up'!$O$16,(BP8-'[11]Set Up'!$J$17)*'[11]Set Up'!$N$18 + SUM('[11]Set Up'!$O$15:'[11]Set Up'!$O$17)))))</f>
        <v>0</v>
      </c>
      <c r="BQ13" s="28">
        <f>IF(BQ8="","",IF(BQ8&lt;'[11]Set Up'!$J$15,BQ8*'[11]Set Up'!$N$15,IF(BQ8&lt;'[11]Set Up'!$J$16,(BQ8-'[11]Set Up'!$J$15)*'[11]Set Up'!$N$16+'[11]Set Up'!$O$15,IF(BQ8&lt;'[11]Set Up'!$J$17,(BQ8-'[11]Set Up'!$J$16)*'[11]Set Up'!$N$17+'[11]Set Up'!$O$15+'[11]Set Up'!$O$16,(BQ8-'[11]Set Up'!$J$17)*'[11]Set Up'!$N$18 + SUM('[11]Set Up'!$O$15:'[11]Set Up'!$O$17)))))</f>
        <v>0</v>
      </c>
      <c r="BR13" s="28">
        <f>IF(BR8="","",IF(BR8&lt;'[11]Set Up'!$J$15,BR8*'[11]Set Up'!$N$15,IF(BR8&lt;'[11]Set Up'!$J$16,(BR8-'[11]Set Up'!$J$15)*'[11]Set Up'!$N$16+'[11]Set Up'!$O$15,IF(BR8&lt;'[11]Set Up'!$J$17,(BR8-'[11]Set Up'!$J$16)*'[11]Set Up'!$N$17+'[11]Set Up'!$O$15+'[11]Set Up'!$O$16,(BR8-'[11]Set Up'!$J$17)*'[11]Set Up'!$N$18 + SUM('[11]Set Up'!$O$15:'[11]Set Up'!$O$17)))))</f>
        <v>0</v>
      </c>
      <c r="BS13" s="28">
        <f>IF(BS8="","",IF(BS8&lt;'[11]Set Up'!$J$15,BS8*'[11]Set Up'!$N$15,IF(BS8&lt;'[11]Set Up'!$J$16,(BS8-'[11]Set Up'!$J$15)*'[11]Set Up'!$N$16+'[11]Set Up'!$O$15,IF(BS8&lt;'[11]Set Up'!$J$17,(BS8-'[11]Set Up'!$J$16)*'[11]Set Up'!$N$17+'[11]Set Up'!$O$15+'[11]Set Up'!$O$16,(BS8-'[11]Set Up'!$J$17)*'[11]Set Up'!$N$18 + SUM('[11]Set Up'!$O$15:'[11]Set Up'!$O$17)))))</f>
        <v>0</v>
      </c>
      <c r="BT13" s="28">
        <f>IF(BT8="","",IF(BT8&lt;'[11]Set Up'!$J$15,BT8*'[11]Set Up'!$N$15,IF(BT8&lt;'[11]Set Up'!$J$16,(BT8-'[11]Set Up'!$J$15)*'[11]Set Up'!$N$16+'[11]Set Up'!$O$15,IF(BT8&lt;'[11]Set Up'!$J$17,(BT8-'[11]Set Up'!$J$16)*'[11]Set Up'!$N$17+'[11]Set Up'!$O$15+'[11]Set Up'!$O$16,(BT8-'[11]Set Up'!$J$17)*'[11]Set Up'!$N$18 + SUM('[11]Set Up'!$O$15:'[11]Set Up'!$O$17)))))</f>
        <v>0</v>
      </c>
      <c r="BU13" s="28">
        <f>IF(BU8="","",IF(BU8&lt;'[11]Set Up'!$J$15,BU8*'[11]Set Up'!$N$15,IF(BU8&lt;'[11]Set Up'!$J$16,(BU8-'[11]Set Up'!$J$15)*'[11]Set Up'!$N$16+'[11]Set Up'!$O$15,IF(BU8&lt;'[11]Set Up'!$J$17,(BU8-'[11]Set Up'!$J$16)*'[11]Set Up'!$N$17+'[11]Set Up'!$O$15+'[11]Set Up'!$O$16,(BU8-'[11]Set Up'!$J$17)*'[11]Set Up'!$N$18 + SUM('[11]Set Up'!$O$15:'[11]Set Up'!$O$17)))))</f>
        <v>0</v>
      </c>
      <c r="BV13" s="28">
        <f>IF(BV8="","",IF(BV8&lt;'[11]Set Up'!$J$15,BV8*'[11]Set Up'!$N$15,IF(BV8&lt;'[11]Set Up'!$J$16,(BV8-'[11]Set Up'!$J$15)*'[11]Set Up'!$N$16+'[11]Set Up'!$O$15,IF(BV8&lt;'[11]Set Up'!$J$17,(BV8-'[11]Set Up'!$J$16)*'[11]Set Up'!$N$17+'[11]Set Up'!$O$15+'[11]Set Up'!$O$16,(BV8-'[11]Set Up'!$J$17)*'[11]Set Up'!$N$18 + SUM('[11]Set Up'!$O$15:'[11]Set Up'!$O$17)))))</f>
        <v>0</v>
      </c>
      <c r="BW13" s="28">
        <f>IF(BW8="","",IF(BW8&lt;'[11]Set Up'!$J$15,BW8*'[11]Set Up'!$N$15,IF(BW8&lt;'[11]Set Up'!$J$16,(BW8-'[11]Set Up'!$J$15)*'[11]Set Up'!$N$16+'[11]Set Up'!$O$15,IF(BW8&lt;'[11]Set Up'!$J$17,(BW8-'[11]Set Up'!$J$16)*'[11]Set Up'!$N$17+'[11]Set Up'!$O$15+'[11]Set Up'!$O$16,(BW8-'[11]Set Up'!$J$17)*'[11]Set Up'!$N$18 + SUM('[11]Set Up'!$O$15:'[11]Set Up'!$O$17)))))</f>
        <v>0</v>
      </c>
      <c r="BX13" s="28">
        <f>IF(BX8="","",IF(BX8&lt;'[11]Set Up'!$J$15,BX8*'[11]Set Up'!$N$15,IF(BX8&lt;'[11]Set Up'!$J$16,(BX8-'[11]Set Up'!$J$15)*'[11]Set Up'!$N$16+'[11]Set Up'!$O$15,IF(BX8&lt;'[11]Set Up'!$J$17,(BX8-'[11]Set Up'!$J$16)*'[11]Set Up'!$N$17+'[11]Set Up'!$O$15+'[11]Set Up'!$O$16,(BX8-'[11]Set Up'!$J$17)*'[11]Set Up'!$N$18 + SUM('[11]Set Up'!$O$15:'[11]Set Up'!$O$17)))))</f>
        <v>0</v>
      </c>
      <c r="BY13" s="28">
        <f>IF(BY8="","",IF(BY8&lt;'[11]Set Up'!$J$15,BY8*'[11]Set Up'!$N$15,IF(BY8&lt;'[11]Set Up'!$J$16,(BY8-'[11]Set Up'!$J$15)*'[11]Set Up'!$N$16+'[11]Set Up'!$O$15,IF(BY8&lt;'[11]Set Up'!$J$17,(BY8-'[11]Set Up'!$J$16)*'[11]Set Up'!$N$17+'[11]Set Up'!$O$15+'[11]Set Up'!$O$16,(BY8-'[11]Set Up'!$J$17)*'[11]Set Up'!$N$18 + SUM('[11]Set Up'!$O$15:'[11]Set Up'!$O$17)))))</f>
        <v>0</v>
      </c>
      <c r="BZ13" s="8"/>
    </row>
    <row r="14" spans="1:78" ht="15" thickBot="1" x14ac:dyDescent="0.4">
      <c r="A14" s="29" t="s">
        <v>22</v>
      </c>
      <c r="B14" s="197"/>
      <c r="C14" s="30" t="e">
        <f>IF(C10="","",IF(C10&lt;'[11]Set Up'!$J$15,C10*'[11]Set Up'!$N$15,IF(C10&lt;'[11]Set Up'!$J$16,(C10-'[11]Set Up'!$J$15)*'[11]Set Up'!$N$16+'[11]Set Up'!$O$15,IF(C10&lt;'[11]Set Up'!$J$17,(C10-'[11]Set Up'!$J$16)*'[11]Set Up'!$N$17+'[11]Set Up'!$O$15+'[11]Set Up'!$O$16,(C10-'[11]Set Up'!$J$17)*'[11]Set Up'!$N$18 + SUM('[11]Set Up'!$O$15:'[11]Set Up'!$O$17)))))</f>
        <v>#VALUE!</v>
      </c>
      <c r="D14" s="30">
        <f>IF(D10="","",IF(D10&lt;'[11]Set Up'!$J$15,D10*'[11]Set Up'!$N$15,IF(D10&lt;'[11]Set Up'!$J$16,(D10-'[11]Set Up'!$J$15)*'[11]Set Up'!$N$16+'[11]Set Up'!$O$15,IF(D10&lt;'[11]Set Up'!$J$17,(D10-'[11]Set Up'!$J$16)*'[11]Set Up'!$N$17+'[11]Set Up'!$O$15+'[11]Set Up'!$O$16,(D10-'[11]Set Up'!$J$17)*'[11]Set Up'!$N$18 + SUM('[11]Set Up'!$O$15:'[11]Set Up'!$O$17)))))</f>
        <v>425.09529598603615</v>
      </c>
      <c r="E14" s="30">
        <f>IF(E10="","",IF(E10&lt;'[11]Set Up'!$J$15,E10*'[11]Set Up'!$N$15,IF(E10&lt;'[11]Set Up'!$J$16,(E10-'[11]Set Up'!$J$15)*'[11]Set Up'!$N$16+'[11]Set Up'!$O$15,IF(E10&lt;'[11]Set Up'!$J$17,(E10-'[11]Set Up'!$J$16)*'[11]Set Up'!$N$17+'[11]Set Up'!$O$15+'[11]Set Up'!$O$16,(E10-'[11]Set Up'!$J$17)*'[11]Set Up'!$N$18 + SUM('[11]Set Up'!$O$15:'[11]Set Up'!$O$17)))))</f>
        <v>422.1090063819139</v>
      </c>
      <c r="F14" s="30">
        <f>IF(F10="","",IF(F10&lt;'[11]Set Up'!$J$15,F10*'[11]Set Up'!$N$15,IF(F10&lt;'[11]Set Up'!$J$16,(F10-'[11]Set Up'!$J$15)*'[11]Set Up'!$N$16+'[11]Set Up'!$O$15,IF(F10&lt;'[11]Set Up'!$J$17,(F10-'[11]Set Up'!$J$16)*'[11]Set Up'!$N$17+'[11]Set Up'!$O$15+'[11]Set Up'!$O$16,(F10-'[11]Set Up'!$J$17)*'[11]Set Up'!$N$18 + SUM('[11]Set Up'!$O$15:'[11]Set Up'!$O$17)))))</f>
        <v>419.1227167777916</v>
      </c>
      <c r="G14" s="30">
        <f>IF(G10="","",IF(G10&lt;'[11]Set Up'!$J$15,G10*'[11]Set Up'!$N$15,IF(G10&lt;'[11]Set Up'!$J$16,(G10-'[11]Set Up'!$J$15)*'[11]Set Up'!$N$16+'[11]Set Up'!$O$15,IF(G10&lt;'[11]Set Up'!$J$17,(G10-'[11]Set Up'!$J$16)*'[11]Set Up'!$N$17+'[11]Set Up'!$O$15+'[11]Set Up'!$O$16,(G10-'[11]Set Up'!$J$17)*'[11]Set Up'!$N$18 + SUM('[11]Set Up'!$O$15:'[11]Set Up'!$O$17)))))</f>
        <v>416.13642717366929</v>
      </c>
      <c r="H14" s="30">
        <f>IF(H10="","",IF(H10&lt;'[11]Set Up'!$J$15,H10*'[11]Set Up'!$N$15,IF(H10&lt;'[11]Set Up'!$J$16,(H10-'[11]Set Up'!$J$15)*'[11]Set Up'!$N$16+'[11]Set Up'!$O$15,IF(H10&lt;'[11]Set Up'!$J$17,(H10-'[11]Set Up'!$J$16)*'[11]Set Up'!$N$17+'[11]Set Up'!$O$15+'[11]Set Up'!$O$16,(H10-'[11]Set Up'!$J$17)*'[11]Set Up'!$N$18 + SUM('[11]Set Up'!$O$15:'[11]Set Up'!$O$17)))))</f>
        <v>413.15013756954704</v>
      </c>
      <c r="I14" s="30">
        <f>IF(I10="","",IF(I10&lt;'[11]Set Up'!$J$15,I10*'[11]Set Up'!$N$15,IF(I10&lt;'[11]Set Up'!$J$16,(I10-'[11]Set Up'!$J$15)*'[11]Set Up'!$N$16+'[11]Set Up'!$O$15,IF(I10&lt;'[11]Set Up'!$J$17,(I10-'[11]Set Up'!$J$16)*'[11]Set Up'!$N$17+'[11]Set Up'!$O$15+'[11]Set Up'!$O$16,(I10-'[11]Set Up'!$J$17)*'[11]Set Up'!$N$18 + SUM('[11]Set Up'!$O$15:'[11]Set Up'!$O$17)))))</f>
        <v>410.16384796542479</v>
      </c>
      <c r="J14" s="30">
        <f>IF(J10="","",IF(J10&lt;'[11]Set Up'!$J$15,J10*'[11]Set Up'!$N$15,IF(J10&lt;'[11]Set Up'!$J$16,(J10-'[11]Set Up'!$J$15)*'[11]Set Up'!$N$16+'[11]Set Up'!$O$15,IF(J10&lt;'[11]Set Up'!$J$17,(J10-'[11]Set Up'!$J$16)*'[11]Set Up'!$N$17+'[11]Set Up'!$O$15+'[11]Set Up'!$O$16,(J10-'[11]Set Up'!$J$17)*'[11]Set Up'!$N$18 + SUM('[11]Set Up'!$O$15:'[11]Set Up'!$O$17)))))</f>
        <v>407.17755836130249</v>
      </c>
      <c r="K14" s="30">
        <f>IF(K10="","",IF(K10&lt;'[11]Set Up'!$J$15,K10*'[11]Set Up'!$N$15,IF(K10&lt;'[11]Set Up'!$J$16,(K10-'[11]Set Up'!$J$15)*'[11]Set Up'!$N$16+'[11]Set Up'!$O$15,IF(K10&lt;'[11]Set Up'!$J$17,(K10-'[11]Set Up'!$J$16)*'[11]Set Up'!$N$17+'[11]Set Up'!$O$15+'[11]Set Up'!$O$16,(K10-'[11]Set Up'!$J$17)*'[11]Set Up'!$N$18 + SUM('[11]Set Up'!$O$15:'[11]Set Up'!$O$17)))))</f>
        <v>404.17633730915963</v>
      </c>
      <c r="L14" s="30">
        <f>IF(L10="","",IF(L10&lt;'[11]Set Up'!$J$15,L10*'[11]Set Up'!$N$15,IF(L10&lt;'[11]Set Up'!$J$16,(L10-'[11]Set Up'!$J$15)*'[11]Set Up'!$N$16+'[11]Set Up'!$O$15,IF(L10&lt;'[11]Set Up'!$J$17,(L10-'[11]Set Up'!$J$16)*'[11]Set Up'!$N$17+'[11]Set Up'!$O$15+'[11]Set Up'!$O$16,(L10-'[11]Set Up'!$J$17)*'[11]Set Up'!$N$18 + SUM('[11]Set Up'!$O$15:'[11]Set Up'!$O$17)))))</f>
        <v>401.19004770503727</v>
      </c>
      <c r="M14" s="30">
        <f>IF(M10="","",IF(M10&lt;'[11]Set Up'!$J$15,M10*'[11]Set Up'!$N$15,IF(M10&lt;'[11]Set Up'!$J$16,(M10-'[11]Set Up'!$J$15)*'[11]Set Up'!$N$16+'[11]Set Up'!$O$15,IF(M10&lt;'[11]Set Up'!$J$17,(M10-'[11]Set Up'!$J$16)*'[11]Set Up'!$N$17+'[11]Set Up'!$O$15+'[11]Set Up'!$O$16,(M10-'[11]Set Up'!$J$17)*'[11]Set Up'!$N$18 + SUM('[11]Set Up'!$O$15:'[11]Set Up'!$O$17)))))</f>
        <v>398.20375810091502</v>
      </c>
      <c r="N14" s="30">
        <f>IF(N10="","",IF(N10&lt;'[11]Set Up'!$J$15,N10*'[11]Set Up'!$N$15,IF(N10&lt;'[11]Set Up'!$J$16,(N10-'[11]Set Up'!$J$15)*'[11]Set Up'!$N$16+'[11]Set Up'!$O$15,IF(N10&lt;'[11]Set Up'!$J$17,(N10-'[11]Set Up'!$J$16)*'[11]Set Up'!$N$17+'[11]Set Up'!$O$15+'[11]Set Up'!$O$16,(N10-'[11]Set Up'!$J$17)*'[11]Set Up'!$N$18 + SUM('[11]Set Up'!$O$15:'[11]Set Up'!$O$17)))))</f>
        <v>395.21746849679278</v>
      </c>
      <c r="O14" s="30">
        <f>IF(O10="","",IF(O10&lt;'[11]Set Up'!$J$15,O10*'[11]Set Up'!$N$15,IF(O10&lt;'[11]Set Up'!$J$16,(O10-'[11]Set Up'!$J$15)*'[11]Set Up'!$N$16+'[11]Set Up'!$O$15,IF(O10&lt;'[11]Set Up'!$J$17,(O10-'[11]Set Up'!$J$16)*'[11]Set Up'!$N$17+'[11]Set Up'!$O$15+'[11]Set Up'!$O$16,(O10-'[11]Set Up'!$J$17)*'[11]Set Up'!$N$18 + SUM('[11]Set Up'!$O$15:'[11]Set Up'!$O$17)))))</f>
        <v>392.23117889267047</v>
      </c>
      <c r="P14" s="30">
        <f>IF(P10="","",IF(P10&lt;'[11]Set Up'!$J$15,P10*'[11]Set Up'!$N$15,IF(P10&lt;'[11]Set Up'!$J$16,(P10-'[11]Set Up'!$J$15)*'[11]Set Up'!$N$16+'[11]Set Up'!$O$15,IF(P10&lt;'[11]Set Up'!$J$17,(P10-'[11]Set Up'!$J$16)*'[11]Set Up'!$N$17+'[11]Set Up'!$O$15+'[11]Set Up'!$O$16,(P10-'[11]Set Up'!$J$17)*'[11]Set Up'!$N$18 + SUM('[11]Set Up'!$O$15:'[11]Set Up'!$O$17)))))</f>
        <v>389.24488928854817</v>
      </c>
      <c r="Q14" s="30">
        <f>IF(Q10="","",IF(Q10&lt;'[11]Set Up'!$J$15,Q10*'[11]Set Up'!$N$15,IF(Q10&lt;'[11]Set Up'!$J$16,(Q10-'[11]Set Up'!$J$15)*'[11]Set Up'!$N$16+'[11]Set Up'!$O$15,IF(Q10&lt;'[11]Set Up'!$J$17,(Q10-'[11]Set Up'!$J$16)*'[11]Set Up'!$N$17+'[11]Set Up'!$O$15+'[11]Set Up'!$O$16,(Q10-'[11]Set Up'!$J$17)*'[11]Set Up'!$N$18 + SUM('[11]Set Up'!$O$15:'[11]Set Up'!$O$17)))))</f>
        <v>386.25859968442592</v>
      </c>
      <c r="R14" s="30">
        <f>IF(R10="","",IF(R10&lt;'[11]Set Up'!$J$15,R10*'[11]Set Up'!$N$15,IF(R10&lt;'[11]Set Up'!$J$16,(R10-'[11]Set Up'!$J$15)*'[11]Set Up'!$N$16+'[11]Set Up'!$O$15,IF(R10&lt;'[11]Set Up'!$J$17,(R10-'[11]Set Up'!$J$16)*'[11]Set Up'!$N$17+'[11]Set Up'!$O$15+'[11]Set Up'!$O$16,(R10-'[11]Set Up'!$J$17)*'[11]Set Up'!$N$18 + SUM('[11]Set Up'!$O$15:'[11]Set Up'!$O$17)))))</f>
        <v>383.27231008030367</v>
      </c>
      <c r="S14" s="30">
        <f>IF(S10="","",IF(S10&lt;'[11]Set Up'!$J$15,S10*'[11]Set Up'!$N$15,IF(S10&lt;'[11]Set Up'!$J$16,(S10-'[11]Set Up'!$J$15)*'[11]Set Up'!$N$16+'[11]Set Up'!$O$15,IF(S10&lt;'[11]Set Up'!$J$17,(S10-'[11]Set Up'!$J$16)*'[11]Set Up'!$N$17+'[11]Set Up'!$O$15+'[11]Set Up'!$O$16,(S10-'[11]Set Up'!$J$17)*'[11]Set Up'!$N$18 + SUM('[11]Set Up'!$O$15:'[11]Set Up'!$O$17)))))</f>
        <v>380.28602047618136</v>
      </c>
      <c r="T14" s="30">
        <f>IF(T10="","",IF(T10&lt;'[11]Set Up'!$J$15,T10*'[11]Set Up'!$N$15,IF(T10&lt;'[11]Set Up'!$J$16,(T10-'[11]Set Up'!$J$15)*'[11]Set Up'!$N$16+'[11]Set Up'!$O$15,IF(T10&lt;'[11]Set Up'!$J$17,(T10-'[11]Set Up'!$J$16)*'[11]Set Up'!$N$17+'[11]Set Up'!$O$15+'[11]Set Up'!$O$16,(T10-'[11]Set Up'!$J$17)*'[11]Set Up'!$N$18 + SUM('[11]Set Up'!$O$15:'[11]Set Up'!$O$17)))))</f>
        <v>377.28479942403845</v>
      </c>
      <c r="U14" s="30">
        <f>IF(U10="","",IF(U10&lt;'[11]Set Up'!$J$15,U10*'[11]Set Up'!$N$15,IF(U10&lt;'[11]Set Up'!$J$16,(U10-'[11]Set Up'!$J$15)*'[11]Set Up'!$N$16+'[11]Set Up'!$O$15,IF(U10&lt;'[11]Set Up'!$J$17,(U10-'[11]Set Up'!$J$16)*'[11]Set Up'!$N$17+'[11]Set Up'!$O$15+'[11]Set Up'!$O$16,(U10-'[11]Set Up'!$J$17)*'[11]Set Up'!$N$18 + SUM('[11]Set Up'!$O$15:'[11]Set Up'!$O$17)))))</f>
        <v>374.29850981991621</v>
      </c>
      <c r="V14" s="30">
        <f>IF(V10="","",IF(V10&lt;'[11]Set Up'!$J$15,V10*'[11]Set Up'!$N$15,IF(V10&lt;'[11]Set Up'!$J$16,(V10-'[11]Set Up'!$J$15)*'[11]Set Up'!$N$16+'[11]Set Up'!$O$15,IF(V10&lt;'[11]Set Up'!$J$17,(V10-'[11]Set Up'!$J$16)*'[11]Set Up'!$N$17+'[11]Set Up'!$O$15+'[11]Set Up'!$O$16,(V10-'[11]Set Up'!$J$17)*'[11]Set Up'!$N$18 + SUM('[11]Set Up'!$O$15:'[11]Set Up'!$O$17)))))</f>
        <v>371.3122202157939</v>
      </c>
      <c r="W14" s="30">
        <f>IF(W10="","",IF(W10&lt;'[11]Set Up'!$J$15,W10*'[11]Set Up'!$N$15,IF(W10&lt;'[11]Set Up'!$J$16,(W10-'[11]Set Up'!$J$15)*'[11]Set Up'!$N$16+'[11]Set Up'!$O$15,IF(W10&lt;'[11]Set Up'!$J$17,(W10-'[11]Set Up'!$J$16)*'[11]Set Up'!$N$17+'[11]Set Up'!$O$15+'[11]Set Up'!$O$16,(W10-'[11]Set Up'!$J$17)*'[11]Set Up'!$N$18 + SUM('[11]Set Up'!$O$15:'[11]Set Up'!$O$17)))))</f>
        <v>368.32593061167165</v>
      </c>
      <c r="X14" s="30">
        <f>IF(X10="","",IF(X10&lt;'[11]Set Up'!$J$15,X10*'[11]Set Up'!$N$15,IF(X10&lt;'[11]Set Up'!$J$16,(X10-'[11]Set Up'!$J$15)*'[11]Set Up'!$N$16+'[11]Set Up'!$O$15,IF(X10&lt;'[11]Set Up'!$J$17,(X10-'[11]Set Up'!$J$16)*'[11]Set Up'!$N$17+'[11]Set Up'!$O$15+'[11]Set Up'!$O$16,(X10-'[11]Set Up'!$J$17)*'[11]Set Up'!$N$18 + SUM('[11]Set Up'!$O$15:'[11]Set Up'!$O$17)))))</f>
        <v>365.33964100754935</v>
      </c>
      <c r="Y14" s="30">
        <f>IF(Y10="","",IF(Y10&lt;'[11]Set Up'!$J$15,Y10*'[11]Set Up'!$N$15,IF(Y10&lt;'[11]Set Up'!$J$16,(Y10-'[11]Set Up'!$J$15)*'[11]Set Up'!$N$16+'[11]Set Up'!$O$15,IF(Y10&lt;'[11]Set Up'!$J$17,(Y10-'[11]Set Up'!$J$16)*'[11]Set Up'!$N$17+'[11]Set Up'!$O$15+'[11]Set Up'!$O$16,(Y10-'[11]Set Up'!$J$17)*'[11]Set Up'!$N$18 + SUM('[11]Set Up'!$O$15:'[11]Set Up'!$O$17)))))</f>
        <v>362.3533514034271</v>
      </c>
      <c r="Z14" s="30">
        <f>IF(Z10="","",IF(Z10&lt;'[11]Set Up'!$J$15,Z10*'[11]Set Up'!$N$15,IF(Z10&lt;'[11]Set Up'!$J$16,(Z10-'[11]Set Up'!$J$15)*'[11]Set Up'!$N$16+'[11]Set Up'!$O$15,IF(Z10&lt;'[11]Set Up'!$J$17,(Z10-'[11]Set Up'!$J$16)*'[11]Set Up'!$N$17+'[11]Set Up'!$O$15+'[11]Set Up'!$O$16,(Z10-'[11]Set Up'!$J$17)*'[11]Set Up'!$N$18 + SUM('[11]Set Up'!$O$15:'[11]Set Up'!$O$17)))))</f>
        <v>359.36706179930479</v>
      </c>
      <c r="AA14" s="30">
        <f>IF(AA10="","",IF(AA10&lt;'[11]Set Up'!$J$15,AA10*'[11]Set Up'!$N$15,IF(AA10&lt;'[11]Set Up'!$J$16,(AA10-'[11]Set Up'!$J$15)*'[11]Set Up'!$N$16+'[11]Set Up'!$O$15,IF(AA10&lt;'[11]Set Up'!$J$17,(AA10-'[11]Set Up'!$J$16)*'[11]Set Up'!$N$17+'[11]Set Up'!$O$15+'[11]Set Up'!$O$16,(AA10-'[11]Set Up'!$J$17)*'[11]Set Up'!$N$18 + SUM('[11]Set Up'!$O$15:'[11]Set Up'!$O$17)))))</f>
        <v>356.38077219518254</v>
      </c>
      <c r="AB14" s="30">
        <f>IF(AB10="","",IF(AB10&lt;'[11]Set Up'!$J$15,AB10*'[11]Set Up'!$N$15,IF(AB10&lt;'[11]Set Up'!$J$16,(AB10-'[11]Set Up'!$J$15)*'[11]Set Up'!$N$16+'[11]Set Up'!$O$15,IF(AB10&lt;'[11]Set Up'!$J$17,(AB10-'[11]Set Up'!$J$16)*'[11]Set Up'!$N$17+'[11]Set Up'!$O$15+'[11]Set Up'!$O$16,(AB10-'[11]Set Up'!$J$17)*'[11]Set Up'!$N$18 + SUM('[11]Set Up'!$O$15:'[11]Set Up'!$O$17)))))</f>
        <v>353.37955114303963</v>
      </c>
      <c r="AC14" s="30">
        <f>IF(AC10="","",IF(AC10&lt;'[11]Set Up'!$J$15,AC10*'[11]Set Up'!$N$15,IF(AC10&lt;'[11]Set Up'!$J$16,(AC10-'[11]Set Up'!$J$15)*'[11]Set Up'!$N$16+'[11]Set Up'!$O$15,IF(AC10&lt;'[11]Set Up'!$J$17,(AC10-'[11]Set Up'!$J$16)*'[11]Set Up'!$N$17+'[11]Set Up'!$O$15+'[11]Set Up'!$O$16,(AC10-'[11]Set Up'!$J$17)*'[11]Set Up'!$N$18 + SUM('[11]Set Up'!$O$15:'[11]Set Up'!$O$17)))))</f>
        <v>350.39326153891733</v>
      </c>
      <c r="AD14" s="30">
        <f>IF(AD10="","",IF(AD10&lt;'[11]Set Up'!$J$15,AD10*'[11]Set Up'!$N$15,IF(AD10&lt;'[11]Set Up'!$J$16,(AD10-'[11]Set Up'!$J$15)*'[11]Set Up'!$N$16+'[11]Set Up'!$O$15,IF(AD10&lt;'[11]Set Up'!$J$17,(AD10-'[11]Set Up'!$J$16)*'[11]Set Up'!$N$17+'[11]Set Up'!$O$15+'[11]Set Up'!$O$16,(AD10-'[11]Set Up'!$J$17)*'[11]Set Up'!$N$18 + SUM('[11]Set Up'!$O$15:'[11]Set Up'!$O$17)))))</f>
        <v>347.40697193479508</v>
      </c>
      <c r="AE14" s="30">
        <f>IF(AE10="","",IF(AE10&lt;'[11]Set Up'!$J$15,AE10*'[11]Set Up'!$N$15,IF(AE10&lt;'[11]Set Up'!$J$16,(AE10-'[11]Set Up'!$J$15)*'[11]Set Up'!$N$16+'[11]Set Up'!$O$15,IF(AE10&lt;'[11]Set Up'!$J$17,(AE10-'[11]Set Up'!$J$16)*'[11]Set Up'!$N$17+'[11]Set Up'!$O$15+'[11]Set Up'!$O$16,(AE10-'[11]Set Up'!$J$17)*'[11]Set Up'!$N$18 + SUM('[11]Set Up'!$O$15:'[11]Set Up'!$O$17)))))</f>
        <v>344.42068233067278</v>
      </c>
      <c r="AF14" s="30">
        <f>IF(AF10="","",IF(AF10&lt;'[11]Set Up'!$J$15,AF10*'[11]Set Up'!$N$15,IF(AF10&lt;'[11]Set Up'!$J$16,(AF10-'[11]Set Up'!$J$15)*'[11]Set Up'!$N$16+'[11]Set Up'!$O$15,IF(AF10&lt;'[11]Set Up'!$J$17,(AF10-'[11]Set Up'!$J$16)*'[11]Set Up'!$N$17+'[11]Set Up'!$O$15+'[11]Set Up'!$O$16,(AF10-'[11]Set Up'!$J$17)*'[11]Set Up'!$N$18 + SUM('[11]Set Up'!$O$15:'[11]Set Up'!$O$17)))))</f>
        <v>341.43439272655053</v>
      </c>
      <c r="AG14" s="30">
        <f>IF(AG10="","",IF(AG10&lt;'[11]Set Up'!$J$15,AG10*'[11]Set Up'!$N$15,IF(AG10&lt;'[11]Set Up'!$J$16,(AG10-'[11]Set Up'!$J$15)*'[11]Set Up'!$N$16+'[11]Set Up'!$O$15,IF(AG10&lt;'[11]Set Up'!$J$17,(AG10-'[11]Set Up'!$J$16)*'[11]Set Up'!$N$17+'[11]Set Up'!$O$15+'[11]Set Up'!$O$16,(AG10-'[11]Set Up'!$J$17)*'[11]Set Up'!$N$18 + SUM('[11]Set Up'!$O$15:'[11]Set Up'!$O$17)))))</f>
        <v>338.44810312242822</v>
      </c>
      <c r="AH14" s="30">
        <f>IF(AH10="","",IF(AH10&lt;'[11]Set Up'!$J$15,AH10*'[11]Set Up'!$N$15,IF(AH10&lt;'[11]Set Up'!$J$16,(AH10-'[11]Set Up'!$J$15)*'[11]Set Up'!$N$16+'[11]Set Up'!$O$15,IF(AH10&lt;'[11]Set Up'!$J$17,(AH10-'[11]Set Up'!$J$16)*'[11]Set Up'!$N$17+'[11]Set Up'!$O$15+'[11]Set Up'!$O$16,(AH10-'[11]Set Up'!$J$17)*'[11]Set Up'!$N$18 + SUM('[11]Set Up'!$O$15:'[11]Set Up'!$O$17)))))</f>
        <v>335.46181351830597</v>
      </c>
      <c r="AI14" s="30">
        <f>IF(AI10="","",IF(AI10&lt;'[11]Set Up'!$J$15,AI10*'[11]Set Up'!$N$15,IF(AI10&lt;'[11]Set Up'!$J$16,(AI10-'[11]Set Up'!$J$15)*'[11]Set Up'!$N$16+'[11]Set Up'!$O$15,IF(AI10&lt;'[11]Set Up'!$J$17,(AI10-'[11]Set Up'!$J$16)*'[11]Set Up'!$N$17+'[11]Set Up'!$O$15+'[11]Set Up'!$O$16,(AI10-'[11]Set Up'!$J$17)*'[11]Set Up'!$N$18 + SUM('[11]Set Up'!$O$15:'[11]Set Up'!$O$17)))))</f>
        <v>332.47552391418367</v>
      </c>
      <c r="AJ14" s="30">
        <f>IF(AJ10="","",IF(AJ10&lt;'[11]Set Up'!$J$15,AJ10*'[11]Set Up'!$N$15,IF(AJ10&lt;'[11]Set Up'!$J$16,(AJ10-'[11]Set Up'!$J$15)*'[11]Set Up'!$N$16+'[11]Set Up'!$O$15,IF(AJ10&lt;'[11]Set Up'!$J$17,(AJ10-'[11]Set Up'!$J$16)*'[11]Set Up'!$N$17+'[11]Set Up'!$O$15+'[11]Set Up'!$O$16,(AJ10-'[11]Set Up'!$J$17)*'[11]Set Up'!$N$18 + SUM('[11]Set Up'!$O$15:'[11]Set Up'!$O$17)))))</f>
        <v>329.47430286204076</v>
      </c>
      <c r="AK14" s="30">
        <f>IF(AK10="","",IF(AK10&lt;'[11]Set Up'!$J$15,AK10*'[11]Set Up'!$N$15,IF(AK10&lt;'[11]Set Up'!$J$16,(AK10-'[11]Set Up'!$J$15)*'[11]Set Up'!$N$16+'[11]Set Up'!$O$15,IF(AK10&lt;'[11]Set Up'!$J$17,(AK10-'[11]Set Up'!$J$16)*'[11]Set Up'!$N$17+'[11]Set Up'!$O$15+'[11]Set Up'!$O$16,(AK10-'[11]Set Up'!$J$17)*'[11]Set Up'!$N$18 + SUM('[11]Set Up'!$O$15:'[11]Set Up'!$O$17)))))</f>
        <v>326.48801325791851</v>
      </c>
      <c r="AL14" s="30">
        <f>IF(AL10="","",IF(AL10&lt;'[11]Set Up'!$J$15,AL10*'[11]Set Up'!$N$15,IF(AL10&lt;'[11]Set Up'!$J$16,(AL10-'[11]Set Up'!$J$15)*'[11]Set Up'!$N$16+'[11]Set Up'!$O$15,IF(AL10&lt;'[11]Set Up'!$J$17,(AL10-'[11]Set Up'!$J$16)*'[11]Set Up'!$N$17+'[11]Set Up'!$O$15+'[11]Set Up'!$O$16,(AL10-'[11]Set Up'!$J$17)*'[11]Set Up'!$N$18 + SUM('[11]Set Up'!$O$15:'[11]Set Up'!$O$17)))))</f>
        <v>323.50172365379626</v>
      </c>
      <c r="AM14" s="30">
        <f>IF(AM10="","",IF(AM10&lt;'[11]Set Up'!$J$15,AM10*'[11]Set Up'!$N$15,IF(AM10&lt;'[11]Set Up'!$J$16,(AM10-'[11]Set Up'!$J$15)*'[11]Set Up'!$N$16+'[11]Set Up'!$O$15,IF(AM10&lt;'[11]Set Up'!$J$17,(AM10-'[11]Set Up'!$J$16)*'[11]Set Up'!$N$17+'[11]Set Up'!$O$15+'[11]Set Up'!$O$16,(AM10-'[11]Set Up'!$J$17)*'[11]Set Up'!$N$18 + SUM('[11]Set Up'!$O$15:'[11]Set Up'!$O$17)))))</f>
        <v>320.51543404967396</v>
      </c>
      <c r="AN14" s="30">
        <f>IF(AN10="","",IF(AN10&lt;'[11]Set Up'!$J$15,AN10*'[11]Set Up'!$N$15,IF(AN10&lt;'[11]Set Up'!$J$16,(AN10-'[11]Set Up'!$J$15)*'[11]Set Up'!$N$16+'[11]Set Up'!$O$15,IF(AN10&lt;'[11]Set Up'!$J$17,(AN10-'[11]Set Up'!$J$16)*'[11]Set Up'!$N$17+'[11]Set Up'!$O$15+'[11]Set Up'!$O$16,(AN10-'[11]Set Up'!$J$17)*'[11]Set Up'!$N$18 + SUM('[11]Set Up'!$O$15:'[11]Set Up'!$O$17)))))</f>
        <v>317.52914444555165</v>
      </c>
      <c r="AO14" s="30">
        <f>IF(AO10="","",IF(AO10&lt;'[11]Set Up'!$J$15,AO10*'[11]Set Up'!$N$15,IF(AO10&lt;'[11]Set Up'!$J$16,(AO10-'[11]Set Up'!$J$15)*'[11]Set Up'!$N$16+'[11]Set Up'!$O$15,IF(AO10&lt;'[11]Set Up'!$J$17,(AO10-'[11]Set Up'!$J$16)*'[11]Set Up'!$N$17+'[11]Set Up'!$O$15+'[11]Set Up'!$O$16,(AO10-'[11]Set Up'!$J$17)*'[11]Set Up'!$N$18 + SUM('[11]Set Up'!$O$15:'[11]Set Up'!$O$17)))))</f>
        <v>314.5428548414294</v>
      </c>
      <c r="AP14" s="30">
        <f>IF(AP10="","",IF(AP10&lt;'[11]Set Up'!$J$15,AP10*'[11]Set Up'!$N$15,IF(AP10&lt;'[11]Set Up'!$J$16,(AP10-'[11]Set Up'!$J$15)*'[11]Set Up'!$N$16+'[11]Set Up'!$O$15,IF(AP10&lt;'[11]Set Up'!$J$17,(AP10-'[11]Set Up'!$J$16)*'[11]Set Up'!$N$17+'[11]Set Up'!$O$15+'[11]Set Up'!$O$16,(AP10-'[11]Set Up'!$J$17)*'[11]Set Up'!$N$18 + SUM('[11]Set Up'!$O$15:'[11]Set Up'!$O$17)))))</f>
        <v>311.5565652373071</v>
      </c>
      <c r="AQ14" s="30">
        <f>IF(AQ10="","",IF(AQ10&lt;'[11]Set Up'!$J$15,AQ10*'[11]Set Up'!$N$15,IF(AQ10&lt;'[11]Set Up'!$J$16,(AQ10-'[11]Set Up'!$J$15)*'[11]Set Up'!$N$16+'[11]Set Up'!$O$15,IF(AQ10&lt;'[11]Set Up'!$J$17,(AQ10-'[11]Set Up'!$J$16)*'[11]Set Up'!$N$17+'[11]Set Up'!$O$15+'[11]Set Up'!$O$16,(AQ10-'[11]Set Up'!$J$17)*'[11]Set Up'!$N$18 + SUM('[11]Set Up'!$O$15:'[11]Set Up'!$O$17)))))</f>
        <v>308.57027563318485</v>
      </c>
      <c r="AR14" s="30">
        <f>IF(AR10="","",IF(AR10&lt;'[11]Set Up'!$J$15,AR10*'[11]Set Up'!$N$15,IF(AR10&lt;'[11]Set Up'!$J$16,(AR10-'[11]Set Up'!$J$15)*'[11]Set Up'!$N$16+'[11]Set Up'!$O$15,IF(AR10&lt;'[11]Set Up'!$J$17,(AR10-'[11]Set Up'!$J$16)*'[11]Set Up'!$N$17+'[11]Set Up'!$O$15+'[11]Set Up'!$O$16,(AR10-'[11]Set Up'!$J$17)*'[11]Set Up'!$N$18 + SUM('[11]Set Up'!$O$15:'[11]Set Up'!$O$17)))))</f>
        <v>305.58398602906254</v>
      </c>
      <c r="AS14" s="30">
        <f>IF(AS10="","",IF(AS10&lt;'[11]Set Up'!$J$15,AS10*'[11]Set Up'!$N$15,IF(AS10&lt;'[11]Set Up'!$J$16,(AS10-'[11]Set Up'!$J$15)*'[11]Set Up'!$N$16+'[11]Set Up'!$O$15,IF(AS10&lt;'[11]Set Up'!$J$17,(AS10-'[11]Set Up'!$J$16)*'[11]Set Up'!$N$17+'[11]Set Up'!$O$15+'[11]Set Up'!$O$16,(AS10-'[11]Set Up'!$J$17)*'[11]Set Up'!$N$18 + SUM('[11]Set Up'!$O$15:'[11]Set Up'!$O$17)))))</f>
        <v>302.58276497691963</v>
      </c>
      <c r="AT14" s="30">
        <f>IF(AT10="","",IF(AT10&lt;'[11]Set Up'!$J$15,AT10*'[11]Set Up'!$N$15,IF(AT10&lt;'[11]Set Up'!$J$16,(AT10-'[11]Set Up'!$J$15)*'[11]Set Up'!$N$16+'[11]Set Up'!$O$15,IF(AT10&lt;'[11]Set Up'!$J$17,(AT10-'[11]Set Up'!$J$16)*'[11]Set Up'!$N$17+'[11]Set Up'!$O$15+'[11]Set Up'!$O$16,(AT10-'[11]Set Up'!$J$17)*'[11]Set Up'!$N$18 + SUM('[11]Set Up'!$O$15:'[11]Set Up'!$O$17)))))</f>
        <v>299.59647537279739</v>
      </c>
      <c r="AU14" s="30">
        <f>IF(AU10="","",IF(AU10&lt;'[11]Set Up'!$J$15,AU10*'[11]Set Up'!$N$15,IF(AU10&lt;'[11]Set Up'!$J$16,(AU10-'[11]Set Up'!$J$15)*'[11]Set Up'!$N$16+'[11]Set Up'!$O$15,IF(AU10&lt;'[11]Set Up'!$J$17,(AU10-'[11]Set Up'!$J$16)*'[11]Set Up'!$N$17+'[11]Set Up'!$O$15+'[11]Set Up'!$O$16,(AU10-'[11]Set Up'!$J$17)*'[11]Set Up'!$N$18 + SUM('[11]Set Up'!$O$15:'[11]Set Up'!$O$17)))))</f>
        <v>296.61018576867514</v>
      </c>
      <c r="AV14" s="30">
        <f>IF(AV10="","",IF(AV10&lt;'[11]Set Up'!$J$15,AV10*'[11]Set Up'!$N$15,IF(AV10&lt;'[11]Set Up'!$J$16,(AV10-'[11]Set Up'!$J$15)*'[11]Set Up'!$N$16+'[11]Set Up'!$O$15,IF(AV10&lt;'[11]Set Up'!$J$17,(AV10-'[11]Set Up'!$J$16)*'[11]Set Up'!$N$17+'[11]Set Up'!$O$15+'[11]Set Up'!$O$16,(AV10-'[11]Set Up'!$J$17)*'[11]Set Up'!$N$18 + SUM('[11]Set Up'!$O$15:'[11]Set Up'!$O$17)))))</f>
        <v>293.62389616455283</v>
      </c>
      <c r="AW14" s="30">
        <f>IF(AW10="","",IF(AW10&lt;'[11]Set Up'!$J$15,AW10*'[11]Set Up'!$N$15,IF(AW10&lt;'[11]Set Up'!$J$16,(AW10-'[11]Set Up'!$J$15)*'[11]Set Up'!$N$16+'[11]Set Up'!$O$15,IF(AW10&lt;'[11]Set Up'!$J$17,(AW10-'[11]Set Up'!$J$16)*'[11]Set Up'!$N$17+'[11]Set Up'!$O$15+'[11]Set Up'!$O$16,(AW10-'[11]Set Up'!$J$17)*'[11]Set Up'!$N$18 + SUM('[11]Set Up'!$O$15:'[11]Set Up'!$O$17)))))</f>
        <v>290.63760656043053</v>
      </c>
      <c r="AX14" s="30">
        <f>IF(AX10="","",IF(AX10&lt;'[11]Set Up'!$J$15,AX10*'[11]Set Up'!$N$15,IF(AX10&lt;'[11]Set Up'!$J$16,(AX10-'[11]Set Up'!$J$15)*'[11]Set Up'!$N$16+'[11]Set Up'!$O$15,IF(AX10&lt;'[11]Set Up'!$J$17,(AX10-'[11]Set Up'!$J$16)*'[11]Set Up'!$N$17+'[11]Set Up'!$O$15+'[11]Set Up'!$O$16,(AX10-'[11]Set Up'!$J$17)*'[11]Set Up'!$N$18 + SUM('[11]Set Up'!$O$15:'[11]Set Up'!$O$17)))))</f>
        <v>287.65131695630828</v>
      </c>
      <c r="AY14" s="30">
        <f>IF(AY10="","",IF(AY10&lt;'[11]Set Up'!$J$15,AY10*'[11]Set Up'!$N$15,IF(AY10&lt;'[11]Set Up'!$J$16,(AY10-'[11]Set Up'!$J$15)*'[11]Set Up'!$N$16+'[11]Set Up'!$O$15,IF(AY10&lt;'[11]Set Up'!$J$17,(AY10-'[11]Set Up'!$J$16)*'[11]Set Up'!$N$17+'[11]Set Up'!$O$15+'[11]Set Up'!$O$16,(AY10-'[11]Set Up'!$J$17)*'[11]Set Up'!$N$18 + SUM('[11]Set Up'!$O$15:'[11]Set Up'!$O$17)))))</f>
        <v>284.66502735218597</v>
      </c>
      <c r="AZ14" s="30">
        <f>IF(AZ10="","",IF(AZ10&lt;'[11]Set Up'!$J$15,AZ10*'[11]Set Up'!$N$15,IF(AZ10&lt;'[11]Set Up'!$J$16,(AZ10-'[11]Set Up'!$J$15)*'[11]Set Up'!$N$16+'[11]Set Up'!$O$15,IF(AZ10&lt;'[11]Set Up'!$J$17,(AZ10-'[11]Set Up'!$J$16)*'[11]Set Up'!$N$17+'[11]Set Up'!$O$15+'[11]Set Up'!$O$16,(AZ10-'[11]Set Up'!$J$17)*'[11]Set Up'!$N$18 + SUM('[11]Set Up'!$O$15:'[11]Set Up'!$O$17)))))</f>
        <v>281.67873774806372</v>
      </c>
      <c r="BA14" s="30">
        <f>IF(BA10="","",IF(BA10&lt;'[11]Set Up'!$J$15,BA10*'[11]Set Up'!$N$15,IF(BA10&lt;'[11]Set Up'!$J$16,(BA10-'[11]Set Up'!$J$15)*'[11]Set Up'!$N$16+'[11]Set Up'!$O$15,IF(BA10&lt;'[11]Set Up'!$J$17,(BA10-'[11]Set Up'!$J$16)*'[11]Set Up'!$N$17+'[11]Set Up'!$O$15+'[11]Set Up'!$O$16,(BA10-'[11]Set Up'!$J$17)*'[11]Set Up'!$N$18 + SUM('[11]Set Up'!$O$15:'[11]Set Up'!$O$17)))))</f>
        <v>278.67751669592081</v>
      </c>
      <c r="BB14" s="30">
        <f>IF(BB10="","",IF(BB10&lt;'[11]Set Up'!$J$15,BB10*'[11]Set Up'!$N$15,IF(BB10&lt;'[11]Set Up'!$J$16,(BB10-'[11]Set Up'!$J$15)*'[11]Set Up'!$N$16+'[11]Set Up'!$O$15,IF(BB10&lt;'[11]Set Up'!$J$17,(BB10-'[11]Set Up'!$J$16)*'[11]Set Up'!$N$17+'[11]Set Up'!$O$15+'[11]Set Up'!$O$16,(BB10-'[11]Set Up'!$J$17)*'[11]Set Up'!$N$18 + SUM('[11]Set Up'!$O$15:'[11]Set Up'!$O$17)))))</f>
        <v>275.69122709179857</v>
      </c>
      <c r="BC14" s="30">
        <f>IF(BC10="","",IF(BC10&lt;'[11]Set Up'!$J$15,BC10*'[11]Set Up'!$N$15,IF(BC10&lt;'[11]Set Up'!$J$16,(BC10-'[11]Set Up'!$J$15)*'[11]Set Up'!$N$16+'[11]Set Up'!$O$15,IF(BC10&lt;'[11]Set Up'!$J$17,(BC10-'[11]Set Up'!$J$16)*'[11]Set Up'!$N$17+'[11]Set Up'!$O$15+'[11]Set Up'!$O$16,(BC10-'[11]Set Up'!$J$17)*'[11]Set Up'!$N$18 + SUM('[11]Set Up'!$O$15:'[11]Set Up'!$O$17)))))</f>
        <v>272.70493748767626</v>
      </c>
      <c r="BD14" s="30">
        <f>IF(BD10="","",IF(BD10&lt;'[11]Set Up'!$J$15,BD10*'[11]Set Up'!$N$15,IF(BD10&lt;'[11]Set Up'!$J$16,(BD10-'[11]Set Up'!$J$15)*'[11]Set Up'!$N$16+'[11]Set Up'!$O$15,IF(BD10&lt;'[11]Set Up'!$J$17,(BD10-'[11]Set Up'!$J$16)*'[11]Set Up'!$N$17+'[11]Set Up'!$O$15+'[11]Set Up'!$O$16,(BD10-'[11]Set Up'!$J$17)*'[11]Set Up'!$N$18 + SUM('[11]Set Up'!$O$15:'[11]Set Up'!$O$17)))))</f>
        <v>269.71864788355401</v>
      </c>
      <c r="BE14" s="30">
        <f>IF(BE10="","",IF(BE10&lt;'[11]Set Up'!$J$15,BE10*'[11]Set Up'!$N$15,IF(BE10&lt;'[11]Set Up'!$J$16,(BE10-'[11]Set Up'!$J$15)*'[11]Set Up'!$N$16+'[11]Set Up'!$O$15,IF(BE10&lt;'[11]Set Up'!$J$17,(BE10-'[11]Set Up'!$J$16)*'[11]Set Up'!$N$17+'[11]Set Up'!$O$15+'[11]Set Up'!$O$16,(BE10-'[11]Set Up'!$J$17)*'[11]Set Up'!$N$18 + SUM('[11]Set Up'!$O$15:'[11]Set Up'!$O$17)))))</f>
        <v>0</v>
      </c>
      <c r="BF14" s="30">
        <f>IF(BF10="","",IF(BF10&lt;'[11]Set Up'!$J$15,BF10*'[11]Set Up'!$N$15,IF(BF10&lt;'[11]Set Up'!$J$16,(BF10-'[11]Set Up'!$J$15)*'[11]Set Up'!$N$16+'[11]Set Up'!$O$15,IF(BF10&lt;'[11]Set Up'!$J$17,(BF10-'[11]Set Up'!$J$16)*'[11]Set Up'!$N$17+'[11]Set Up'!$O$15+'[11]Set Up'!$O$16,(BF10-'[11]Set Up'!$J$17)*'[11]Set Up'!$N$18 + SUM('[11]Set Up'!$O$15:'[11]Set Up'!$O$17)))))</f>
        <v>0</v>
      </c>
      <c r="BG14" s="30">
        <f>IF(BG10="","",IF(BG10&lt;'[11]Set Up'!$J$15,BG10*'[11]Set Up'!$N$15,IF(BG10&lt;'[11]Set Up'!$J$16,(BG10-'[11]Set Up'!$J$15)*'[11]Set Up'!$N$16+'[11]Set Up'!$O$15,IF(BG10&lt;'[11]Set Up'!$J$17,(BG10-'[11]Set Up'!$J$16)*'[11]Set Up'!$N$17+'[11]Set Up'!$O$15+'[11]Set Up'!$O$16,(BG10-'[11]Set Up'!$J$17)*'[11]Set Up'!$N$18 + SUM('[11]Set Up'!$O$15:'[11]Set Up'!$O$17)))))</f>
        <v>0</v>
      </c>
      <c r="BH14" s="30">
        <f>IF(BH10="","",IF(BH10&lt;'[11]Set Up'!$J$15,BH10*'[11]Set Up'!$N$15,IF(BH10&lt;'[11]Set Up'!$J$16,(BH10-'[11]Set Up'!$J$15)*'[11]Set Up'!$N$16+'[11]Set Up'!$O$15,IF(BH10&lt;'[11]Set Up'!$J$17,(BH10-'[11]Set Up'!$J$16)*'[11]Set Up'!$N$17+'[11]Set Up'!$O$15+'[11]Set Up'!$O$16,(BH10-'[11]Set Up'!$J$17)*'[11]Set Up'!$N$18 + SUM('[11]Set Up'!$O$15:'[11]Set Up'!$O$17)))))</f>
        <v>0</v>
      </c>
      <c r="BI14" s="30">
        <f>IF(BI10="","",IF(BI10&lt;'[11]Set Up'!$J$15,BI10*'[11]Set Up'!$N$15,IF(BI10&lt;'[11]Set Up'!$J$16,(BI10-'[11]Set Up'!$J$15)*'[11]Set Up'!$N$16+'[11]Set Up'!$O$15,IF(BI10&lt;'[11]Set Up'!$J$17,(BI10-'[11]Set Up'!$J$16)*'[11]Set Up'!$N$17+'[11]Set Up'!$O$15+'[11]Set Up'!$O$16,(BI10-'[11]Set Up'!$J$17)*'[11]Set Up'!$N$18 + SUM('[11]Set Up'!$O$15:'[11]Set Up'!$O$17)))))</f>
        <v>0</v>
      </c>
      <c r="BJ14" s="30">
        <f>IF(BJ10="","",IF(BJ10&lt;'[11]Set Up'!$J$15,BJ10*'[11]Set Up'!$N$15,IF(BJ10&lt;'[11]Set Up'!$J$16,(BJ10-'[11]Set Up'!$J$15)*'[11]Set Up'!$N$16+'[11]Set Up'!$O$15,IF(BJ10&lt;'[11]Set Up'!$J$17,(BJ10-'[11]Set Up'!$J$16)*'[11]Set Up'!$N$17+'[11]Set Up'!$O$15+'[11]Set Up'!$O$16,(BJ10-'[11]Set Up'!$J$17)*'[11]Set Up'!$N$18 + SUM('[11]Set Up'!$O$15:'[11]Set Up'!$O$17)))))</f>
        <v>0</v>
      </c>
      <c r="BK14" s="30">
        <f>IF(BK10="","",IF(BK10&lt;'[11]Set Up'!$J$15,BK10*'[11]Set Up'!$N$15,IF(BK10&lt;'[11]Set Up'!$J$16,(BK10-'[11]Set Up'!$J$15)*'[11]Set Up'!$N$16+'[11]Set Up'!$O$15,IF(BK10&lt;'[11]Set Up'!$J$17,(BK10-'[11]Set Up'!$J$16)*'[11]Set Up'!$N$17+'[11]Set Up'!$O$15+'[11]Set Up'!$O$16,(BK10-'[11]Set Up'!$J$17)*'[11]Set Up'!$N$18 + SUM('[11]Set Up'!$O$15:'[11]Set Up'!$O$17)))))</f>
        <v>0</v>
      </c>
      <c r="BL14" s="30">
        <f>IF(BL10="","",IF(BL10&lt;'[11]Set Up'!$J$15,BL10*'[11]Set Up'!$N$15,IF(BL10&lt;'[11]Set Up'!$J$16,(BL10-'[11]Set Up'!$J$15)*'[11]Set Up'!$N$16+'[11]Set Up'!$O$15,IF(BL10&lt;'[11]Set Up'!$J$17,(BL10-'[11]Set Up'!$J$16)*'[11]Set Up'!$N$17+'[11]Set Up'!$O$15+'[11]Set Up'!$O$16,(BL10-'[11]Set Up'!$J$17)*'[11]Set Up'!$N$18 + SUM('[11]Set Up'!$O$15:'[11]Set Up'!$O$17)))))</f>
        <v>0</v>
      </c>
      <c r="BM14" s="30">
        <f>IF(BM10="","",IF(BM10&lt;'[11]Set Up'!$J$15,BM10*'[11]Set Up'!$N$15,IF(BM10&lt;'[11]Set Up'!$J$16,(BM10-'[11]Set Up'!$J$15)*'[11]Set Up'!$N$16+'[11]Set Up'!$O$15,IF(BM10&lt;'[11]Set Up'!$J$17,(BM10-'[11]Set Up'!$J$16)*'[11]Set Up'!$N$17+'[11]Set Up'!$O$15+'[11]Set Up'!$O$16,(BM10-'[11]Set Up'!$J$17)*'[11]Set Up'!$N$18 + SUM('[11]Set Up'!$O$15:'[11]Set Up'!$O$17)))))</f>
        <v>0</v>
      </c>
      <c r="BN14" s="30">
        <f>IF(BN10="","",IF(BN10&lt;'[11]Set Up'!$J$15,BN10*'[11]Set Up'!$N$15,IF(BN10&lt;'[11]Set Up'!$J$16,(BN10-'[11]Set Up'!$J$15)*'[11]Set Up'!$N$16+'[11]Set Up'!$O$15,IF(BN10&lt;'[11]Set Up'!$J$17,(BN10-'[11]Set Up'!$J$16)*'[11]Set Up'!$N$17+'[11]Set Up'!$O$15+'[11]Set Up'!$O$16,(BN10-'[11]Set Up'!$J$17)*'[11]Set Up'!$N$18 + SUM('[11]Set Up'!$O$15:'[11]Set Up'!$O$17)))))</f>
        <v>0</v>
      </c>
      <c r="BO14" s="30">
        <f>IF(BO10="","",IF(BO10&lt;'[11]Set Up'!$J$15,BO10*'[11]Set Up'!$N$15,IF(BO10&lt;'[11]Set Up'!$J$16,(BO10-'[11]Set Up'!$J$15)*'[11]Set Up'!$N$16+'[11]Set Up'!$O$15,IF(BO10&lt;'[11]Set Up'!$J$17,(BO10-'[11]Set Up'!$J$16)*'[11]Set Up'!$N$17+'[11]Set Up'!$O$15+'[11]Set Up'!$O$16,(BO10-'[11]Set Up'!$J$17)*'[11]Set Up'!$N$18 + SUM('[11]Set Up'!$O$15:'[11]Set Up'!$O$17)))))</f>
        <v>0</v>
      </c>
      <c r="BP14" s="30">
        <f>IF(BP10="","",IF(BP10&lt;'[11]Set Up'!$J$15,BP10*'[11]Set Up'!$N$15,IF(BP10&lt;'[11]Set Up'!$J$16,(BP10-'[11]Set Up'!$J$15)*'[11]Set Up'!$N$16+'[11]Set Up'!$O$15,IF(BP10&lt;'[11]Set Up'!$J$17,(BP10-'[11]Set Up'!$J$16)*'[11]Set Up'!$N$17+'[11]Set Up'!$O$15+'[11]Set Up'!$O$16,(BP10-'[11]Set Up'!$J$17)*'[11]Set Up'!$N$18 + SUM('[11]Set Up'!$O$15:'[11]Set Up'!$O$17)))))</f>
        <v>0</v>
      </c>
      <c r="BQ14" s="30">
        <f>IF(BQ10="","",IF(BQ10&lt;'[11]Set Up'!$J$15,BQ10*'[11]Set Up'!$N$15,IF(BQ10&lt;'[11]Set Up'!$J$16,(BQ10-'[11]Set Up'!$J$15)*'[11]Set Up'!$N$16+'[11]Set Up'!$O$15,IF(BQ10&lt;'[11]Set Up'!$J$17,(BQ10-'[11]Set Up'!$J$16)*'[11]Set Up'!$N$17+'[11]Set Up'!$O$15+'[11]Set Up'!$O$16,(BQ10-'[11]Set Up'!$J$17)*'[11]Set Up'!$N$18 + SUM('[11]Set Up'!$O$15:'[11]Set Up'!$O$17)))))</f>
        <v>0</v>
      </c>
      <c r="BR14" s="30">
        <f>IF(BR10="","",IF(BR10&lt;'[11]Set Up'!$J$15,BR10*'[11]Set Up'!$N$15,IF(BR10&lt;'[11]Set Up'!$J$16,(BR10-'[11]Set Up'!$J$15)*'[11]Set Up'!$N$16+'[11]Set Up'!$O$15,IF(BR10&lt;'[11]Set Up'!$J$17,(BR10-'[11]Set Up'!$J$16)*'[11]Set Up'!$N$17+'[11]Set Up'!$O$15+'[11]Set Up'!$O$16,(BR10-'[11]Set Up'!$J$17)*'[11]Set Up'!$N$18 + SUM('[11]Set Up'!$O$15:'[11]Set Up'!$O$17)))))</f>
        <v>0</v>
      </c>
      <c r="BS14" s="30">
        <f>IF(BS10="","",IF(BS10&lt;'[11]Set Up'!$J$15,BS10*'[11]Set Up'!$N$15,IF(BS10&lt;'[11]Set Up'!$J$16,(BS10-'[11]Set Up'!$J$15)*'[11]Set Up'!$N$16+'[11]Set Up'!$O$15,IF(BS10&lt;'[11]Set Up'!$J$17,(BS10-'[11]Set Up'!$J$16)*'[11]Set Up'!$N$17+'[11]Set Up'!$O$15+'[11]Set Up'!$O$16,(BS10-'[11]Set Up'!$J$17)*'[11]Set Up'!$N$18 + SUM('[11]Set Up'!$O$15:'[11]Set Up'!$O$17)))))</f>
        <v>0</v>
      </c>
      <c r="BT14" s="30">
        <f>IF(BT10="","",IF(BT10&lt;'[11]Set Up'!$J$15,BT10*'[11]Set Up'!$N$15,IF(BT10&lt;'[11]Set Up'!$J$16,(BT10-'[11]Set Up'!$J$15)*'[11]Set Up'!$N$16+'[11]Set Up'!$O$15,IF(BT10&lt;'[11]Set Up'!$J$17,(BT10-'[11]Set Up'!$J$16)*'[11]Set Up'!$N$17+'[11]Set Up'!$O$15+'[11]Set Up'!$O$16,(BT10-'[11]Set Up'!$J$17)*'[11]Set Up'!$N$18 + SUM('[11]Set Up'!$O$15:'[11]Set Up'!$O$17)))))</f>
        <v>0</v>
      </c>
      <c r="BU14" s="30">
        <f>IF(BU10="","",IF(BU10&lt;'[11]Set Up'!$J$15,BU10*'[11]Set Up'!$N$15,IF(BU10&lt;'[11]Set Up'!$J$16,(BU10-'[11]Set Up'!$J$15)*'[11]Set Up'!$N$16+'[11]Set Up'!$O$15,IF(BU10&lt;'[11]Set Up'!$J$17,(BU10-'[11]Set Up'!$J$16)*'[11]Set Up'!$N$17+'[11]Set Up'!$O$15+'[11]Set Up'!$O$16,(BU10-'[11]Set Up'!$J$17)*'[11]Set Up'!$N$18 + SUM('[11]Set Up'!$O$15:'[11]Set Up'!$O$17)))))</f>
        <v>0</v>
      </c>
      <c r="BV14" s="30">
        <f>IF(BV10="","",IF(BV10&lt;'[11]Set Up'!$J$15,BV10*'[11]Set Up'!$N$15,IF(BV10&lt;'[11]Set Up'!$J$16,(BV10-'[11]Set Up'!$J$15)*'[11]Set Up'!$N$16+'[11]Set Up'!$O$15,IF(BV10&lt;'[11]Set Up'!$J$17,(BV10-'[11]Set Up'!$J$16)*'[11]Set Up'!$N$17+'[11]Set Up'!$O$15+'[11]Set Up'!$O$16,(BV10-'[11]Set Up'!$J$17)*'[11]Set Up'!$N$18 + SUM('[11]Set Up'!$O$15:'[11]Set Up'!$O$17)))))</f>
        <v>0</v>
      </c>
      <c r="BW14" s="30">
        <f>IF(BW10="","",IF(BW10&lt;'[11]Set Up'!$J$15,BW10*'[11]Set Up'!$N$15,IF(BW10&lt;'[11]Set Up'!$J$16,(BW10-'[11]Set Up'!$J$15)*'[11]Set Up'!$N$16+'[11]Set Up'!$O$15,IF(BW10&lt;'[11]Set Up'!$J$17,(BW10-'[11]Set Up'!$J$16)*'[11]Set Up'!$N$17+'[11]Set Up'!$O$15+'[11]Set Up'!$O$16,(BW10-'[11]Set Up'!$J$17)*'[11]Set Up'!$N$18 + SUM('[11]Set Up'!$O$15:'[11]Set Up'!$O$17)))))</f>
        <v>0</v>
      </c>
      <c r="BX14" s="30">
        <f>IF(BX10="","",IF(BX10&lt;'[11]Set Up'!$J$15,BX10*'[11]Set Up'!$N$15,IF(BX10&lt;'[11]Set Up'!$J$16,(BX10-'[11]Set Up'!$J$15)*'[11]Set Up'!$N$16+'[11]Set Up'!$O$15,IF(BX10&lt;'[11]Set Up'!$J$17,(BX10-'[11]Set Up'!$J$16)*'[11]Set Up'!$N$17+'[11]Set Up'!$O$15+'[11]Set Up'!$O$16,(BX10-'[11]Set Up'!$J$17)*'[11]Set Up'!$N$18 + SUM('[11]Set Up'!$O$15:'[11]Set Up'!$O$17)))))</f>
        <v>0</v>
      </c>
      <c r="BY14" s="30">
        <f>IF(BY10="","",IF(BY10&lt;'[11]Set Up'!$J$15,BY10*'[11]Set Up'!$N$15,IF(BY10&lt;'[11]Set Up'!$J$16,(BY10-'[11]Set Up'!$J$15)*'[11]Set Up'!$N$16+'[11]Set Up'!$O$15,IF(BY10&lt;'[11]Set Up'!$J$17,(BY10-'[11]Set Up'!$J$16)*'[11]Set Up'!$N$17+'[11]Set Up'!$O$15+'[11]Set Up'!$O$16,(BY10-'[11]Set Up'!$J$17)*'[11]Set Up'!$N$18 + SUM('[11]Set Up'!$O$15:'[11]Set Up'!$O$17)))))</f>
        <v>0</v>
      </c>
      <c r="BZ14" s="8"/>
    </row>
    <row r="15" spans="1:78" ht="15" thickBot="1" x14ac:dyDescent="0.4">
      <c r="A15" s="31"/>
      <c r="B15" s="32"/>
      <c r="C15" s="183" t="s">
        <v>23</v>
      </c>
      <c r="D15" s="184"/>
      <c r="E15" s="184"/>
      <c r="F15" s="184"/>
      <c r="G15" s="184"/>
      <c r="H15" s="184"/>
      <c r="I15" s="185"/>
      <c r="J15" s="32"/>
      <c r="K15" s="32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8"/>
    </row>
    <row r="16" spans="1:78" x14ac:dyDescent="0.35">
      <c r="A16" s="34" t="s">
        <v>24</v>
      </c>
      <c r="B16" s="35" t="s">
        <v>11</v>
      </c>
      <c r="C16" s="36">
        <v>43263</v>
      </c>
      <c r="D16" s="36">
        <v>43263</v>
      </c>
      <c r="E16" s="36">
        <v>43264</v>
      </c>
      <c r="F16" s="36">
        <v>43264</v>
      </c>
      <c r="G16" s="36">
        <v>43264</v>
      </c>
      <c r="H16" s="36">
        <v>43265</v>
      </c>
      <c r="I16" s="36">
        <v>43265</v>
      </c>
      <c r="J16" s="36">
        <v>43266</v>
      </c>
      <c r="K16" s="36">
        <v>43266</v>
      </c>
      <c r="L16" s="36">
        <v>43266</v>
      </c>
      <c r="M16" s="36">
        <v>43267</v>
      </c>
      <c r="N16" s="36">
        <v>43267</v>
      </c>
      <c r="O16" s="36">
        <v>43267</v>
      </c>
      <c r="P16" s="36">
        <v>43268</v>
      </c>
      <c r="Q16" s="36">
        <v>43268</v>
      </c>
      <c r="R16" s="36">
        <v>43268</v>
      </c>
      <c r="S16" s="36">
        <v>43268</v>
      </c>
      <c r="T16" s="36">
        <v>43269</v>
      </c>
      <c r="U16" s="36">
        <v>43269</v>
      </c>
      <c r="V16" s="36">
        <v>43269</v>
      </c>
      <c r="W16" s="36">
        <v>43270</v>
      </c>
      <c r="X16" s="36">
        <v>43270</v>
      </c>
      <c r="Y16" s="36">
        <v>43270</v>
      </c>
      <c r="Z16" s="36">
        <v>43270</v>
      </c>
      <c r="AA16" s="36">
        <v>43271</v>
      </c>
      <c r="AB16" s="36">
        <v>43271</v>
      </c>
      <c r="AC16" s="36">
        <v>43271</v>
      </c>
      <c r="AD16" s="36">
        <v>43271</v>
      </c>
      <c r="AE16" s="36">
        <v>43272</v>
      </c>
      <c r="AF16" s="36">
        <v>43272</v>
      </c>
      <c r="AG16" s="36">
        <v>43272</v>
      </c>
      <c r="AH16" s="36">
        <v>43273</v>
      </c>
      <c r="AI16" s="36">
        <v>43273</v>
      </c>
      <c r="AJ16" s="36">
        <v>43273</v>
      </c>
      <c r="AK16" s="36">
        <v>43274</v>
      </c>
      <c r="AL16" s="36">
        <v>43274</v>
      </c>
      <c r="AM16" s="36">
        <v>43274</v>
      </c>
      <c r="AN16" s="36">
        <v>43274</v>
      </c>
      <c r="AO16" s="36">
        <v>43275</v>
      </c>
      <c r="AP16" s="36">
        <v>43275</v>
      </c>
      <c r="AQ16" s="36">
        <v>43275</v>
      </c>
      <c r="AR16" s="36">
        <v>43276</v>
      </c>
      <c r="AS16" s="36">
        <v>43276</v>
      </c>
      <c r="AT16" s="36">
        <v>43276</v>
      </c>
      <c r="AU16" s="36">
        <v>43276</v>
      </c>
      <c r="AV16" s="36">
        <v>43277</v>
      </c>
      <c r="AW16" s="36">
        <v>43277</v>
      </c>
      <c r="AX16" s="36">
        <v>43277</v>
      </c>
      <c r="AY16" s="36">
        <v>43277</v>
      </c>
      <c r="AZ16" s="36">
        <v>43278</v>
      </c>
      <c r="BA16" s="36">
        <v>43278</v>
      </c>
      <c r="BB16" s="36">
        <v>43278</v>
      </c>
      <c r="BC16" s="36">
        <v>43279</v>
      </c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7"/>
    </row>
    <row r="17" spans="1:78" x14ac:dyDescent="0.35">
      <c r="A17" s="38" t="s">
        <v>25</v>
      </c>
      <c r="B17" s="39">
        <f>IF(C17="","",AVERAGE(C17:BY17))</f>
        <v>5039.433962264151</v>
      </c>
      <c r="C17" s="40">
        <v>4880</v>
      </c>
      <c r="D17" s="40">
        <v>5020</v>
      </c>
      <c r="E17" s="41">
        <v>5070</v>
      </c>
      <c r="F17" s="41">
        <v>4810</v>
      </c>
      <c r="G17" s="41">
        <v>4910</v>
      </c>
      <c r="H17" s="41">
        <v>4800</v>
      </c>
      <c r="I17" s="41">
        <v>4930</v>
      </c>
      <c r="J17" s="41">
        <v>4960</v>
      </c>
      <c r="K17" s="41">
        <v>5060</v>
      </c>
      <c r="L17" s="41">
        <v>5160</v>
      </c>
      <c r="M17" s="41">
        <v>5190</v>
      </c>
      <c r="N17" s="41">
        <v>5280</v>
      </c>
      <c r="O17" s="41">
        <v>5090</v>
      </c>
      <c r="P17" s="41">
        <v>5010</v>
      </c>
      <c r="Q17" s="41">
        <v>4890</v>
      </c>
      <c r="R17" s="41">
        <v>5090</v>
      </c>
      <c r="S17" s="41">
        <v>5140</v>
      </c>
      <c r="T17" s="41">
        <v>5130</v>
      </c>
      <c r="U17" s="41">
        <v>5080</v>
      </c>
      <c r="V17" s="41">
        <v>5090</v>
      </c>
      <c r="W17" s="41">
        <v>5100</v>
      </c>
      <c r="X17" s="41">
        <v>5110</v>
      </c>
      <c r="Y17" s="41">
        <v>5100</v>
      </c>
      <c r="Z17" s="41">
        <v>5080</v>
      </c>
      <c r="AA17" s="41">
        <v>4990</v>
      </c>
      <c r="AB17" s="41">
        <v>5080</v>
      </c>
      <c r="AC17" s="41">
        <v>5060</v>
      </c>
      <c r="AD17" s="41">
        <v>5100</v>
      </c>
      <c r="AE17" s="41">
        <v>5040</v>
      </c>
      <c r="AF17" s="41">
        <v>4910</v>
      </c>
      <c r="AG17" s="41">
        <v>4970</v>
      </c>
      <c r="AH17" s="41">
        <v>4860</v>
      </c>
      <c r="AI17" s="41">
        <v>4990</v>
      </c>
      <c r="AJ17" s="41">
        <v>4970</v>
      </c>
      <c r="AK17" s="41">
        <v>4900</v>
      </c>
      <c r="AL17" s="41">
        <v>4980</v>
      </c>
      <c r="AM17" s="41">
        <v>4950</v>
      </c>
      <c r="AN17" s="41">
        <v>4950</v>
      </c>
      <c r="AO17" s="41">
        <v>5040</v>
      </c>
      <c r="AP17" s="41">
        <v>5050</v>
      </c>
      <c r="AQ17" s="41">
        <v>5010</v>
      </c>
      <c r="AR17" s="41">
        <v>5100</v>
      </c>
      <c r="AS17" s="41">
        <v>5040</v>
      </c>
      <c r="AT17" s="41">
        <v>5150</v>
      </c>
      <c r="AU17" s="41">
        <v>5270</v>
      </c>
      <c r="AV17" s="41">
        <v>5030</v>
      </c>
      <c r="AW17" s="41">
        <v>5100</v>
      </c>
      <c r="AX17" s="41">
        <v>5130</v>
      </c>
      <c r="AY17" s="41">
        <v>5100</v>
      </c>
      <c r="AZ17" s="41">
        <v>5150</v>
      </c>
      <c r="BA17" s="41">
        <v>5140</v>
      </c>
      <c r="BB17" s="41">
        <v>5090</v>
      </c>
      <c r="BC17" s="41">
        <v>4960</v>
      </c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2"/>
    </row>
    <row r="18" spans="1:78" ht="15" thickBot="1" x14ac:dyDescent="0.4">
      <c r="A18" s="43" t="s">
        <v>26</v>
      </c>
      <c r="B18" s="44">
        <f>IF(C18="","",AVERAGE(C18:BY18))</f>
        <v>7823.5849056603774</v>
      </c>
      <c r="C18" s="45">
        <v>6490</v>
      </c>
      <c r="D18" s="46">
        <v>7740</v>
      </c>
      <c r="E18" s="46">
        <v>6000</v>
      </c>
      <c r="F18" s="46">
        <v>8490</v>
      </c>
      <c r="G18" s="46">
        <v>9240</v>
      </c>
      <c r="H18" s="46">
        <v>5820</v>
      </c>
      <c r="I18" s="46">
        <v>9130</v>
      </c>
      <c r="J18" s="46">
        <v>7670</v>
      </c>
      <c r="K18" s="46">
        <v>9530</v>
      </c>
      <c r="L18" s="46">
        <v>9300</v>
      </c>
      <c r="M18" s="46">
        <v>8220</v>
      </c>
      <c r="N18" s="46">
        <v>8570</v>
      </c>
      <c r="O18" s="46">
        <v>7600</v>
      </c>
      <c r="P18" s="46">
        <v>8170</v>
      </c>
      <c r="Q18" s="46">
        <v>8100</v>
      </c>
      <c r="R18" s="46">
        <v>7840</v>
      </c>
      <c r="S18" s="46">
        <v>8710</v>
      </c>
      <c r="T18" s="46">
        <v>8050</v>
      </c>
      <c r="U18" s="46">
        <v>8520</v>
      </c>
      <c r="V18" s="46">
        <v>8400</v>
      </c>
      <c r="W18" s="46">
        <v>7770</v>
      </c>
      <c r="X18" s="46">
        <v>7980</v>
      </c>
      <c r="Y18" s="46">
        <v>8160</v>
      </c>
      <c r="Z18" s="46">
        <v>9130</v>
      </c>
      <c r="AA18" s="46">
        <v>7690</v>
      </c>
      <c r="AB18" s="46">
        <v>7840</v>
      </c>
      <c r="AC18" s="46">
        <v>8210</v>
      </c>
      <c r="AD18" s="46">
        <v>8940</v>
      </c>
      <c r="AE18" s="46">
        <v>8330</v>
      </c>
      <c r="AF18" s="46">
        <v>7640</v>
      </c>
      <c r="AG18" s="46">
        <v>7750</v>
      </c>
      <c r="AH18" s="46">
        <v>7170</v>
      </c>
      <c r="AI18" s="46">
        <v>7850</v>
      </c>
      <c r="AJ18" s="46">
        <v>7890</v>
      </c>
      <c r="AK18" s="46">
        <v>7790</v>
      </c>
      <c r="AL18" s="46">
        <v>7270</v>
      </c>
      <c r="AM18" s="46">
        <v>7530</v>
      </c>
      <c r="AN18" s="46">
        <v>7640</v>
      </c>
      <c r="AO18" s="46">
        <v>7390</v>
      </c>
      <c r="AP18" s="46">
        <v>7490</v>
      </c>
      <c r="AQ18" s="46">
        <v>8330</v>
      </c>
      <c r="AR18" s="46">
        <v>7790</v>
      </c>
      <c r="AS18" s="46">
        <v>6910</v>
      </c>
      <c r="AT18" s="46">
        <v>7610</v>
      </c>
      <c r="AU18" s="46">
        <v>6470</v>
      </c>
      <c r="AV18" s="46">
        <v>7290</v>
      </c>
      <c r="AW18" s="46">
        <v>6590</v>
      </c>
      <c r="AX18" s="46">
        <v>7090</v>
      </c>
      <c r="AY18" s="46">
        <v>7560</v>
      </c>
      <c r="AZ18" s="46">
        <v>7320</v>
      </c>
      <c r="BA18" s="46">
        <v>7050</v>
      </c>
      <c r="BB18" s="46">
        <v>6600</v>
      </c>
      <c r="BC18" s="46">
        <v>8990</v>
      </c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7"/>
    </row>
    <row r="19" spans="1:78" x14ac:dyDescent="0.35">
      <c r="A19" s="48" t="s">
        <v>27</v>
      </c>
      <c r="B19" s="49"/>
      <c r="C19" s="50">
        <v>3.2638888888888891E-2</v>
      </c>
      <c r="D19" s="51">
        <v>0.8847222222222223</v>
      </c>
      <c r="E19" s="51">
        <v>0.16250000000000001</v>
      </c>
      <c r="F19" s="51">
        <v>0.47847222222222219</v>
      </c>
      <c r="G19" s="51">
        <v>0.75208333333333333</v>
      </c>
      <c r="H19" s="51">
        <v>0.57777777777777783</v>
      </c>
      <c r="I19" s="51">
        <v>0.94513888888888886</v>
      </c>
      <c r="J19" s="51">
        <v>0.27430555555555552</v>
      </c>
      <c r="K19" s="51">
        <v>0.59375</v>
      </c>
      <c r="L19" s="51">
        <v>0.87847222222222221</v>
      </c>
      <c r="M19" s="51">
        <v>0.15763888888888888</v>
      </c>
      <c r="N19" s="51">
        <v>0.41319444444444442</v>
      </c>
      <c r="O19" s="51">
        <v>0.78263888888888899</v>
      </c>
      <c r="P19" s="51">
        <v>9.4444444444444442E-2</v>
      </c>
      <c r="Q19" s="51">
        <v>0.38819444444444445</v>
      </c>
      <c r="R19" s="51">
        <v>0.67847222222222225</v>
      </c>
      <c r="S19" s="51">
        <v>0.96666666666666667</v>
      </c>
      <c r="T19" s="51">
        <v>0.26041666666666669</v>
      </c>
      <c r="U19" s="51">
        <v>0.55138888888888882</v>
      </c>
      <c r="V19" s="51">
        <v>0.80069444444444438</v>
      </c>
      <c r="W19" s="51">
        <v>4.7222222222222221E-2</v>
      </c>
      <c r="X19" s="51">
        <v>0.33819444444444446</v>
      </c>
      <c r="Y19" s="51">
        <v>0.59652777777777777</v>
      </c>
      <c r="Z19" s="51">
        <v>0.93055555555555547</v>
      </c>
      <c r="AA19" s="51">
        <v>0.19583333333333333</v>
      </c>
      <c r="AB19" s="51">
        <v>0.43888888888888888</v>
      </c>
      <c r="AC19" s="51">
        <v>0.70416666666666661</v>
      </c>
      <c r="AD19" s="51">
        <v>0.99791666666666667</v>
      </c>
      <c r="AE19" s="51">
        <v>0.27430555555555552</v>
      </c>
      <c r="AF19" s="51">
        <v>0.53402777777777777</v>
      </c>
      <c r="AG19" s="51">
        <v>0.84097222222222223</v>
      </c>
      <c r="AH19" s="51">
        <v>0.1013888888888889</v>
      </c>
      <c r="AI19" s="51">
        <v>0.37708333333333338</v>
      </c>
      <c r="AJ19" s="51">
        <v>0.67291666666666661</v>
      </c>
      <c r="AK19" s="51">
        <v>9.0277777777777776E-2</v>
      </c>
      <c r="AL19" s="51">
        <v>0.37361111111111112</v>
      </c>
      <c r="AM19" s="51">
        <v>0.69097222222222221</v>
      </c>
      <c r="AN19" s="51">
        <v>0.97222222222222221</v>
      </c>
      <c r="AO19" s="51">
        <v>0.27499999999999997</v>
      </c>
      <c r="AP19" s="51">
        <v>0.55138888888888882</v>
      </c>
      <c r="AQ19" s="51">
        <v>0.8534722222222223</v>
      </c>
      <c r="AR19" s="51">
        <v>0.13402777777777777</v>
      </c>
      <c r="AS19" s="51">
        <v>0.39305555555555555</v>
      </c>
      <c r="AT19" s="51">
        <v>0.63124999999999998</v>
      </c>
      <c r="AU19" s="51">
        <v>0.89166666666666661</v>
      </c>
      <c r="AV19" s="51">
        <v>0.15</v>
      </c>
      <c r="AW19" s="51">
        <v>0.39652777777777781</v>
      </c>
      <c r="AX19" s="51">
        <v>0.63124999999999998</v>
      </c>
      <c r="AY19" s="51">
        <v>0.89236111111111116</v>
      </c>
      <c r="AZ19" s="51">
        <v>0.11666666666666665</v>
      </c>
      <c r="BA19" s="51">
        <v>0.3611111111111111</v>
      </c>
      <c r="BB19" s="51">
        <v>0.61111111111111105</v>
      </c>
      <c r="BC19" s="51">
        <v>7.5694444444444439E-2</v>
      </c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2"/>
    </row>
    <row r="20" spans="1:78" x14ac:dyDescent="0.35">
      <c r="A20" s="53" t="s">
        <v>28</v>
      </c>
      <c r="B20" s="54"/>
      <c r="C20" s="55">
        <v>0.32847222222222222</v>
      </c>
      <c r="D20" s="54">
        <v>1.4583333333333332E-2</v>
      </c>
      <c r="E20" s="54">
        <v>0.29375000000000001</v>
      </c>
      <c r="F20" s="54">
        <v>0.61458333333333337</v>
      </c>
      <c r="G20" s="54">
        <v>0.87986111111111109</v>
      </c>
      <c r="H20" s="54">
        <v>0.72986111111111107</v>
      </c>
      <c r="I20" s="54">
        <v>9.5833333333333326E-2</v>
      </c>
      <c r="J20" s="54">
        <v>0.46666666666666662</v>
      </c>
      <c r="K20" s="54">
        <v>0.72916666666666663</v>
      </c>
      <c r="L20" s="54">
        <v>2.1527777777777781E-2</v>
      </c>
      <c r="M20" s="54">
        <v>0.28402777777777777</v>
      </c>
      <c r="N20" s="54">
        <v>0.54166666666666663</v>
      </c>
      <c r="O20" s="54">
        <v>0.90694444444444444</v>
      </c>
      <c r="P20" s="54">
        <v>0.22152777777777777</v>
      </c>
      <c r="Q20" s="54">
        <v>0.5131944444444444</v>
      </c>
      <c r="R20" s="54">
        <v>0.8027777777777777</v>
      </c>
      <c r="S20" s="54">
        <v>0.11666666666666665</v>
      </c>
      <c r="T20" s="54">
        <v>0.3833333333333333</v>
      </c>
      <c r="U20" s="54">
        <v>0.67708333333333337</v>
      </c>
      <c r="V20" s="54">
        <v>0.92708333333333337</v>
      </c>
      <c r="W20" s="54">
        <v>0.1763888888888889</v>
      </c>
      <c r="X20" s="54">
        <v>0.46249999999999997</v>
      </c>
      <c r="Y20" s="54">
        <v>0.79305555555555562</v>
      </c>
      <c r="Z20" s="54">
        <v>4.5833333333333337E-2</v>
      </c>
      <c r="AA20" s="54">
        <v>0.31736111111111115</v>
      </c>
      <c r="AB20" s="54">
        <v>0.56874999999999998</v>
      </c>
      <c r="AC20" s="54">
        <v>0.85625000000000007</v>
      </c>
      <c r="AD20" s="54">
        <v>0.12361111111111112</v>
      </c>
      <c r="AE20" s="54">
        <v>0.39444444444444443</v>
      </c>
      <c r="AF20" s="54">
        <v>0.65694444444444444</v>
      </c>
      <c r="AG20" s="54">
        <v>0.96527777777777779</v>
      </c>
      <c r="AH20" s="54">
        <v>0.24930555555555556</v>
      </c>
      <c r="AI20" s="54">
        <v>0.5</v>
      </c>
      <c r="AJ20" s="54">
        <v>0.94027777777777777</v>
      </c>
      <c r="AK20" s="54">
        <v>0.21666666666666667</v>
      </c>
      <c r="AL20" s="54">
        <v>0.49791666666666662</v>
      </c>
      <c r="AM20" s="54">
        <v>0.81458333333333333</v>
      </c>
      <c r="AN20" s="54">
        <v>9.4444444444444442E-2</v>
      </c>
      <c r="AO20" s="54">
        <v>0.3972222222222222</v>
      </c>
      <c r="AP20" s="54">
        <v>0.67638888888888893</v>
      </c>
      <c r="AQ20" s="54">
        <v>0.97916666666666663</v>
      </c>
      <c r="AR20" s="54">
        <v>0.25763888888888892</v>
      </c>
      <c r="AS20" s="54">
        <v>0.51527777777777783</v>
      </c>
      <c r="AT20" s="54">
        <v>0.78680555555555554</v>
      </c>
      <c r="AU20" s="54">
        <v>1.3194444444444444E-2</v>
      </c>
      <c r="AV20" s="54">
        <v>0.27291666666666664</v>
      </c>
      <c r="AW20" s="54">
        <v>0.52361111111111114</v>
      </c>
      <c r="AX20" s="54">
        <v>0.75208333333333333</v>
      </c>
      <c r="AY20" s="54">
        <v>1.3194444444444444E-2</v>
      </c>
      <c r="AZ20" s="54">
        <v>0.23750000000000002</v>
      </c>
      <c r="BA20" s="54">
        <v>0.48333333333333334</v>
      </c>
      <c r="BB20" s="54">
        <v>0.72986111111111107</v>
      </c>
      <c r="BC20" s="54">
        <v>0.19236111111111112</v>
      </c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2"/>
    </row>
    <row r="21" spans="1:78" ht="15" thickBot="1" x14ac:dyDescent="0.4">
      <c r="A21" s="56" t="s">
        <v>29</v>
      </c>
      <c r="B21" s="57">
        <f t="shared" ref="B21:B30" si="0">IF(C21="","",AVERAGE(C21:BY21))</f>
        <v>0.13655660377358494</v>
      </c>
      <c r="C21" s="58">
        <v>0.29583333333333334</v>
      </c>
      <c r="D21" s="59">
        <v>0.12986111111111098</v>
      </c>
      <c r="E21" s="59">
        <v>0.13125000000000001</v>
      </c>
      <c r="F21" s="59">
        <v>0.13611111111111118</v>
      </c>
      <c r="G21" s="59">
        <v>0.12777777777777777</v>
      </c>
      <c r="H21" s="59">
        <v>0.15208333333333324</v>
      </c>
      <c r="I21" s="59">
        <v>0.15069444444444446</v>
      </c>
      <c r="J21" s="59">
        <v>0.19236111111111109</v>
      </c>
      <c r="K21" s="59">
        <v>0.13541666666666663</v>
      </c>
      <c r="L21" s="59">
        <v>0.1430555555555556</v>
      </c>
      <c r="M21" s="59">
        <v>0.12638888888888888</v>
      </c>
      <c r="N21" s="59">
        <v>0.12847222222222221</v>
      </c>
      <c r="O21" s="59">
        <v>0.12430555555555545</v>
      </c>
      <c r="P21" s="59">
        <v>0.12708333333333333</v>
      </c>
      <c r="Q21" s="59">
        <v>0.12499999999999994</v>
      </c>
      <c r="R21" s="59">
        <v>0.12430555555555545</v>
      </c>
      <c r="S21" s="59">
        <v>0.15000000000000002</v>
      </c>
      <c r="T21" s="59">
        <v>0.12291666666666662</v>
      </c>
      <c r="U21" s="59">
        <v>0.12569444444444455</v>
      </c>
      <c r="V21" s="59">
        <v>0.12638888888888899</v>
      </c>
      <c r="W21" s="59">
        <v>0.12916666666666668</v>
      </c>
      <c r="X21" s="59">
        <v>0.1243055555555555</v>
      </c>
      <c r="Y21" s="59">
        <v>0.19652777777777786</v>
      </c>
      <c r="Z21" s="59">
        <v>0.11527777777777781</v>
      </c>
      <c r="AA21" s="59">
        <v>0.12152777777777782</v>
      </c>
      <c r="AB21" s="59">
        <v>0.12986111111111109</v>
      </c>
      <c r="AC21" s="59">
        <v>0.15208333333333346</v>
      </c>
      <c r="AD21" s="59">
        <v>0.12569444444444444</v>
      </c>
      <c r="AE21" s="59">
        <v>0.12013888888888891</v>
      </c>
      <c r="AF21" s="59">
        <v>0.12291666666666667</v>
      </c>
      <c r="AG21" s="59">
        <v>0.12430555555555556</v>
      </c>
      <c r="AH21" s="59">
        <v>0.14791666666666664</v>
      </c>
      <c r="AI21" s="59">
        <v>0.12291666666666662</v>
      </c>
      <c r="AJ21" s="59">
        <v>0.26736111111111116</v>
      </c>
      <c r="AK21" s="59">
        <v>0.12638888888888888</v>
      </c>
      <c r="AL21" s="59">
        <v>0.1243055555555555</v>
      </c>
      <c r="AM21" s="59">
        <v>0.12361111111111112</v>
      </c>
      <c r="AN21" s="59">
        <v>0.12222222222222223</v>
      </c>
      <c r="AO21" s="59">
        <v>0.12222222222222223</v>
      </c>
      <c r="AP21" s="59">
        <v>0.12500000000000011</v>
      </c>
      <c r="AQ21" s="59">
        <v>0.12569444444444433</v>
      </c>
      <c r="AR21" s="59">
        <v>0.12361111111111114</v>
      </c>
      <c r="AS21" s="59">
        <v>0.12222222222222229</v>
      </c>
      <c r="AT21" s="59">
        <v>0.15555555555555556</v>
      </c>
      <c r="AU21" s="59">
        <v>0.12152777777777779</v>
      </c>
      <c r="AV21" s="59">
        <v>0.12291666666666665</v>
      </c>
      <c r="AW21" s="59">
        <v>0.12708333333333333</v>
      </c>
      <c r="AX21" s="59">
        <v>0.12083333333333335</v>
      </c>
      <c r="AY21" s="59">
        <v>0.12083333333333324</v>
      </c>
      <c r="AZ21" s="59">
        <v>0.12083333333333336</v>
      </c>
      <c r="BA21" s="59">
        <v>0.12222222222222223</v>
      </c>
      <c r="BB21" s="59">
        <v>0.11875000000000002</v>
      </c>
      <c r="BC21" s="59">
        <v>0.11666666666666668</v>
      </c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2"/>
    </row>
    <row r="22" spans="1:78" x14ac:dyDescent="0.35">
      <c r="A22" s="60" t="s">
        <v>30</v>
      </c>
      <c r="B22" s="61">
        <f t="shared" si="0"/>
        <v>68.74698113207549</v>
      </c>
      <c r="C22" s="62">
        <v>61</v>
      </c>
      <c r="D22" s="63">
        <v>69.7</v>
      </c>
      <c r="E22" s="63">
        <v>69.8</v>
      </c>
      <c r="F22" s="63">
        <v>62.8</v>
      </c>
      <c r="G22" s="63">
        <v>69.5</v>
      </c>
      <c r="H22" s="63">
        <v>69.099999999999994</v>
      </c>
      <c r="I22" s="63">
        <v>68.599999999999994</v>
      </c>
      <c r="J22" s="63">
        <v>70</v>
      </c>
      <c r="K22" s="63">
        <v>64.8</v>
      </c>
      <c r="L22" s="63">
        <v>60.6</v>
      </c>
      <c r="M22" s="63">
        <v>69.44</v>
      </c>
      <c r="N22" s="63">
        <v>69.739999999999995</v>
      </c>
      <c r="O22" s="63">
        <v>65.3</v>
      </c>
      <c r="P22" s="63">
        <v>68.87</v>
      </c>
      <c r="Q22" s="63">
        <v>70.3</v>
      </c>
      <c r="R22" s="63">
        <v>70.5</v>
      </c>
      <c r="S22" s="63">
        <v>70.099999999999994</v>
      </c>
      <c r="T22" s="63">
        <v>70.31</v>
      </c>
      <c r="U22" s="63">
        <v>69.400000000000006</v>
      </c>
      <c r="V22" s="63">
        <v>70</v>
      </c>
      <c r="W22" s="63">
        <v>68.349999999999994</v>
      </c>
      <c r="X22" s="63">
        <v>70.89</v>
      </c>
      <c r="Y22" s="63">
        <v>69.099999999999994</v>
      </c>
      <c r="Z22" s="63">
        <v>70.400000000000006</v>
      </c>
      <c r="AA22" s="63">
        <v>70.069999999999993</v>
      </c>
      <c r="AB22" s="63">
        <v>68.400000000000006</v>
      </c>
      <c r="AC22" s="63">
        <v>69.599999999999994</v>
      </c>
      <c r="AD22" s="63">
        <v>69.5</v>
      </c>
      <c r="AE22" s="63">
        <v>70.14</v>
      </c>
      <c r="AF22" s="63">
        <v>69.849999999999994</v>
      </c>
      <c r="AG22" s="63">
        <v>69.900000000000006</v>
      </c>
      <c r="AH22" s="63">
        <v>67.53</v>
      </c>
      <c r="AI22" s="63">
        <v>69.88</v>
      </c>
      <c r="AJ22" s="63">
        <v>51.3</v>
      </c>
      <c r="AK22" s="63">
        <v>69.709999999999994</v>
      </c>
      <c r="AL22" s="63">
        <v>69.38</v>
      </c>
      <c r="AM22" s="63">
        <v>70</v>
      </c>
      <c r="AN22" s="63">
        <v>70</v>
      </c>
      <c r="AO22" s="63">
        <v>70.040000000000006</v>
      </c>
      <c r="AP22" s="63">
        <v>68.5</v>
      </c>
      <c r="AQ22" s="63">
        <v>69.7</v>
      </c>
      <c r="AR22" s="63">
        <v>70.930000000000007</v>
      </c>
      <c r="AS22" s="63">
        <v>70.040000000000006</v>
      </c>
      <c r="AT22" s="63">
        <v>70.099999999999994</v>
      </c>
      <c r="AU22" s="63">
        <v>70</v>
      </c>
      <c r="AV22" s="63">
        <v>71.040000000000006</v>
      </c>
      <c r="AW22" s="63">
        <v>69.78</v>
      </c>
      <c r="AX22" s="63">
        <v>69.8</v>
      </c>
      <c r="AY22" s="63">
        <v>69.900000000000006</v>
      </c>
      <c r="AZ22" s="63">
        <v>69.900000000000006</v>
      </c>
      <c r="BA22" s="63">
        <v>70.5</v>
      </c>
      <c r="BB22" s="63">
        <v>69.599999999999994</v>
      </c>
      <c r="BC22" s="63">
        <v>69.900000000000006</v>
      </c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4"/>
    </row>
    <row r="23" spans="1:78" x14ac:dyDescent="0.35">
      <c r="A23" s="65" t="s">
        <v>31</v>
      </c>
      <c r="B23" s="66">
        <f t="shared" si="0"/>
        <v>11352.905660377359</v>
      </c>
      <c r="C23" s="67">
        <v>11152</v>
      </c>
      <c r="D23" s="68">
        <v>11019</v>
      </c>
      <c r="E23" s="68">
        <v>10520</v>
      </c>
      <c r="F23" s="68">
        <v>10897</v>
      </c>
      <c r="G23" s="68">
        <v>10622</v>
      </c>
      <c r="H23" s="68">
        <v>10407</v>
      </c>
      <c r="I23" s="68">
        <v>11544</v>
      </c>
      <c r="J23" s="68">
        <v>10725</v>
      </c>
      <c r="K23" s="68">
        <v>11117</v>
      </c>
      <c r="L23" s="68">
        <v>11655</v>
      </c>
      <c r="M23" s="68">
        <v>11762</v>
      </c>
      <c r="N23" s="68">
        <v>11675</v>
      </c>
      <c r="O23" s="68">
        <v>11111</v>
      </c>
      <c r="P23" s="68">
        <v>11441</v>
      </c>
      <c r="Q23" s="68">
        <v>11743</v>
      </c>
      <c r="R23" s="68">
        <v>11478</v>
      </c>
      <c r="S23" s="68">
        <v>11461</v>
      </c>
      <c r="T23" s="68">
        <v>11610</v>
      </c>
      <c r="U23" s="68">
        <v>11656</v>
      </c>
      <c r="V23" s="68">
        <v>11517</v>
      </c>
      <c r="W23" s="68">
        <v>11260</v>
      </c>
      <c r="X23" s="68">
        <v>11586</v>
      </c>
      <c r="Y23" s="68">
        <v>11706</v>
      </c>
      <c r="Z23" s="68">
        <v>11597</v>
      </c>
      <c r="AA23" s="68">
        <v>11743</v>
      </c>
      <c r="AB23" s="68">
        <v>11404</v>
      </c>
      <c r="AC23" s="68">
        <v>11222</v>
      </c>
      <c r="AD23" s="68">
        <v>10998</v>
      </c>
      <c r="AE23" s="68">
        <v>11645</v>
      </c>
      <c r="AF23" s="68">
        <v>11661</v>
      </c>
      <c r="AG23" s="68">
        <v>11495</v>
      </c>
      <c r="AH23" s="68">
        <v>11530</v>
      </c>
      <c r="AI23" s="68">
        <v>11700</v>
      </c>
      <c r="AJ23" s="68">
        <v>11892</v>
      </c>
      <c r="AK23" s="68">
        <v>11452</v>
      </c>
      <c r="AL23" s="68">
        <v>11619</v>
      </c>
      <c r="AM23" s="68">
        <v>11595</v>
      </c>
      <c r="AN23" s="68">
        <v>11718</v>
      </c>
      <c r="AO23" s="68">
        <v>11631</v>
      </c>
      <c r="AP23" s="68">
        <v>11413</v>
      </c>
      <c r="AQ23" s="68">
        <v>11425</v>
      </c>
      <c r="AR23" s="68">
        <v>11490</v>
      </c>
      <c r="AS23" s="68">
        <v>11486</v>
      </c>
      <c r="AT23" s="68">
        <v>10837</v>
      </c>
      <c r="AU23" s="68">
        <v>10816</v>
      </c>
      <c r="AV23" s="68">
        <v>11526</v>
      </c>
      <c r="AW23" s="68">
        <v>11189</v>
      </c>
      <c r="AX23" s="68">
        <v>11399</v>
      </c>
      <c r="AY23" s="68">
        <v>11289</v>
      </c>
      <c r="AZ23" s="68">
        <v>10914</v>
      </c>
      <c r="BA23" s="68">
        <v>10934</v>
      </c>
      <c r="BB23" s="68">
        <v>11138</v>
      </c>
      <c r="BC23" s="68">
        <v>11282</v>
      </c>
      <c r="BD23" s="68"/>
      <c r="BE23" s="68"/>
      <c r="BF23" s="68"/>
      <c r="BG23" s="68"/>
      <c r="BH23" s="68"/>
      <c r="BI23" s="68"/>
      <c r="BJ23" s="68"/>
      <c r="BK23" s="68"/>
      <c r="BL23" s="68"/>
      <c r="BM23" s="68"/>
      <c r="BN23" s="68"/>
      <c r="BO23" s="68"/>
      <c r="BP23" s="68"/>
      <c r="BQ23" s="68"/>
      <c r="BR23" s="68"/>
      <c r="BS23" s="68"/>
      <c r="BT23" s="68"/>
      <c r="BU23" s="68"/>
      <c r="BV23" s="68"/>
      <c r="BW23" s="68"/>
      <c r="BX23" s="68"/>
      <c r="BY23" s="68"/>
      <c r="BZ23" s="69"/>
    </row>
    <row r="24" spans="1:78" x14ac:dyDescent="0.35">
      <c r="A24" s="70" t="s">
        <v>32</v>
      </c>
      <c r="B24" s="71">
        <f t="shared" si="0"/>
        <v>71.541509433962275</v>
      </c>
      <c r="C24" s="72">
        <v>70</v>
      </c>
      <c r="D24" s="73">
        <v>71.099999999999994</v>
      </c>
      <c r="E24" s="73">
        <v>70</v>
      </c>
      <c r="F24" s="73">
        <v>65.900000000000006</v>
      </c>
      <c r="G24" s="73">
        <v>71.5</v>
      </c>
      <c r="H24" s="73">
        <v>71.3</v>
      </c>
      <c r="I24" s="73">
        <v>70</v>
      </c>
      <c r="J24" s="73">
        <v>71</v>
      </c>
      <c r="K24" s="73">
        <v>66.5</v>
      </c>
      <c r="L24" s="73">
        <v>62.9</v>
      </c>
      <c r="M24" s="73">
        <v>71.86</v>
      </c>
      <c r="N24" s="73">
        <v>72.66</v>
      </c>
      <c r="O24" s="73">
        <v>70.5</v>
      </c>
      <c r="P24" s="73">
        <v>70.599999999999994</v>
      </c>
      <c r="Q24" s="73">
        <v>71.02</v>
      </c>
      <c r="R24" s="73">
        <v>71.099999999999994</v>
      </c>
      <c r="S24" s="73">
        <v>70.8</v>
      </c>
      <c r="T24" s="73">
        <v>71.260000000000005</v>
      </c>
      <c r="U24" s="73">
        <v>71</v>
      </c>
      <c r="V24" s="73">
        <v>71</v>
      </c>
      <c r="W24" s="73">
        <v>71.39</v>
      </c>
      <c r="X24" s="73">
        <v>72.33</v>
      </c>
      <c r="Y24" s="73">
        <v>70.7</v>
      </c>
      <c r="Z24" s="73">
        <v>71.2</v>
      </c>
      <c r="AA24" s="73">
        <v>72.319999999999993</v>
      </c>
      <c r="AB24" s="73">
        <v>75.67</v>
      </c>
      <c r="AC24" s="73">
        <v>71.099999999999994</v>
      </c>
      <c r="AD24" s="73">
        <v>70.2</v>
      </c>
      <c r="AE24" s="73">
        <v>75.400000000000006</v>
      </c>
      <c r="AF24" s="73">
        <v>74.739999999999995</v>
      </c>
      <c r="AG24" s="73">
        <v>72.5</v>
      </c>
      <c r="AH24" s="73">
        <v>74.94</v>
      </c>
      <c r="AI24" s="73">
        <v>72.739999999999995</v>
      </c>
      <c r="AJ24" s="73">
        <v>68.3</v>
      </c>
      <c r="AK24" s="73">
        <v>75.11</v>
      </c>
      <c r="AL24" s="73">
        <v>75.260000000000005</v>
      </c>
      <c r="AM24" s="73">
        <v>71.099999999999994</v>
      </c>
      <c r="AN24" s="73">
        <v>71.599999999999994</v>
      </c>
      <c r="AO24" s="73">
        <v>71.59</v>
      </c>
      <c r="AP24" s="73">
        <v>70.8</v>
      </c>
      <c r="AQ24" s="73">
        <v>71</v>
      </c>
      <c r="AR24" s="73">
        <v>75.09</v>
      </c>
      <c r="AS24" s="73">
        <v>75.930000000000007</v>
      </c>
      <c r="AT24" s="73">
        <v>71</v>
      </c>
      <c r="AU24" s="73">
        <v>71</v>
      </c>
      <c r="AV24" s="73">
        <v>75.319999999999993</v>
      </c>
      <c r="AW24" s="73">
        <v>72.77</v>
      </c>
      <c r="AX24" s="73">
        <v>73.599999999999994</v>
      </c>
      <c r="AY24" s="73">
        <v>70.8</v>
      </c>
      <c r="AZ24" s="73">
        <v>70.3</v>
      </c>
      <c r="BA24" s="73">
        <v>71.2</v>
      </c>
      <c r="BB24" s="73">
        <v>71.599999999999994</v>
      </c>
      <c r="BC24" s="73">
        <v>71.099999999999994</v>
      </c>
      <c r="BD24" s="73"/>
      <c r="BE24" s="73"/>
      <c r="BF24" s="73"/>
      <c r="BG24" s="73"/>
      <c r="BH24" s="73"/>
      <c r="BI24" s="73"/>
      <c r="BJ24" s="73"/>
      <c r="BK24" s="73"/>
      <c r="BL24" s="73"/>
      <c r="BM24" s="73"/>
      <c r="BN24" s="73"/>
      <c r="BO24" s="73"/>
      <c r="BP24" s="73"/>
      <c r="BQ24" s="73"/>
      <c r="BR24" s="73"/>
      <c r="BS24" s="73"/>
      <c r="BT24" s="73"/>
      <c r="BU24" s="73"/>
      <c r="BV24" s="73"/>
      <c r="BW24" s="73"/>
      <c r="BX24" s="73"/>
      <c r="BY24" s="73"/>
      <c r="BZ24" s="64"/>
    </row>
    <row r="25" spans="1:78" ht="15" thickBot="1" x14ac:dyDescent="0.4">
      <c r="A25" s="74" t="s">
        <v>33</v>
      </c>
      <c r="B25" s="75">
        <f t="shared" si="0"/>
        <v>11912.452830188678</v>
      </c>
      <c r="C25" s="76">
        <v>11650</v>
      </c>
      <c r="D25" s="77">
        <v>11730</v>
      </c>
      <c r="E25" s="77">
        <v>10880</v>
      </c>
      <c r="F25" s="77">
        <v>11910</v>
      </c>
      <c r="G25" s="77">
        <v>11900</v>
      </c>
      <c r="H25" s="77">
        <v>12030</v>
      </c>
      <c r="I25" s="77">
        <v>12040</v>
      </c>
      <c r="J25" s="77">
        <v>11240</v>
      </c>
      <c r="K25" s="77">
        <v>11960</v>
      </c>
      <c r="L25" s="77">
        <v>12050</v>
      </c>
      <c r="M25" s="77">
        <v>12110</v>
      </c>
      <c r="N25" s="77">
        <v>12130</v>
      </c>
      <c r="O25" s="77">
        <v>11950</v>
      </c>
      <c r="P25" s="77">
        <v>11990</v>
      </c>
      <c r="Q25" s="77">
        <v>12010</v>
      </c>
      <c r="R25" s="77">
        <v>12040</v>
      </c>
      <c r="S25" s="77">
        <v>12050</v>
      </c>
      <c r="T25" s="77">
        <v>12030</v>
      </c>
      <c r="U25" s="77">
        <v>11870</v>
      </c>
      <c r="V25" s="77">
        <v>11940</v>
      </c>
      <c r="W25" s="77">
        <v>11990</v>
      </c>
      <c r="X25" s="77">
        <v>11960</v>
      </c>
      <c r="Y25" s="77">
        <v>12070</v>
      </c>
      <c r="Z25" s="77">
        <v>12080</v>
      </c>
      <c r="AA25" s="77">
        <v>12100</v>
      </c>
      <c r="AB25" s="77">
        <v>11930</v>
      </c>
      <c r="AC25" s="77">
        <v>11690</v>
      </c>
      <c r="AD25" s="77">
        <v>11580</v>
      </c>
      <c r="AE25" s="77">
        <v>11990</v>
      </c>
      <c r="AF25" s="77">
        <v>12030</v>
      </c>
      <c r="AG25" s="77">
        <v>11770</v>
      </c>
      <c r="AH25" s="77">
        <v>11950</v>
      </c>
      <c r="AI25" s="77">
        <v>11970</v>
      </c>
      <c r="AJ25" s="77">
        <v>12290</v>
      </c>
      <c r="AK25" s="77">
        <v>12070</v>
      </c>
      <c r="AL25" s="77">
        <v>12130</v>
      </c>
      <c r="AM25" s="77">
        <v>11930</v>
      </c>
      <c r="AN25" s="77">
        <v>11930</v>
      </c>
      <c r="AO25" s="77">
        <v>11890</v>
      </c>
      <c r="AP25" s="77">
        <v>11790</v>
      </c>
      <c r="AQ25" s="77">
        <v>12020</v>
      </c>
      <c r="AR25" s="77">
        <v>11830</v>
      </c>
      <c r="AS25" s="77">
        <v>11820</v>
      </c>
      <c r="AT25" s="77">
        <v>12180</v>
      </c>
      <c r="AU25" s="77">
        <v>11620</v>
      </c>
      <c r="AV25" s="77">
        <v>12050</v>
      </c>
      <c r="AW25" s="77">
        <v>12050</v>
      </c>
      <c r="AX25" s="77">
        <v>11880</v>
      </c>
      <c r="AY25" s="77">
        <v>12010</v>
      </c>
      <c r="AZ25" s="77">
        <v>11680</v>
      </c>
      <c r="BA25" s="77">
        <v>11550</v>
      </c>
      <c r="BB25" s="77">
        <v>12000</v>
      </c>
      <c r="BC25" s="77">
        <v>12020</v>
      </c>
      <c r="BD25" s="77"/>
      <c r="BE25" s="77"/>
      <c r="BF25" s="77"/>
      <c r="BG25" s="77"/>
      <c r="BH25" s="77"/>
      <c r="BI25" s="77"/>
      <c r="BJ25" s="77"/>
      <c r="BK25" s="77"/>
      <c r="BL25" s="77"/>
      <c r="BM25" s="77"/>
      <c r="BN25" s="77"/>
      <c r="BO25" s="77"/>
      <c r="BP25" s="77"/>
      <c r="BQ25" s="77"/>
      <c r="BR25" s="77"/>
      <c r="BS25" s="77"/>
      <c r="BT25" s="77"/>
      <c r="BU25" s="77"/>
      <c r="BV25" s="77"/>
      <c r="BW25" s="77"/>
      <c r="BX25" s="77"/>
      <c r="BY25" s="77"/>
      <c r="BZ25" s="64"/>
    </row>
    <row r="26" spans="1:78" x14ac:dyDescent="0.35">
      <c r="A26" s="78" t="s">
        <v>34</v>
      </c>
      <c r="B26" s="79">
        <f t="shared" si="0"/>
        <v>5878.867924528302</v>
      </c>
      <c r="C26" s="80">
        <v>5700</v>
      </c>
      <c r="D26" s="81">
        <v>5630</v>
      </c>
      <c r="E26" s="81">
        <v>5670</v>
      </c>
      <c r="F26" s="81">
        <v>5770</v>
      </c>
      <c r="G26" s="81">
        <v>5640</v>
      </c>
      <c r="H26" s="81">
        <v>5670</v>
      </c>
      <c r="I26" s="81">
        <v>5740</v>
      </c>
      <c r="J26" s="81">
        <v>5920</v>
      </c>
      <c r="K26" s="81">
        <v>5700</v>
      </c>
      <c r="L26" s="81">
        <v>5680</v>
      </c>
      <c r="M26" s="81">
        <v>5970</v>
      </c>
      <c r="N26" s="81">
        <v>5870</v>
      </c>
      <c r="O26" s="81">
        <v>5800</v>
      </c>
      <c r="P26" s="81">
        <v>5860</v>
      </c>
      <c r="Q26" s="81">
        <v>6020</v>
      </c>
      <c r="R26" s="81">
        <v>5960</v>
      </c>
      <c r="S26" s="81">
        <v>5910</v>
      </c>
      <c r="T26" s="81">
        <v>6000</v>
      </c>
      <c r="U26" s="81">
        <v>5870</v>
      </c>
      <c r="V26" s="81">
        <v>5920</v>
      </c>
      <c r="W26" s="81">
        <v>5910</v>
      </c>
      <c r="X26" s="81">
        <v>5940</v>
      </c>
      <c r="Y26" s="81">
        <v>5900</v>
      </c>
      <c r="Z26" s="81">
        <v>5780</v>
      </c>
      <c r="AA26" s="81">
        <v>5950</v>
      </c>
      <c r="AB26" s="81">
        <v>5950</v>
      </c>
      <c r="AC26" s="81">
        <v>6010</v>
      </c>
      <c r="AD26" s="81">
        <v>5950</v>
      </c>
      <c r="AE26" s="81">
        <v>5860</v>
      </c>
      <c r="AF26" s="81">
        <v>5880</v>
      </c>
      <c r="AG26" s="81">
        <v>5830</v>
      </c>
      <c r="AH26" s="81">
        <v>5920</v>
      </c>
      <c r="AI26" s="81">
        <v>5910</v>
      </c>
      <c r="AJ26" s="81">
        <v>5970</v>
      </c>
      <c r="AK26" s="81">
        <v>6010</v>
      </c>
      <c r="AL26" s="81">
        <v>5790</v>
      </c>
      <c r="AM26" s="81">
        <v>5880</v>
      </c>
      <c r="AN26" s="81">
        <v>5970</v>
      </c>
      <c r="AO26" s="81">
        <v>5940</v>
      </c>
      <c r="AP26" s="81">
        <v>5830</v>
      </c>
      <c r="AQ26" s="81">
        <v>6000</v>
      </c>
      <c r="AR26" s="81">
        <v>5900</v>
      </c>
      <c r="AS26" s="81">
        <v>6020</v>
      </c>
      <c r="AT26" s="81">
        <v>6110</v>
      </c>
      <c r="AU26" s="81">
        <v>5820</v>
      </c>
      <c r="AV26" s="81">
        <v>5860</v>
      </c>
      <c r="AW26" s="81">
        <v>5920</v>
      </c>
      <c r="AX26" s="81">
        <v>5960</v>
      </c>
      <c r="AY26" s="81">
        <v>5850</v>
      </c>
      <c r="AZ26" s="81">
        <v>5770</v>
      </c>
      <c r="BA26" s="81">
        <v>5650</v>
      </c>
      <c r="BB26" s="81">
        <v>6440</v>
      </c>
      <c r="BC26" s="81">
        <v>5800</v>
      </c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64"/>
    </row>
    <row r="27" spans="1:78" x14ac:dyDescent="0.35">
      <c r="A27" s="82" t="s">
        <v>35</v>
      </c>
      <c r="B27" s="83">
        <f t="shared" si="0"/>
        <v>0.90937147550185282</v>
      </c>
      <c r="C27" s="84">
        <v>0.89257717044410412</v>
      </c>
      <c r="D27" s="84">
        <v>0.8867523968095391</v>
      </c>
      <c r="E27" s="84">
        <v>0.89004870515713141</v>
      </c>
      <c r="F27" s="84">
        <v>0.8982566334515556</v>
      </c>
      <c r="G27" s="84">
        <v>0.88777783287119127</v>
      </c>
      <c r="H27" s="84">
        <v>0.8903065643231477</v>
      </c>
      <c r="I27" s="84">
        <v>0.89602499791145873</v>
      </c>
      <c r="J27" s="84">
        <v>0.91065547038231964</v>
      </c>
      <c r="K27" s="84">
        <v>0.89324465977076439</v>
      </c>
      <c r="L27" s="84">
        <v>0.89188951511872083</v>
      </c>
      <c r="M27" s="84">
        <v>0.91515490171160996</v>
      </c>
      <c r="N27" s="84">
        <v>0.90708127019215246</v>
      </c>
      <c r="O27" s="84">
        <v>0.90165667673667194</v>
      </c>
      <c r="P27" s="84">
        <v>0.90684756495837038</v>
      </c>
      <c r="Q27" s="84">
        <v>0.92005654419281779</v>
      </c>
      <c r="R27" s="84">
        <v>0.91512578284004531</v>
      </c>
      <c r="S27" s="84">
        <v>0.91092789547291841</v>
      </c>
      <c r="T27" s="84">
        <v>0.91832122501010738</v>
      </c>
      <c r="U27" s="84">
        <v>0.90788615216336432</v>
      </c>
      <c r="V27" s="84">
        <v>0.91212350129449848</v>
      </c>
      <c r="W27" s="84">
        <v>0.91150794662080126</v>
      </c>
      <c r="X27" s="84">
        <v>0.91393611335491698</v>
      </c>
      <c r="Y27" s="84">
        <v>0.91096927168772257</v>
      </c>
      <c r="Z27" s="84">
        <v>0.90151660749534068</v>
      </c>
      <c r="AA27" s="84">
        <v>0.91552634766923402</v>
      </c>
      <c r="AB27" s="84">
        <v>0.91556545641316689</v>
      </c>
      <c r="AC27" s="84">
        <v>0.92039055520875568</v>
      </c>
      <c r="AD27" s="84">
        <v>0.91552634766923402</v>
      </c>
      <c r="AE27" s="84">
        <v>0.90834560664936748</v>
      </c>
      <c r="AF27" s="84">
        <v>0.91035436050965757</v>
      </c>
      <c r="AG27" s="84">
        <v>0.90637338571428561</v>
      </c>
      <c r="AH27" s="84">
        <v>0.91379561863278391</v>
      </c>
      <c r="AI27" s="84">
        <v>0.91275010868295048</v>
      </c>
      <c r="AJ27" s="84">
        <v>0.91695164457050227</v>
      </c>
      <c r="AK27" s="84">
        <v>0.92015367094238709</v>
      </c>
      <c r="AL27" s="84">
        <v>0.90247903191213419</v>
      </c>
      <c r="AM27" s="84">
        <v>0.90989008751418843</v>
      </c>
      <c r="AN27" s="84">
        <v>0.91750114121369464</v>
      </c>
      <c r="AO27" s="84">
        <v>0.91502816789973229</v>
      </c>
      <c r="AP27" s="84">
        <v>0.9061046666423298</v>
      </c>
      <c r="AQ27" s="84">
        <v>0.91993502081778356</v>
      </c>
      <c r="AR27" s="84">
        <v>0.91193861797451914</v>
      </c>
      <c r="AS27" s="84">
        <v>0.92223213598992604</v>
      </c>
      <c r="AT27" s="84">
        <v>0.93002825507847431</v>
      </c>
      <c r="AU27" s="84">
        <v>0.90652225575437173</v>
      </c>
      <c r="AV27" s="84">
        <v>0.91004712083333328</v>
      </c>
      <c r="AW27" s="84">
        <v>0.91544015906313647</v>
      </c>
      <c r="AX27" s="84">
        <v>0.91818514166666665</v>
      </c>
      <c r="AY27" s="84">
        <v>0.90934957619047607</v>
      </c>
      <c r="AZ27" s="84">
        <v>0.90260829046456759</v>
      </c>
      <c r="BA27" s="84">
        <v>0.89239668432902541</v>
      </c>
      <c r="BB27" s="84">
        <v>0.95622602657569855</v>
      </c>
      <c r="BC27" s="84">
        <v>0.90439731904452392</v>
      </c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84"/>
      <c r="BS27" s="84"/>
      <c r="BT27" s="84"/>
      <c r="BU27" s="84"/>
      <c r="BV27" s="84"/>
      <c r="BW27" s="84"/>
      <c r="BX27" s="84"/>
      <c r="BY27" s="84"/>
      <c r="BZ27" s="64"/>
    </row>
    <row r="28" spans="1:78" x14ac:dyDescent="0.35">
      <c r="A28" s="85" t="s">
        <v>36</v>
      </c>
      <c r="B28" s="86">
        <f t="shared" si="0"/>
        <v>55</v>
      </c>
      <c r="C28" s="87">
        <v>55</v>
      </c>
      <c r="D28" s="88">
        <v>55</v>
      </c>
      <c r="E28" s="88">
        <v>55</v>
      </c>
      <c r="F28" s="88">
        <v>55</v>
      </c>
      <c r="G28" s="88">
        <v>55</v>
      </c>
      <c r="H28" s="88">
        <v>55</v>
      </c>
      <c r="I28" s="88">
        <v>55</v>
      </c>
      <c r="J28" s="88">
        <v>55</v>
      </c>
      <c r="K28" s="88">
        <v>55</v>
      </c>
      <c r="L28" s="88">
        <v>55</v>
      </c>
      <c r="M28" s="88">
        <v>55</v>
      </c>
      <c r="N28" s="88">
        <v>55</v>
      </c>
      <c r="O28" s="88">
        <v>55</v>
      </c>
      <c r="P28" s="88">
        <v>55</v>
      </c>
      <c r="Q28" s="88">
        <v>55</v>
      </c>
      <c r="R28" s="88">
        <v>55</v>
      </c>
      <c r="S28" s="88">
        <v>55</v>
      </c>
      <c r="T28" s="88">
        <v>55</v>
      </c>
      <c r="U28" s="88">
        <v>55</v>
      </c>
      <c r="V28" s="88">
        <v>55</v>
      </c>
      <c r="W28" s="88">
        <v>55</v>
      </c>
      <c r="X28" s="88">
        <v>55</v>
      </c>
      <c r="Y28" s="88">
        <v>55</v>
      </c>
      <c r="Z28" s="88">
        <v>55</v>
      </c>
      <c r="AA28" s="88">
        <v>55</v>
      </c>
      <c r="AB28" s="88">
        <v>55</v>
      </c>
      <c r="AC28" s="88">
        <v>55</v>
      </c>
      <c r="AD28" s="88">
        <v>55</v>
      </c>
      <c r="AE28" s="88">
        <v>55</v>
      </c>
      <c r="AF28" s="88">
        <v>55</v>
      </c>
      <c r="AG28" s="88">
        <v>55</v>
      </c>
      <c r="AH28" s="88">
        <v>55</v>
      </c>
      <c r="AI28" s="88">
        <v>55</v>
      </c>
      <c r="AJ28" s="88">
        <v>55</v>
      </c>
      <c r="AK28" s="88">
        <v>55</v>
      </c>
      <c r="AL28" s="88">
        <v>55</v>
      </c>
      <c r="AM28" s="88">
        <v>55</v>
      </c>
      <c r="AN28" s="88">
        <v>55</v>
      </c>
      <c r="AO28" s="88">
        <v>55</v>
      </c>
      <c r="AP28" s="88">
        <v>55</v>
      </c>
      <c r="AQ28" s="88">
        <v>55</v>
      </c>
      <c r="AR28" s="88">
        <v>55</v>
      </c>
      <c r="AS28" s="88">
        <v>55</v>
      </c>
      <c r="AT28" s="88">
        <v>55</v>
      </c>
      <c r="AU28" s="88">
        <v>55</v>
      </c>
      <c r="AV28" s="88">
        <v>55</v>
      </c>
      <c r="AW28" s="88">
        <v>55</v>
      </c>
      <c r="AX28" s="88">
        <v>55</v>
      </c>
      <c r="AY28" s="88">
        <v>55</v>
      </c>
      <c r="AZ28" s="88">
        <v>55</v>
      </c>
      <c r="BA28" s="88">
        <v>55</v>
      </c>
      <c r="BB28" s="88">
        <v>55</v>
      </c>
      <c r="BC28" s="88">
        <v>55</v>
      </c>
      <c r="BD28" s="88"/>
      <c r="BE28" s="88"/>
      <c r="BF28" s="88"/>
      <c r="BG28" s="88"/>
      <c r="BH28" s="88"/>
      <c r="BI28" s="88"/>
      <c r="BJ28" s="88"/>
      <c r="BK28" s="88"/>
      <c r="BL28" s="88"/>
      <c r="BM28" s="88"/>
      <c r="BN28" s="88"/>
      <c r="BO28" s="88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64"/>
    </row>
    <row r="29" spans="1:78" x14ac:dyDescent="0.35">
      <c r="A29" s="89" t="s">
        <v>37</v>
      </c>
      <c r="B29" s="90">
        <f t="shared" si="0"/>
        <v>19127.129083425829</v>
      </c>
      <c r="C29" s="91">
        <v>16673.333333333336</v>
      </c>
      <c r="D29" s="92">
        <v>18824.125000000004</v>
      </c>
      <c r="E29" s="92">
        <v>17997.450980392157</v>
      </c>
      <c r="F29" s="92">
        <v>16772.833333333332</v>
      </c>
      <c r="G29" s="92">
        <v>18093.848039215689</v>
      </c>
      <c r="H29" s="92">
        <v>17625.580882352941</v>
      </c>
      <c r="I29" s="92">
        <v>19409.764705882353</v>
      </c>
      <c r="J29" s="92">
        <v>18400.735294117647</v>
      </c>
      <c r="K29" s="92">
        <v>17656.411764705885</v>
      </c>
      <c r="L29" s="92">
        <v>17311.102941176472</v>
      </c>
      <c r="M29" s="92">
        <v>20018.462745098041</v>
      </c>
      <c r="N29" s="92">
        <v>19956.237745098038</v>
      </c>
      <c r="O29" s="92">
        <v>17783.046568627451</v>
      </c>
      <c r="P29" s="92">
        <v>19312.295833333337</v>
      </c>
      <c r="Q29" s="92">
        <v>20233.649509803923</v>
      </c>
      <c r="R29" s="92">
        <v>19833.308823529413</v>
      </c>
      <c r="S29" s="92">
        <v>19691.571078431374</v>
      </c>
      <c r="T29" s="92">
        <v>20007.330882352941</v>
      </c>
      <c r="U29" s="92">
        <v>19826.627450980395</v>
      </c>
      <c r="V29" s="92">
        <v>19759.558823529413</v>
      </c>
      <c r="W29" s="92">
        <v>18863.259803921566</v>
      </c>
      <c r="X29" s="92">
        <v>20130.675000000003</v>
      </c>
      <c r="Y29" s="92">
        <v>19825.602941176472</v>
      </c>
      <c r="Z29" s="92">
        <v>20010.50980392157</v>
      </c>
      <c r="AA29" s="92">
        <v>20167.451225490197</v>
      </c>
      <c r="AB29" s="92">
        <v>19118.470588235297</v>
      </c>
      <c r="AC29" s="92">
        <v>19143.411764705881</v>
      </c>
      <c r="AD29" s="92">
        <v>18734.338235294119</v>
      </c>
      <c r="AE29" s="92">
        <v>20019.125000000004</v>
      </c>
      <c r="AF29" s="92">
        <v>19963.746323529413</v>
      </c>
      <c r="AG29" s="92">
        <v>19693.639705882357</v>
      </c>
      <c r="AH29" s="92">
        <v>19083.845588235297</v>
      </c>
      <c r="AI29" s="92">
        <v>20039.117647058825</v>
      </c>
      <c r="AJ29" s="92">
        <v>14952.441176470589</v>
      </c>
      <c r="AK29" s="92">
        <v>19566.640196078431</v>
      </c>
      <c r="AL29" s="92">
        <v>19757.995588235295</v>
      </c>
      <c r="AM29" s="92">
        <v>19893.382352941178</v>
      </c>
      <c r="AN29" s="92">
        <v>20104.411764705885</v>
      </c>
      <c r="AO29" s="92">
        <v>19966.550000000003</v>
      </c>
      <c r="AP29" s="92">
        <v>19161.531862745098</v>
      </c>
      <c r="AQ29" s="92">
        <v>19517.708333333336</v>
      </c>
      <c r="AR29" s="92">
        <v>19975.139705882357</v>
      </c>
      <c r="AS29" s="92">
        <v>19717.633333333335</v>
      </c>
      <c r="AT29" s="92">
        <v>18619.453431372549</v>
      </c>
      <c r="AU29" s="92">
        <v>18556.862745098042</v>
      </c>
      <c r="AV29" s="92">
        <v>20068.800000000003</v>
      </c>
      <c r="AW29" s="92">
        <v>19136.480882352942</v>
      </c>
      <c r="AX29" s="92">
        <v>19501.230392156864</v>
      </c>
      <c r="AY29" s="92">
        <v>19340.713235294123</v>
      </c>
      <c r="AZ29" s="92">
        <v>18698.250000000004</v>
      </c>
      <c r="BA29" s="92">
        <v>18893.308823529413</v>
      </c>
      <c r="BB29" s="92">
        <v>19000.117647058822</v>
      </c>
      <c r="BC29" s="92">
        <v>19328.720588235297</v>
      </c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64"/>
    </row>
    <row r="30" spans="1:78" ht="15" thickBot="1" x14ac:dyDescent="0.4">
      <c r="A30" s="93" t="s">
        <v>38</v>
      </c>
      <c r="B30" s="94" t="str">
        <f t="shared" si="0"/>
        <v/>
      </c>
      <c r="C30" s="95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7"/>
      <c r="BB30" s="97"/>
      <c r="BC30" s="97"/>
      <c r="BD30" s="97"/>
      <c r="BE30" s="97"/>
      <c r="BF30" s="97"/>
      <c r="BG30" s="97"/>
      <c r="BH30" s="97"/>
      <c r="BI30" s="97"/>
      <c r="BJ30" s="97"/>
      <c r="BK30" s="97"/>
      <c r="BL30" s="97"/>
      <c r="BM30" s="97"/>
      <c r="BN30" s="97"/>
      <c r="BO30" s="97"/>
      <c r="BP30" s="97"/>
      <c r="BQ30" s="97"/>
      <c r="BR30" s="97"/>
      <c r="BS30" s="97"/>
      <c r="BT30" s="97"/>
      <c r="BU30" s="97"/>
      <c r="BV30" s="97"/>
      <c r="BW30" s="97"/>
      <c r="BX30" s="97"/>
      <c r="BY30" s="97"/>
      <c r="BZ30" s="98"/>
    </row>
    <row r="31" spans="1:78" x14ac:dyDescent="0.35">
      <c r="A31" s="104" t="str">
        <f>IF('[11]Set Up'!E41=0,"",'[11]Set Up'!E41&amp;", bbl")</f>
        <v>15% HCl Acid, bbl</v>
      </c>
      <c r="B31" s="100">
        <f>IF(BZ31=0,"",AVERAGE(C31:BY31))</f>
        <v>21.106469002695416</v>
      </c>
      <c r="C31" s="101">
        <v>29.023809523809526</v>
      </c>
      <c r="D31" s="102">
        <v>29.976190476190474</v>
      </c>
      <c r="E31" s="102">
        <v>30.214285714285715</v>
      </c>
      <c r="F31" s="102">
        <v>29.952380952380953</v>
      </c>
      <c r="G31" s="102">
        <v>29.023809523809526</v>
      </c>
      <c r="H31" s="102">
        <v>29.761904761904763</v>
      </c>
      <c r="I31" s="102">
        <v>27.904761904761905</v>
      </c>
      <c r="J31" s="102">
        <v>30.976190476190474</v>
      </c>
      <c r="K31" s="102">
        <v>29.142857142857142</v>
      </c>
      <c r="L31" s="102">
        <v>30.023809523809526</v>
      </c>
      <c r="M31" s="102">
        <v>30.214285714285715</v>
      </c>
      <c r="N31" s="102">
        <v>29.904761904761905</v>
      </c>
      <c r="O31" s="102">
        <v>28.833333333333332</v>
      </c>
      <c r="P31" s="102">
        <v>30.476190476190474</v>
      </c>
      <c r="Q31" s="102">
        <v>29.785714285714285</v>
      </c>
      <c r="R31" s="102">
        <v>30.595238095238095</v>
      </c>
      <c r="S31" s="102">
        <v>30.785714285714285</v>
      </c>
      <c r="T31" s="102">
        <v>30.976190476190474</v>
      </c>
      <c r="U31" s="102">
        <v>29.142857142857142</v>
      </c>
      <c r="V31" s="102">
        <v>30.023809523809526</v>
      </c>
      <c r="W31" s="102">
        <v>30.214285714285715</v>
      </c>
      <c r="X31" s="102">
        <v>22.5</v>
      </c>
      <c r="Y31" s="102">
        <v>14.69047619047619</v>
      </c>
      <c r="Z31" s="102">
        <v>21.547619047619047</v>
      </c>
      <c r="AA31" s="102">
        <v>17.452380952380953</v>
      </c>
      <c r="AB31" s="102">
        <v>16.333333333333332</v>
      </c>
      <c r="AC31" s="102">
        <v>15.333333333333334</v>
      </c>
      <c r="AD31" s="102">
        <v>13.952380952380953</v>
      </c>
      <c r="AE31" s="102">
        <v>16.595238095238095</v>
      </c>
      <c r="AF31" s="102">
        <v>15.261904761904763</v>
      </c>
      <c r="AG31" s="102">
        <v>16.38095238095238</v>
      </c>
      <c r="AH31" s="102">
        <v>13.69047619047619</v>
      </c>
      <c r="AI31" s="102">
        <v>14.19047619047619</v>
      </c>
      <c r="AJ31" s="102">
        <v>14.523809523809524</v>
      </c>
      <c r="AK31" s="102">
        <v>14.761904761904763</v>
      </c>
      <c r="AL31" s="102">
        <v>15.023809523809524</v>
      </c>
      <c r="AM31" s="102">
        <v>15.071428571428571</v>
      </c>
      <c r="AN31" s="102">
        <v>15.142857142857142</v>
      </c>
      <c r="AO31" s="102">
        <v>15.071428571428571</v>
      </c>
      <c r="AP31" s="102">
        <v>15.023809523809524</v>
      </c>
      <c r="AQ31" s="102">
        <v>14.761904761904763</v>
      </c>
      <c r="AR31" s="102">
        <v>14.5</v>
      </c>
      <c r="AS31" s="102">
        <v>14.19047619047619</v>
      </c>
      <c r="AT31" s="102">
        <v>17.023809523809526</v>
      </c>
      <c r="AU31" s="102">
        <v>13</v>
      </c>
      <c r="AV31" s="102">
        <v>15.333333333333334</v>
      </c>
      <c r="AW31" s="102">
        <v>14.952380952380953</v>
      </c>
      <c r="AX31" s="102">
        <v>14.261904761904763</v>
      </c>
      <c r="AY31" s="102">
        <v>15.523809523809524</v>
      </c>
      <c r="AZ31" s="102">
        <v>13.19047619047619</v>
      </c>
      <c r="BA31" s="101">
        <v>13.69047619047619</v>
      </c>
      <c r="BB31" s="101">
        <v>14.19047619047619</v>
      </c>
      <c r="BC31" s="101">
        <v>14.523809523809524</v>
      </c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101"/>
      <c r="BT31" s="101"/>
      <c r="BU31" s="101"/>
      <c r="BV31" s="101"/>
      <c r="BW31" s="101"/>
      <c r="BX31" s="101"/>
      <c r="BY31" s="101"/>
      <c r="BZ31" s="103">
        <f t="shared" ref="BZ31:BZ57" si="1">SUM(C31:BY31)</f>
        <v>1118.6428571428571</v>
      </c>
    </row>
    <row r="32" spans="1:78" x14ac:dyDescent="0.35">
      <c r="A32" s="99" t="str">
        <f>IF('[11]Set Up'!E42=0,"",'[11]Set Up'!E42&amp;", bbl")</f>
        <v>Slickwater, bbl</v>
      </c>
      <c r="B32" s="105">
        <f>IF(BZ32=0,"",AVERAGE(C32:BY32))</f>
        <v>10742.028580413298</v>
      </c>
      <c r="C32" s="106">
        <v>12203.3</v>
      </c>
      <c r="D32" s="107">
        <v>10771.3</v>
      </c>
      <c r="E32" s="107">
        <v>10797.6</v>
      </c>
      <c r="F32" s="107">
        <v>10632</v>
      </c>
      <c r="G32" s="107">
        <v>10708.699999999999</v>
      </c>
      <c r="H32" s="107">
        <v>11007.4</v>
      </c>
      <c r="I32" s="107">
        <v>10685.100000000002</v>
      </c>
      <c r="J32" s="107">
        <v>11701.560000000001</v>
      </c>
      <c r="K32" s="107">
        <v>10696.899999999998</v>
      </c>
      <c r="L32" s="107">
        <v>10727.199999999999</v>
      </c>
      <c r="M32" s="107">
        <v>10607.485714285716</v>
      </c>
      <c r="N32" s="107">
        <v>10746.795238095237</v>
      </c>
      <c r="O32" s="107">
        <v>10640.2</v>
      </c>
      <c r="P32" s="107">
        <v>10617.099999999999</v>
      </c>
      <c r="Q32" s="107">
        <v>10580.214285714286</v>
      </c>
      <c r="R32" s="107">
        <v>10732.7</v>
      </c>
      <c r="S32" s="107">
        <v>10772.900000000001</v>
      </c>
      <c r="T32" s="107">
        <v>10639.523809523811</v>
      </c>
      <c r="U32" s="107">
        <v>10739.057142857142</v>
      </c>
      <c r="V32" s="107">
        <v>10713.4</v>
      </c>
      <c r="W32" s="107">
        <v>10870.485714285713</v>
      </c>
      <c r="X32" s="107">
        <v>10731.8</v>
      </c>
      <c r="Y32" s="107">
        <v>11232.709523809524</v>
      </c>
      <c r="Z32" s="107">
        <v>10647.900000000001</v>
      </c>
      <c r="AA32" s="107">
        <v>10691.947619047618</v>
      </c>
      <c r="AB32" s="107">
        <v>10996.466666666667</v>
      </c>
      <c r="AC32" s="107">
        <v>10510.000000000002</v>
      </c>
      <c r="AD32" s="107">
        <v>10602.9</v>
      </c>
      <c r="AE32" s="107">
        <v>10510.704761904763</v>
      </c>
      <c r="AF32" s="107">
        <v>10671.538095238095</v>
      </c>
      <c r="AG32" s="107">
        <v>10575.550000000001</v>
      </c>
      <c r="AH32" s="107">
        <v>11029.509523809524</v>
      </c>
      <c r="AI32" s="107">
        <v>10501.209523809524</v>
      </c>
      <c r="AJ32" s="107">
        <v>11131.799999999997</v>
      </c>
      <c r="AK32" s="107">
        <v>10736.038095238098</v>
      </c>
      <c r="AL32" s="107">
        <v>10556.076190476191</v>
      </c>
      <c r="AM32" s="107">
        <v>10600.700000000003</v>
      </c>
      <c r="AN32" s="107">
        <v>10586.4</v>
      </c>
      <c r="AO32" s="107">
        <v>10633.528571428571</v>
      </c>
      <c r="AP32" s="107">
        <v>10668.676190476192</v>
      </c>
      <c r="AQ32" s="107">
        <v>10541.2</v>
      </c>
      <c r="AR32" s="107">
        <v>10639.300000000003</v>
      </c>
      <c r="AS32" s="107">
        <v>10715.209523809524</v>
      </c>
      <c r="AT32" s="107">
        <v>10931.076190476191</v>
      </c>
      <c r="AU32" s="107">
        <v>10513.5</v>
      </c>
      <c r="AV32" s="107">
        <v>10612.566666666666</v>
      </c>
      <c r="AW32" s="107">
        <v>11227.94761904762</v>
      </c>
      <c r="AX32" s="107">
        <v>10564.238095238094</v>
      </c>
      <c r="AY32" s="107">
        <v>10524.1</v>
      </c>
      <c r="AZ32" s="107">
        <v>10489.9</v>
      </c>
      <c r="BA32" s="106">
        <v>10672.099999999999</v>
      </c>
      <c r="BB32" s="106">
        <v>10421.199999999999</v>
      </c>
      <c r="BC32" s="106">
        <v>10268.800000000001</v>
      </c>
      <c r="BD32" s="106"/>
      <c r="BE32" s="106"/>
      <c r="BF32" s="106"/>
      <c r="BG32" s="106"/>
      <c r="BH32" s="106"/>
      <c r="BI32" s="106"/>
      <c r="BJ32" s="106"/>
      <c r="BK32" s="106"/>
      <c r="BL32" s="106"/>
      <c r="BM32" s="106"/>
      <c r="BN32" s="106"/>
      <c r="BO32" s="106"/>
      <c r="BP32" s="106"/>
      <c r="BQ32" s="106"/>
      <c r="BR32" s="106"/>
      <c r="BS32" s="106"/>
      <c r="BT32" s="106"/>
      <c r="BU32" s="106"/>
      <c r="BV32" s="106"/>
      <c r="BW32" s="106"/>
      <c r="BX32" s="106"/>
      <c r="BY32" s="106"/>
      <c r="BZ32" s="108">
        <f t="shared" si="1"/>
        <v>569327.51476190484</v>
      </c>
    </row>
    <row r="33" spans="1:78" x14ac:dyDescent="0.35">
      <c r="A33" s="104" t="str">
        <f>IF('[11]Set Up'!E43=0,"",'[11]Set Up'!E43&amp;", bbl")</f>
        <v>Pump Down, bbl</v>
      </c>
      <c r="B33" s="109">
        <f>IF(BZ33=0,"",AVERAGE(C33:BY33))</f>
        <v>139.8377358490566</v>
      </c>
      <c r="C33" s="110">
        <v>314</v>
      </c>
      <c r="D33" s="111">
        <v>308</v>
      </c>
      <c r="E33" s="111">
        <v>299</v>
      </c>
      <c r="F33" s="111">
        <v>268</v>
      </c>
      <c r="G33" s="111">
        <v>276</v>
      </c>
      <c r="H33" s="111">
        <v>199</v>
      </c>
      <c r="I33" s="111">
        <v>123</v>
      </c>
      <c r="J33" s="111">
        <v>229</v>
      </c>
      <c r="K33" s="111">
        <v>180</v>
      </c>
      <c r="L33" s="111">
        <v>202</v>
      </c>
      <c r="M33" s="111">
        <v>206</v>
      </c>
      <c r="N33" s="111">
        <v>190</v>
      </c>
      <c r="O33" s="111">
        <v>222</v>
      </c>
      <c r="P33" s="111">
        <v>175</v>
      </c>
      <c r="Q33" s="111">
        <v>162</v>
      </c>
      <c r="R33" s="111">
        <v>187</v>
      </c>
      <c r="S33" s="111">
        <v>174</v>
      </c>
      <c r="T33" s="111">
        <v>204</v>
      </c>
      <c r="U33" s="111">
        <v>212</v>
      </c>
      <c r="V33" s="111">
        <v>192</v>
      </c>
      <c r="W33" s="111">
        <v>180</v>
      </c>
      <c r="X33" s="111">
        <v>182</v>
      </c>
      <c r="Y33" s="111">
        <v>150</v>
      </c>
      <c r="Z33" s="111">
        <v>181</v>
      </c>
      <c r="AA33" s="111">
        <v>162</v>
      </c>
      <c r="AB33" s="111">
        <v>130</v>
      </c>
      <c r="AC33" s="111">
        <v>137</v>
      </c>
      <c r="AD33" s="111">
        <v>135</v>
      </c>
      <c r="AE33" s="111">
        <v>150</v>
      </c>
      <c r="AF33" s="111">
        <v>122</v>
      </c>
      <c r="AG33" s="111">
        <v>119</v>
      </c>
      <c r="AH33" s="111">
        <v>117</v>
      </c>
      <c r="AI33" s="111">
        <v>111</v>
      </c>
      <c r="AJ33" s="111">
        <v>144</v>
      </c>
      <c r="AK33" s="111">
        <v>90</v>
      </c>
      <c r="AL33" s="111">
        <v>95</v>
      </c>
      <c r="AM33" s="111">
        <v>88</v>
      </c>
      <c r="AN33" s="111">
        <v>78.400000000000006</v>
      </c>
      <c r="AO33" s="111">
        <v>87</v>
      </c>
      <c r="AP33" s="111">
        <v>75</v>
      </c>
      <c r="AQ33" s="111">
        <v>87</v>
      </c>
      <c r="AR33" s="111">
        <v>62</v>
      </c>
      <c r="AS33" s="111">
        <v>58</v>
      </c>
      <c r="AT33" s="111">
        <v>47</v>
      </c>
      <c r="AU33" s="111">
        <v>44</v>
      </c>
      <c r="AV33" s="111">
        <v>44</v>
      </c>
      <c r="AW33" s="111">
        <v>37</v>
      </c>
      <c r="AX33" s="111">
        <v>32</v>
      </c>
      <c r="AY33" s="111">
        <v>27</v>
      </c>
      <c r="AZ33" s="111">
        <v>21</v>
      </c>
      <c r="BA33" s="111">
        <v>18</v>
      </c>
      <c r="BB33" s="111">
        <v>79</v>
      </c>
      <c r="BC33" s="111">
        <v>0</v>
      </c>
      <c r="BD33" s="111"/>
      <c r="BE33" s="111"/>
      <c r="BF33" s="111"/>
      <c r="BG33" s="111"/>
      <c r="BH33" s="111"/>
      <c r="BI33" s="111"/>
      <c r="BJ33" s="111"/>
      <c r="BK33" s="111"/>
      <c r="BL33" s="111"/>
      <c r="BM33" s="111"/>
      <c r="BN33" s="111"/>
      <c r="BO33" s="111"/>
      <c r="BP33" s="111"/>
      <c r="BQ33" s="111"/>
      <c r="BR33" s="111"/>
      <c r="BS33" s="111"/>
      <c r="BT33" s="111"/>
      <c r="BU33" s="111"/>
      <c r="BV33" s="111"/>
      <c r="BW33" s="111"/>
      <c r="BX33" s="111"/>
      <c r="BY33" s="111"/>
      <c r="BZ33" s="109">
        <f t="shared" si="1"/>
        <v>7411.4</v>
      </c>
    </row>
    <row r="34" spans="1:78" x14ac:dyDescent="0.35">
      <c r="B34" s="105" t="str">
        <f>IF(BZ34=0,"",AVERAGE(C34:BY34))</f>
        <v/>
      </c>
      <c r="C34" s="106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  <c r="AI34" s="107">
        <v>0</v>
      </c>
      <c r="AJ34" s="107">
        <v>0</v>
      </c>
      <c r="AK34" s="107">
        <v>0</v>
      </c>
      <c r="AL34" s="107">
        <v>0</v>
      </c>
      <c r="AM34" s="107">
        <v>0</v>
      </c>
      <c r="AN34" s="107">
        <v>0</v>
      </c>
      <c r="AO34" s="107">
        <v>0</v>
      </c>
      <c r="AP34" s="107">
        <v>0</v>
      </c>
      <c r="AQ34" s="107">
        <v>0</v>
      </c>
      <c r="AR34" s="107">
        <v>0</v>
      </c>
      <c r="AS34" s="107">
        <v>0</v>
      </c>
      <c r="AT34" s="107">
        <v>0</v>
      </c>
      <c r="AU34" s="107">
        <v>0</v>
      </c>
      <c r="AV34" s="107">
        <v>0</v>
      </c>
      <c r="AW34" s="107">
        <v>0</v>
      </c>
      <c r="AX34" s="107">
        <v>0</v>
      </c>
      <c r="AY34" s="107">
        <v>0</v>
      </c>
      <c r="AZ34" s="107">
        <v>0</v>
      </c>
      <c r="BA34" s="107">
        <v>0</v>
      </c>
      <c r="BB34" s="107">
        <v>0</v>
      </c>
      <c r="BC34" s="107">
        <v>0</v>
      </c>
      <c r="BD34" s="107"/>
      <c r="BE34" s="107"/>
      <c r="BF34" s="107"/>
      <c r="BG34" s="107"/>
      <c r="BH34" s="107"/>
      <c r="BI34" s="107"/>
      <c r="BJ34" s="107"/>
      <c r="BK34" s="107"/>
      <c r="BL34" s="107"/>
      <c r="BM34" s="107"/>
      <c r="BN34" s="107"/>
      <c r="BO34" s="107"/>
      <c r="BP34" s="107"/>
      <c r="BQ34" s="107"/>
      <c r="BR34" s="107"/>
      <c r="BS34" s="107"/>
      <c r="BT34" s="107"/>
      <c r="BU34" s="107"/>
      <c r="BV34" s="107"/>
      <c r="BW34" s="107"/>
      <c r="BX34" s="107"/>
      <c r="BY34" s="107"/>
      <c r="BZ34" s="105">
        <f t="shared" si="1"/>
        <v>0</v>
      </c>
    </row>
    <row r="35" spans="1:78" ht="15" thickBot="1" x14ac:dyDescent="0.4">
      <c r="A35" s="112" t="s">
        <v>39</v>
      </c>
      <c r="B35" s="113">
        <f>IF(BZ35=0,"",AVERAGE(C35:BY35))</f>
        <v>10902.972785265049</v>
      </c>
      <c r="C35" s="114">
        <v>12546.323809523808</v>
      </c>
      <c r="D35" s="115">
        <v>11109.27619047619</v>
      </c>
      <c r="E35" s="115">
        <v>11126.814285714287</v>
      </c>
      <c r="F35" s="115">
        <v>10929.952380952382</v>
      </c>
      <c r="G35" s="115">
        <v>11013.723809523808</v>
      </c>
      <c r="H35" s="115">
        <v>11236.161904761904</v>
      </c>
      <c r="I35" s="115">
        <v>10836.004761904764</v>
      </c>
      <c r="J35" s="115">
        <v>11961.536190476192</v>
      </c>
      <c r="K35" s="115">
        <v>10906.042857142855</v>
      </c>
      <c r="L35" s="115">
        <v>10959.223809523808</v>
      </c>
      <c r="M35" s="115">
        <v>10843.700000000003</v>
      </c>
      <c r="N35" s="115">
        <v>10966.699999999999</v>
      </c>
      <c r="O35" s="115">
        <v>10891.033333333335</v>
      </c>
      <c r="P35" s="115">
        <v>10822.576190476189</v>
      </c>
      <c r="Q35" s="115">
        <v>10772</v>
      </c>
      <c r="R35" s="115">
        <v>10950.295238095239</v>
      </c>
      <c r="S35" s="115">
        <v>10977.685714285715</v>
      </c>
      <c r="T35" s="115">
        <v>10874.500000000002</v>
      </c>
      <c r="U35" s="115">
        <v>10980.199999999999</v>
      </c>
      <c r="V35" s="115">
        <v>10935.423809523809</v>
      </c>
      <c r="W35" s="115">
        <v>11080.699999999999</v>
      </c>
      <c r="X35" s="115">
        <v>10936.3</v>
      </c>
      <c r="Y35" s="115">
        <v>11397.400000000001</v>
      </c>
      <c r="Z35" s="115">
        <v>10850.44761904762</v>
      </c>
      <c r="AA35" s="115">
        <v>10871.4</v>
      </c>
      <c r="AB35" s="115">
        <v>11142.800000000001</v>
      </c>
      <c r="AC35" s="115">
        <v>10662.333333333336</v>
      </c>
      <c r="AD35" s="115">
        <v>10751.852380952381</v>
      </c>
      <c r="AE35" s="115">
        <v>10677.300000000001</v>
      </c>
      <c r="AF35" s="115">
        <v>10808.8</v>
      </c>
      <c r="AG35" s="115">
        <v>10710.930952380953</v>
      </c>
      <c r="AH35" s="115">
        <v>11160.2</v>
      </c>
      <c r="AI35" s="115">
        <v>10626.400000000001</v>
      </c>
      <c r="AJ35" s="115">
        <v>11290.323809523807</v>
      </c>
      <c r="AK35" s="115">
        <v>10840.800000000003</v>
      </c>
      <c r="AL35" s="115">
        <v>10666.1</v>
      </c>
      <c r="AM35" s="115">
        <v>10703.771428571432</v>
      </c>
      <c r="AN35" s="115">
        <v>10679.942857142856</v>
      </c>
      <c r="AO35" s="115">
        <v>10735.6</v>
      </c>
      <c r="AP35" s="115">
        <v>10758.7</v>
      </c>
      <c r="AQ35" s="115">
        <v>10642.961904761905</v>
      </c>
      <c r="AR35" s="115">
        <v>10715.800000000003</v>
      </c>
      <c r="AS35" s="115">
        <v>10787.400000000001</v>
      </c>
      <c r="AT35" s="115">
        <v>10995.1</v>
      </c>
      <c r="AU35" s="115">
        <v>10570.5</v>
      </c>
      <c r="AV35" s="115">
        <v>10671.9</v>
      </c>
      <c r="AW35" s="115">
        <v>11279.900000000001</v>
      </c>
      <c r="AX35" s="115">
        <v>10610.499999999998</v>
      </c>
      <c r="AY35" s="115">
        <v>10566.62380952381</v>
      </c>
      <c r="AZ35" s="115">
        <v>10524.090476190477</v>
      </c>
      <c r="BA35" s="114">
        <v>10703.790476190476</v>
      </c>
      <c r="BB35" s="114">
        <v>10514.390476190476</v>
      </c>
      <c r="BC35" s="114">
        <v>10283.32380952381</v>
      </c>
      <c r="BD35" s="114"/>
      <c r="BE35" s="114"/>
      <c r="BF35" s="114"/>
      <c r="BG35" s="114"/>
      <c r="BH35" s="114"/>
      <c r="BI35" s="114"/>
      <c r="BJ35" s="114"/>
      <c r="BK35" s="114"/>
      <c r="BL35" s="114"/>
      <c r="BM35" s="114"/>
      <c r="BN35" s="114"/>
      <c r="BO35" s="114"/>
      <c r="BP35" s="114"/>
      <c r="BQ35" s="114"/>
      <c r="BR35" s="114"/>
      <c r="BS35" s="114"/>
      <c r="BT35" s="114"/>
      <c r="BU35" s="114"/>
      <c r="BV35" s="114"/>
      <c r="BW35" s="114"/>
      <c r="BX35" s="114"/>
      <c r="BY35" s="114"/>
      <c r="BZ35" s="116">
        <f t="shared" si="1"/>
        <v>577857.55761904758</v>
      </c>
    </row>
    <row r="36" spans="1:78" x14ac:dyDescent="0.35">
      <c r="A36" s="122" t="str">
        <f>IF('[11]Set Up'!E35=0,"",'[11]Set Up'!E35&amp;", lb")</f>
        <v>100 Mesh, lb</v>
      </c>
      <c r="B36" s="118">
        <f t="shared" ref="B36:B57" si="2">IF(C36="","",AVERAGE(C36:BY36))</f>
        <v>501525.47169811319</v>
      </c>
      <c r="C36" s="119">
        <v>495420</v>
      </c>
      <c r="D36" s="120">
        <v>497560</v>
      </c>
      <c r="E36" s="120">
        <v>500110</v>
      </c>
      <c r="F36" s="120">
        <v>499860</v>
      </c>
      <c r="G36" s="120">
        <v>494660</v>
      </c>
      <c r="H36" s="120">
        <v>492100</v>
      </c>
      <c r="I36" s="120">
        <v>499020</v>
      </c>
      <c r="J36" s="120">
        <v>499440</v>
      </c>
      <c r="K36" s="120">
        <v>499080</v>
      </c>
      <c r="L36" s="120">
        <v>495560</v>
      </c>
      <c r="M36" s="120">
        <v>498200</v>
      </c>
      <c r="N36" s="120">
        <v>503180</v>
      </c>
      <c r="O36" s="120">
        <v>498940</v>
      </c>
      <c r="P36" s="120">
        <v>496240</v>
      </c>
      <c r="Q36" s="120">
        <v>496520</v>
      </c>
      <c r="R36" s="120">
        <v>504720</v>
      </c>
      <c r="S36" s="120">
        <v>501520</v>
      </c>
      <c r="T36" s="120">
        <v>503080</v>
      </c>
      <c r="U36" s="120">
        <v>500940</v>
      </c>
      <c r="V36" s="120">
        <v>498800</v>
      </c>
      <c r="W36" s="120">
        <v>500080</v>
      </c>
      <c r="X36" s="120">
        <v>505900</v>
      </c>
      <c r="Y36" s="120">
        <v>501220</v>
      </c>
      <c r="Z36" s="120">
        <v>503700</v>
      </c>
      <c r="AA36" s="120">
        <v>504380</v>
      </c>
      <c r="AB36" s="120">
        <v>502620</v>
      </c>
      <c r="AC36" s="120">
        <v>505700</v>
      </c>
      <c r="AD36" s="120">
        <v>503040</v>
      </c>
      <c r="AE36" s="120">
        <v>496660</v>
      </c>
      <c r="AF36" s="120">
        <v>496740</v>
      </c>
      <c r="AG36" s="120">
        <v>503860</v>
      </c>
      <c r="AH36" s="120">
        <v>507380</v>
      </c>
      <c r="AI36" s="120">
        <v>504080</v>
      </c>
      <c r="AJ36" s="120">
        <v>502300</v>
      </c>
      <c r="AK36" s="120">
        <v>504220</v>
      </c>
      <c r="AL36" s="120">
        <v>503700</v>
      </c>
      <c r="AM36" s="120">
        <v>501640</v>
      </c>
      <c r="AN36" s="120">
        <v>505700</v>
      </c>
      <c r="AO36" s="120">
        <v>504380</v>
      </c>
      <c r="AP36" s="120">
        <v>504840</v>
      </c>
      <c r="AQ36" s="120">
        <v>503940</v>
      </c>
      <c r="AR36" s="120">
        <v>508840</v>
      </c>
      <c r="AS36" s="120">
        <v>508880</v>
      </c>
      <c r="AT36" s="120">
        <v>500580</v>
      </c>
      <c r="AU36" s="120">
        <v>503780</v>
      </c>
      <c r="AV36" s="120">
        <v>504900</v>
      </c>
      <c r="AW36" s="120">
        <v>504960</v>
      </c>
      <c r="AX36" s="120">
        <v>502920</v>
      </c>
      <c r="AY36" s="120">
        <v>498640</v>
      </c>
      <c r="AZ36" s="120">
        <v>494760</v>
      </c>
      <c r="BA36" s="119">
        <v>509100</v>
      </c>
      <c r="BB36" s="119">
        <v>504200</v>
      </c>
      <c r="BC36" s="119">
        <v>498260</v>
      </c>
      <c r="BD36" s="119"/>
      <c r="BE36" s="119"/>
      <c r="BF36" s="119"/>
      <c r="BG36" s="119"/>
      <c r="BH36" s="119"/>
      <c r="BI36" s="119"/>
      <c r="BJ36" s="119"/>
      <c r="BK36" s="119"/>
      <c r="BL36" s="119"/>
      <c r="BM36" s="119"/>
      <c r="BN36" s="119"/>
      <c r="BO36" s="119"/>
      <c r="BP36" s="119"/>
      <c r="BQ36" s="119"/>
      <c r="BR36" s="119"/>
      <c r="BS36" s="119"/>
      <c r="BT36" s="119"/>
      <c r="BU36" s="119"/>
      <c r="BV36" s="119"/>
      <c r="BW36" s="119"/>
      <c r="BX36" s="119"/>
      <c r="BY36" s="119"/>
      <c r="BZ36" s="121">
        <f t="shared" si="1"/>
        <v>26580850</v>
      </c>
    </row>
    <row r="37" spans="1:78" x14ac:dyDescent="0.35">
      <c r="B37" s="105" t="str">
        <f t="shared" si="2"/>
        <v/>
      </c>
      <c r="C37" s="123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3"/>
      <c r="BO37" s="123"/>
      <c r="BP37" s="123"/>
      <c r="BQ37" s="123"/>
      <c r="BR37" s="123"/>
      <c r="BS37" s="123"/>
      <c r="BT37" s="123"/>
      <c r="BU37" s="123"/>
      <c r="BV37" s="123"/>
      <c r="BW37" s="123"/>
      <c r="BX37" s="123"/>
      <c r="BY37" s="123"/>
      <c r="BZ37" s="108">
        <f t="shared" si="1"/>
        <v>0</v>
      </c>
    </row>
    <row r="38" spans="1:78" x14ac:dyDescent="0.35">
      <c r="A38" s="125" t="str">
        <f>IF('[11]Set Up'!E36=0,"",'[11]Set Up'!E36&amp;", lb")</f>
        <v/>
      </c>
      <c r="B38" s="126" t="str">
        <f t="shared" si="2"/>
        <v/>
      </c>
      <c r="C38" s="127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7"/>
      <c r="BB38" s="127"/>
      <c r="BC38" s="127"/>
      <c r="BD38" s="127"/>
      <c r="BE38" s="127"/>
      <c r="BF38" s="127"/>
      <c r="BG38" s="127"/>
      <c r="BH38" s="127"/>
      <c r="BI38" s="127"/>
      <c r="BJ38" s="127"/>
      <c r="BK38" s="127"/>
      <c r="BL38" s="127"/>
      <c r="BM38" s="127"/>
      <c r="BN38" s="127"/>
      <c r="BO38" s="127"/>
      <c r="BP38" s="127"/>
      <c r="BQ38" s="127"/>
      <c r="BR38" s="127"/>
      <c r="BS38" s="127"/>
      <c r="BT38" s="127"/>
      <c r="BU38" s="127"/>
      <c r="BV38" s="127"/>
      <c r="BW38" s="127"/>
      <c r="BX38" s="127"/>
      <c r="BY38" s="127"/>
      <c r="BZ38" s="129">
        <f t="shared" si="1"/>
        <v>0</v>
      </c>
    </row>
    <row r="39" spans="1:78" x14ac:dyDescent="0.35">
      <c r="A39" s="122" t="str">
        <f>IF('[11]Set Up'!E37=0,"",'[11]Set Up'!E37&amp;", lb")</f>
        <v/>
      </c>
      <c r="B39" s="105" t="str">
        <f t="shared" si="2"/>
        <v/>
      </c>
      <c r="C39" s="123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4"/>
      <c r="AR39" s="124"/>
      <c r="AS39" s="124"/>
      <c r="AT39" s="124"/>
      <c r="AU39" s="124"/>
      <c r="AV39" s="124"/>
      <c r="AW39" s="124"/>
      <c r="AX39" s="124"/>
      <c r="AY39" s="124"/>
      <c r="AZ39" s="124"/>
      <c r="BA39" s="123"/>
      <c r="BB39" s="123"/>
      <c r="BC39" s="123"/>
      <c r="BD39" s="123"/>
      <c r="BE39" s="123"/>
      <c r="BF39" s="123"/>
      <c r="BG39" s="123"/>
      <c r="BH39" s="123"/>
      <c r="BI39" s="123"/>
      <c r="BJ39" s="123"/>
      <c r="BK39" s="123"/>
      <c r="BL39" s="123"/>
      <c r="BM39" s="123"/>
      <c r="BN39" s="123"/>
      <c r="BO39" s="123"/>
      <c r="BP39" s="123"/>
      <c r="BQ39" s="123"/>
      <c r="BR39" s="123"/>
      <c r="BS39" s="123"/>
      <c r="BT39" s="123"/>
      <c r="BU39" s="123"/>
      <c r="BV39" s="123"/>
      <c r="BW39" s="123"/>
      <c r="BX39" s="123"/>
      <c r="BY39" s="123"/>
      <c r="BZ39" s="108">
        <f t="shared" si="1"/>
        <v>0</v>
      </c>
    </row>
    <row r="40" spans="1:78" ht="15" thickBot="1" x14ac:dyDescent="0.4">
      <c r="A40" s="130" t="s">
        <v>40</v>
      </c>
      <c r="B40" s="131">
        <f t="shared" si="2"/>
        <v>501525.47169811319</v>
      </c>
      <c r="C40" s="131">
        <v>495420</v>
      </c>
      <c r="D40" s="132">
        <v>497560</v>
      </c>
      <c r="E40" s="132">
        <v>500110</v>
      </c>
      <c r="F40" s="132">
        <v>499860</v>
      </c>
      <c r="G40" s="132">
        <v>494660</v>
      </c>
      <c r="H40" s="132">
        <v>492100</v>
      </c>
      <c r="I40" s="132">
        <v>499020</v>
      </c>
      <c r="J40" s="132">
        <v>499440</v>
      </c>
      <c r="K40" s="132">
        <v>499080</v>
      </c>
      <c r="L40" s="132">
        <v>495560</v>
      </c>
      <c r="M40" s="132">
        <v>498200</v>
      </c>
      <c r="N40" s="132">
        <v>503180</v>
      </c>
      <c r="O40" s="132">
        <v>498940</v>
      </c>
      <c r="P40" s="132">
        <v>496240</v>
      </c>
      <c r="Q40" s="132">
        <v>496520</v>
      </c>
      <c r="R40" s="132">
        <v>504720</v>
      </c>
      <c r="S40" s="132">
        <v>501520</v>
      </c>
      <c r="T40" s="132">
        <v>503080</v>
      </c>
      <c r="U40" s="132">
        <v>500940</v>
      </c>
      <c r="V40" s="132">
        <v>498800</v>
      </c>
      <c r="W40" s="132">
        <v>500080</v>
      </c>
      <c r="X40" s="132">
        <v>505900</v>
      </c>
      <c r="Y40" s="132">
        <v>501220</v>
      </c>
      <c r="Z40" s="132">
        <v>503700</v>
      </c>
      <c r="AA40" s="132">
        <v>504380</v>
      </c>
      <c r="AB40" s="132">
        <v>502620</v>
      </c>
      <c r="AC40" s="132">
        <v>505700</v>
      </c>
      <c r="AD40" s="132">
        <v>503040</v>
      </c>
      <c r="AE40" s="132">
        <v>496660</v>
      </c>
      <c r="AF40" s="132">
        <v>496740</v>
      </c>
      <c r="AG40" s="132">
        <v>503860</v>
      </c>
      <c r="AH40" s="132">
        <v>507380</v>
      </c>
      <c r="AI40" s="132">
        <v>504080</v>
      </c>
      <c r="AJ40" s="132">
        <v>502300</v>
      </c>
      <c r="AK40" s="132">
        <v>504220</v>
      </c>
      <c r="AL40" s="132">
        <v>503700</v>
      </c>
      <c r="AM40" s="132">
        <v>501640</v>
      </c>
      <c r="AN40" s="132">
        <v>505700</v>
      </c>
      <c r="AO40" s="132">
        <v>504380</v>
      </c>
      <c r="AP40" s="132">
        <v>504840</v>
      </c>
      <c r="AQ40" s="132">
        <v>503940</v>
      </c>
      <c r="AR40" s="132">
        <v>508840</v>
      </c>
      <c r="AS40" s="132">
        <v>508880</v>
      </c>
      <c r="AT40" s="132">
        <v>500580</v>
      </c>
      <c r="AU40" s="132">
        <v>503780</v>
      </c>
      <c r="AV40" s="132">
        <v>504900</v>
      </c>
      <c r="AW40" s="132">
        <v>504960</v>
      </c>
      <c r="AX40" s="132">
        <v>502920</v>
      </c>
      <c r="AY40" s="132">
        <v>498640</v>
      </c>
      <c r="AZ40" s="132">
        <v>494760</v>
      </c>
      <c r="BA40" s="132">
        <v>509100</v>
      </c>
      <c r="BB40" s="132">
        <v>504200</v>
      </c>
      <c r="BC40" s="132">
        <v>498260</v>
      </c>
      <c r="BD40" s="132"/>
      <c r="BE40" s="132"/>
      <c r="BF40" s="132"/>
      <c r="BG40" s="132"/>
      <c r="BH40" s="132"/>
      <c r="BI40" s="132"/>
      <c r="BJ40" s="132"/>
      <c r="BK40" s="132"/>
      <c r="BL40" s="132"/>
      <c r="BM40" s="132"/>
      <c r="BN40" s="132"/>
      <c r="BO40" s="132"/>
      <c r="BP40" s="132"/>
      <c r="BQ40" s="132"/>
      <c r="BR40" s="132"/>
      <c r="BS40" s="132"/>
      <c r="BT40" s="132"/>
      <c r="BU40" s="132"/>
      <c r="BV40" s="132"/>
      <c r="BW40" s="132"/>
      <c r="BX40" s="132"/>
      <c r="BY40" s="132"/>
      <c r="BZ40" s="133">
        <f t="shared" si="1"/>
        <v>26580850</v>
      </c>
    </row>
    <row r="41" spans="1:78" x14ac:dyDescent="0.35">
      <c r="A41" s="122" t="str">
        <f>A36</f>
        <v>100 Mesh, lb</v>
      </c>
      <c r="B41" s="135">
        <f t="shared" si="2"/>
        <v>501525.47169811319</v>
      </c>
      <c r="C41" s="136">
        <v>495420</v>
      </c>
      <c r="D41" s="136">
        <v>497560</v>
      </c>
      <c r="E41" s="136">
        <v>500110</v>
      </c>
      <c r="F41" s="136">
        <v>499860</v>
      </c>
      <c r="G41" s="136">
        <v>494660</v>
      </c>
      <c r="H41" s="136">
        <v>492100</v>
      </c>
      <c r="I41" s="136">
        <v>499020</v>
      </c>
      <c r="J41" s="136">
        <v>499440</v>
      </c>
      <c r="K41" s="136">
        <v>499080</v>
      </c>
      <c r="L41" s="136">
        <v>495560</v>
      </c>
      <c r="M41" s="136">
        <v>498200</v>
      </c>
      <c r="N41" s="136">
        <v>503180</v>
      </c>
      <c r="O41" s="136">
        <v>498940</v>
      </c>
      <c r="P41" s="136">
        <v>496240</v>
      </c>
      <c r="Q41" s="136">
        <v>496520</v>
      </c>
      <c r="R41" s="136">
        <v>504720</v>
      </c>
      <c r="S41" s="136">
        <v>501520</v>
      </c>
      <c r="T41" s="136">
        <v>503080</v>
      </c>
      <c r="U41" s="136">
        <v>500940</v>
      </c>
      <c r="V41" s="136">
        <v>498800</v>
      </c>
      <c r="W41" s="136">
        <v>500080</v>
      </c>
      <c r="X41" s="136">
        <v>505900</v>
      </c>
      <c r="Y41" s="136">
        <v>501220</v>
      </c>
      <c r="Z41" s="136">
        <v>503700</v>
      </c>
      <c r="AA41" s="136">
        <v>504380</v>
      </c>
      <c r="AB41" s="136">
        <v>502620</v>
      </c>
      <c r="AC41" s="136">
        <v>505700</v>
      </c>
      <c r="AD41" s="136">
        <v>503040</v>
      </c>
      <c r="AE41" s="136">
        <v>496660</v>
      </c>
      <c r="AF41" s="136">
        <v>496740</v>
      </c>
      <c r="AG41" s="136">
        <v>503860</v>
      </c>
      <c r="AH41" s="136">
        <v>507380</v>
      </c>
      <c r="AI41" s="136">
        <v>504080</v>
      </c>
      <c r="AJ41" s="136">
        <v>502300</v>
      </c>
      <c r="AK41" s="136">
        <v>504220</v>
      </c>
      <c r="AL41" s="136">
        <v>503700</v>
      </c>
      <c r="AM41" s="136">
        <v>501640</v>
      </c>
      <c r="AN41" s="136">
        <v>505700</v>
      </c>
      <c r="AO41" s="136">
        <v>504380</v>
      </c>
      <c r="AP41" s="136">
        <v>504840</v>
      </c>
      <c r="AQ41" s="136">
        <v>503940</v>
      </c>
      <c r="AR41" s="136">
        <v>508840</v>
      </c>
      <c r="AS41" s="136">
        <v>508880</v>
      </c>
      <c r="AT41" s="136">
        <v>500580</v>
      </c>
      <c r="AU41" s="136">
        <v>503780</v>
      </c>
      <c r="AV41" s="136">
        <v>504900</v>
      </c>
      <c r="AW41" s="136">
        <v>504960</v>
      </c>
      <c r="AX41" s="136">
        <v>502920</v>
      </c>
      <c r="AY41" s="136">
        <v>498640</v>
      </c>
      <c r="AZ41" s="136">
        <v>494760</v>
      </c>
      <c r="BA41" s="137">
        <v>509100</v>
      </c>
      <c r="BB41" s="137">
        <v>504200</v>
      </c>
      <c r="BC41" s="137">
        <v>498260</v>
      </c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8">
        <f t="shared" si="1"/>
        <v>26580850</v>
      </c>
    </row>
    <row r="42" spans="1:78" x14ac:dyDescent="0.35">
      <c r="B42" s="105" t="str">
        <f t="shared" si="2"/>
        <v/>
      </c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24"/>
      <c r="AX42" s="124"/>
      <c r="AY42" s="124"/>
      <c r="AZ42" s="124"/>
      <c r="BA42" s="123"/>
      <c r="BB42" s="123"/>
      <c r="BC42" s="123"/>
      <c r="BD42" s="123"/>
      <c r="BE42" s="123"/>
      <c r="BF42" s="123"/>
      <c r="BG42" s="123"/>
      <c r="BH42" s="123"/>
      <c r="BI42" s="123"/>
      <c r="BJ42" s="123"/>
      <c r="BK42" s="123"/>
      <c r="BL42" s="123"/>
      <c r="BM42" s="123"/>
      <c r="BN42" s="123"/>
      <c r="BO42" s="123"/>
      <c r="BP42" s="123"/>
      <c r="BQ42" s="123"/>
      <c r="BR42" s="123"/>
      <c r="BS42" s="123"/>
      <c r="BT42" s="123"/>
      <c r="BU42" s="123"/>
      <c r="BV42" s="123"/>
      <c r="BW42" s="123"/>
      <c r="BX42" s="123"/>
      <c r="BY42" s="123"/>
      <c r="BZ42" s="108">
        <f t="shared" si="1"/>
        <v>0</v>
      </c>
    </row>
    <row r="43" spans="1:78" x14ac:dyDescent="0.35">
      <c r="A43" s="139" t="str">
        <f>A38</f>
        <v/>
      </c>
      <c r="B43" s="140" t="str">
        <f t="shared" si="2"/>
        <v/>
      </c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41"/>
      <c r="AJ43" s="141"/>
      <c r="AK43" s="141"/>
      <c r="AL43" s="141"/>
      <c r="AM43" s="141"/>
      <c r="AN43" s="141"/>
      <c r="AO43" s="141"/>
      <c r="AP43" s="141"/>
      <c r="AQ43" s="141"/>
      <c r="AR43" s="141"/>
      <c r="AS43" s="141"/>
      <c r="AT43" s="141"/>
      <c r="AU43" s="141"/>
      <c r="AV43" s="141"/>
      <c r="AW43" s="141"/>
      <c r="AX43" s="141"/>
      <c r="AY43" s="141"/>
      <c r="AZ43" s="141"/>
      <c r="BA43" s="141"/>
      <c r="BB43" s="141"/>
      <c r="BC43" s="141"/>
      <c r="BD43" s="141"/>
      <c r="BE43" s="141"/>
      <c r="BF43" s="141"/>
      <c r="BG43" s="141"/>
      <c r="BH43" s="141"/>
      <c r="BI43" s="141"/>
      <c r="BJ43" s="141"/>
      <c r="BK43" s="141"/>
      <c r="BL43" s="141"/>
      <c r="BM43" s="141"/>
      <c r="BN43" s="141"/>
      <c r="BO43" s="141"/>
      <c r="BP43" s="141"/>
      <c r="BQ43" s="141"/>
      <c r="BR43" s="141"/>
      <c r="BS43" s="141"/>
      <c r="BT43" s="141"/>
      <c r="BU43" s="141"/>
      <c r="BV43" s="141"/>
      <c r="BW43" s="141"/>
      <c r="BX43" s="141"/>
      <c r="BY43" s="141"/>
      <c r="BZ43" s="140">
        <f t="shared" si="1"/>
        <v>0</v>
      </c>
    </row>
    <row r="44" spans="1:78" x14ac:dyDescent="0.35">
      <c r="A44" s="142" t="str">
        <f>A39</f>
        <v/>
      </c>
      <c r="B44" s="143" t="str">
        <f t="shared" si="2"/>
        <v/>
      </c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24"/>
      <c r="AI44" s="124"/>
      <c r="AJ44" s="124"/>
      <c r="AK44" s="124"/>
      <c r="AL44" s="124"/>
      <c r="AM44" s="124"/>
      <c r="AN44" s="124"/>
      <c r="AO44" s="124"/>
      <c r="AP44" s="124"/>
      <c r="AQ44" s="124"/>
      <c r="AR44" s="124"/>
      <c r="AS44" s="124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24"/>
      <c r="BK44" s="124"/>
      <c r="BL44" s="124"/>
      <c r="BM44" s="124"/>
      <c r="BN44" s="124"/>
      <c r="BO44" s="124"/>
      <c r="BP44" s="124"/>
      <c r="BQ44" s="124"/>
      <c r="BR44" s="124"/>
      <c r="BS44" s="124"/>
      <c r="BT44" s="124"/>
      <c r="BU44" s="124"/>
      <c r="BV44" s="124"/>
      <c r="BW44" s="124"/>
      <c r="BX44" s="124"/>
      <c r="BY44" s="124"/>
      <c r="BZ44" s="105">
        <f t="shared" si="1"/>
        <v>0</v>
      </c>
    </row>
    <row r="45" spans="1:78" ht="15" thickBot="1" x14ac:dyDescent="0.4">
      <c r="A45" s="144" t="s">
        <v>41</v>
      </c>
      <c r="B45" s="145">
        <f t="shared" si="2"/>
        <v>501525.47169811319</v>
      </c>
      <c r="C45" s="146">
        <v>495420</v>
      </c>
      <c r="D45" s="146">
        <v>497560</v>
      </c>
      <c r="E45" s="146">
        <v>500110</v>
      </c>
      <c r="F45" s="146">
        <v>499860</v>
      </c>
      <c r="G45" s="146">
        <v>494660</v>
      </c>
      <c r="H45" s="146">
        <v>492100</v>
      </c>
      <c r="I45" s="146">
        <v>499020</v>
      </c>
      <c r="J45" s="146">
        <v>499440</v>
      </c>
      <c r="K45" s="146">
        <v>499080</v>
      </c>
      <c r="L45" s="146">
        <v>495560</v>
      </c>
      <c r="M45" s="146">
        <v>498200</v>
      </c>
      <c r="N45" s="146">
        <v>503180</v>
      </c>
      <c r="O45" s="146">
        <v>498940</v>
      </c>
      <c r="P45" s="146">
        <v>496240</v>
      </c>
      <c r="Q45" s="146">
        <v>496520</v>
      </c>
      <c r="R45" s="146">
        <v>504720</v>
      </c>
      <c r="S45" s="146">
        <v>501520</v>
      </c>
      <c r="T45" s="146">
        <v>503080</v>
      </c>
      <c r="U45" s="146">
        <v>500940</v>
      </c>
      <c r="V45" s="146">
        <v>498800</v>
      </c>
      <c r="W45" s="146">
        <v>500080</v>
      </c>
      <c r="X45" s="146">
        <v>505900</v>
      </c>
      <c r="Y45" s="146">
        <v>501220</v>
      </c>
      <c r="Z45" s="146">
        <v>503700</v>
      </c>
      <c r="AA45" s="146">
        <v>504380</v>
      </c>
      <c r="AB45" s="146">
        <v>502620</v>
      </c>
      <c r="AC45" s="146">
        <v>505700</v>
      </c>
      <c r="AD45" s="146">
        <v>503040</v>
      </c>
      <c r="AE45" s="146">
        <v>496660</v>
      </c>
      <c r="AF45" s="146">
        <v>496740</v>
      </c>
      <c r="AG45" s="146">
        <v>503860</v>
      </c>
      <c r="AH45" s="146">
        <v>507380</v>
      </c>
      <c r="AI45" s="146">
        <v>504080</v>
      </c>
      <c r="AJ45" s="146">
        <v>502300</v>
      </c>
      <c r="AK45" s="146">
        <v>504220</v>
      </c>
      <c r="AL45" s="146">
        <v>503700</v>
      </c>
      <c r="AM45" s="146">
        <v>501640</v>
      </c>
      <c r="AN45" s="146">
        <v>505700</v>
      </c>
      <c r="AO45" s="146">
        <v>504380</v>
      </c>
      <c r="AP45" s="146">
        <v>504840</v>
      </c>
      <c r="AQ45" s="146">
        <v>503940</v>
      </c>
      <c r="AR45" s="146">
        <v>508840</v>
      </c>
      <c r="AS45" s="146">
        <v>508880</v>
      </c>
      <c r="AT45" s="146">
        <v>500580</v>
      </c>
      <c r="AU45" s="146">
        <v>503780</v>
      </c>
      <c r="AV45" s="146">
        <v>504900</v>
      </c>
      <c r="AW45" s="146">
        <v>504960</v>
      </c>
      <c r="AX45" s="146">
        <v>502920</v>
      </c>
      <c r="AY45" s="146">
        <v>498640</v>
      </c>
      <c r="AZ45" s="146">
        <v>494760</v>
      </c>
      <c r="BA45" s="146">
        <v>509100</v>
      </c>
      <c r="BB45" s="146">
        <v>504200</v>
      </c>
      <c r="BC45" s="146">
        <v>498260</v>
      </c>
      <c r="BD45" s="146"/>
      <c r="BE45" s="146"/>
      <c r="BF45" s="146"/>
      <c r="BG45" s="146"/>
      <c r="BH45" s="146"/>
      <c r="BI45" s="146"/>
      <c r="BJ45" s="146"/>
      <c r="BK45" s="146"/>
      <c r="BL45" s="146"/>
      <c r="BM45" s="146"/>
      <c r="BN45" s="146"/>
      <c r="BO45" s="146"/>
      <c r="BP45" s="146"/>
      <c r="BQ45" s="146"/>
      <c r="BR45" s="146"/>
      <c r="BS45" s="146"/>
      <c r="BT45" s="146"/>
      <c r="BU45" s="146"/>
      <c r="BV45" s="146"/>
      <c r="BW45" s="146"/>
      <c r="BX45" s="146"/>
      <c r="BY45" s="146"/>
      <c r="BZ45" s="145">
        <f t="shared" si="1"/>
        <v>26580850</v>
      </c>
    </row>
    <row r="46" spans="1:78" x14ac:dyDescent="0.35">
      <c r="A46" s="147" t="s">
        <v>46</v>
      </c>
      <c r="B46" s="148">
        <f t="shared" si="2"/>
        <v>336.54716981132077</v>
      </c>
      <c r="C46" s="149">
        <v>445</v>
      </c>
      <c r="D46" s="150">
        <v>430</v>
      </c>
      <c r="E46" s="150">
        <v>417</v>
      </c>
      <c r="F46" s="150">
        <v>448</v>
      </c>
      <c r="G46" s="150">
        <v>442</v>
      </c>
      <c r="H46" s="150">
        <v>356</v>
      </c>
      <c r="I46" s="150">
        <v>470</v>
      </c>
      <c r="J46" s="150">
        <v>452</v>
      </c>
      <c r="K46" s="150">
        <v>425</v>
      </c>
      <c r="L46" s="151">
        <v>451</v>
      </c>
      <c r="M46" s="151">
        <v>452</v>
      </c>
      <c r="N46" s="151">
        <v>349</v>
      </c>
      <c r="O46" s="151">
        <v>430</v>
      </c>
      <c r="P46" s="151">
        <v>333</v>
      </c>
      <c r="Q46" s="151">
        <v>351</v>
      </c>
      <c r="R46" s="151">
        <v>380</v>
      </c>
      <c r="S46" s="151">
        <v>410</v>
      </c>
      <c r="T46" s="151">
        <v>320</v>
      </c>
      <c r="U46" s="151">
        <v>430</v>
      </c>
      <c r="V46" s="151">
        <v>360</v>
      </c>
      <c r="W46" s="151">
        <v>327</v>
      </c>
      <c r="X46" s="151">
        <v>356</v>
      </c>
      <c r="Y46" s="151">
        <v>415</v>
      </c>
      <c r="Z46" s="151">
        <v>350</v>
      </c>
      <c r="AA46" s="151">
        <v>298</v>
      </c>
      <c r="AB46" s="151">
        <v>369</v>
      </c>
      <c r="AC46" s="151">
        <v>356</v>
      </c>
      <c r="AD46" s="151">
        <v>310</v>
      </c>
      <c r="AE46" s="151">
        <v>263</v>
      </c>
      <c r="AF46" s="151">
        <v>300</v>
      </c>
      <c r="AG46" s="151">
        <v>310</v>
      </c>
      <c r="AH46" s="151">
        <v>388</v>
      </c>
      <c r="AI46" s="151">
        <v>277</v>
      </c>
      <c r="AJ46" s="151">
        <v>490</v>
      </c>
      <c r="AK46" s="151">
        <v>326</v>
      </c>
      <c r="AL46" s="151">
        <v>247</v>
      </c>
      <c r="AM46" s="151">
        <v>285</v>
      </c>
      <c r="AN46" s="151">
        <v>265</v>
      </c>
      <c r="AO46" s="151">
        <v>250</v>
      </c>
      <c r="AP46" s="151">
        <v>258</v>
      </c>
      <c r="AQ46" s="151">
        <v>290</v>
      </c>
      <c r="AR46" s="151">
        <v>266</v>
      </c>
      <c r="AS46" s="151">
        <v>240</v>
      </c>
      <c r="AT46" s="151">
        <v>295</v>
      </c>
      <c r="AU46" s="151">
        <v>270</v>
      </c>
      <c r="AV46" s="151">
        <v>209</v>
      </c>
      <c r="AW46" s="151">
        <v>244</v>
      </c>
      <c r="AX46" s="151">
        <v>230</v>
      </c>
      <c r="AY46" s="151">
        <v>225</v>
      </c>
      <c r="AZ46" s="151">
        <v>206</v>
      </c>
      <c r="BA46" s="152">
        <v>233</v>
      </c>
      <c r="BB46" s="152">
        <v>256</v>
      </c>
      <c r="BC46" s="152">
        <v>282</v>
      </c>
      <c r="BD46" s="152"/>
      <c r="BE46" s="152"/>
      <c r="BF46" s="152"/>
      <c r="BG46" s="152"/>
      <c r="BH46" s="152"/>
      <c r="BI46" s="152"/>
      <c r="BJ46" s="152"/>
      <c r="BK46" s="152"/>
      <c r="BL46" s="152"/>
      <c r="BM46" s="152"/>
      <c r="BN46" s="152"/>
      <c r="BO46" s="152"/>
      <c r="BP46" s="152"/>
      <c r="BQ46" s="152"/>
      <c r="BR46" s="152"/>
      <c r="BS46" s="152"/>
      <c r="BT46" s="152"/>
      <c r="BU46" s="152"/>
      <c r="BV46" s="152"/>
      <c r="BW46" s="152"/>
      <c r="BX46" s="152"/>
      <c r="BY46" s="152"/>
      <c r="BZ46" s="153">
        <f t="shared" si="1"/>
        <v>17837</v>
      </c>
    </row>
    <row r="47" spans="1:78" x14ac:dyDescent="0.35">
      <c r="A47" s="154" t="s">
        <v>48</v>
      </c>
      <c r="B47" s="155">
        <f t="shared" si="2"/>
        <v>5.5283018867924527</v>
      </c>
      <c r="C47" s="156">
        <v>7</v>
      </c>
      <c r="D47" s="157">
        <v>8</v>
      </c>
      <c r="E47" s="157">
        <v>8</v>
      </c>
      <c r="F47" s="157">
        <v>8</v>
      </c>
      <c r="G47" s="157">
        <v>7</v>
      </c>
      <c r="H47" s="157">
        <v>8</v>
      </c>
      <c r="I47" s="157">
        <v>7</v>
      </c>
      <c r="J47" s="157">
        <v>8</v>
      </c>
      <c r="K47" s="157">
        <v>7</v>
      </c>
      <c r="L47" s="107">
        <v>8</v>
      </c>
      <c r="M47" s="107">
        <v>8</v>
      </c>
      <c r="N47" s="107">
        <v>8</v>
      </c>
      <c r="O47" s="107">
        <v>7</v>
      </c>
      <c r="P47" s="107">
        <v>8</v>
      </c>
      <c r="Q47" s="107">
        <v>8</v>
      </c>
      <c r="R47" s="107">
        <v>8</v>
      </c>
      <c r="S47" s="107">
        <v>8</v>
      </c>
      <c r="T47" s="107">
        <v>8</v>
      </c>
      <c r="U47" s="107">
        <v>7</v>
      </c>
      <c r="V47" s="107">
        <v>8</v>
      </c>
      <c r="W47" s="107">
        <v>8</v>
      </c>
      <c r="X47" s="107">
        <v>6</v>
      </c>
      <c r="Y47" s="107">
        <v>4</v>
      </c>
      <c r="Z47" s="107">
        <v>5</v>
      </c>
      <c r="AA47" s="107">
        <v>4</v>
      </c>
      <c r="AB47" s="107">
        <v>4</v>
      </c>
      <c r="AC47" s="107">
        <v>4</v>
      </c>
      <c r="AD47" s="107">
        <v>4</v>
      </c>
      <c r="AE47" s="107">
        <v>4</v>
      </c>
      <c r="AF47" s="107">
        <v>4</v>
      </c>
      <c r="AG47" s="107">
        <v>4</v>
      </c>
      <c r="AH47" s="107">
        <v>4</v>
      </c>
      <c r="AI47" s="107">
        <v>4</v>
      </c>
      <c r="AJ47" s="107">
        <v>4</v>
      </c>
      <c r="AK47" s="107">
        <v>4</v>
      </c>
      <c r="AL47" s="107">
        <v>4</v>
      </c>
      <c r="AM47" s="107">
        <v>4</v>
      </c>
      <c r="AN47" s="107">
        <v>4</v>
      </c>
      <c r="AO47" s="107">
        <v>4</v>
      </c>
      <c r="AP47" s="107">
        <v>4</v>
      </c>
      <c r="AQ47" s="107">
        <v>4</v>
      </c>
      <c r="AR47" s="107">
        <v>4</v>
      </c>
      <c r="AS47" s="107">
        <v>4</v>
      </c>
      <c r="AT47" s="107">
        <v>4</v>
      </c>
      <c r="AU47" s="107">
        <v>4</v>
      </c>
      <c r="AV47" s="107">
        <v>4</v>
      </c>
      <c r="AW47" s="107">
        <v>4</v>
      </c>
      <c r="AX47" s="107">
        <v>4</v>
      </c>
      <c r="AY47" s="107">
        <v>4</v>
      </c>
      <c r="AZ47" s="107">
        <v>4</v>
      </c>
      <c r="BA47" s="106">
        <v>4</v>
      </c>
      <c r="BB47" s="106">
        <v>4</v>
      </c>
      <c r="BC47" s="106">
        <v>4</v>
      </c>
      <c r="BD47" s="106"/>
      <c r="BE47" s="106"/>
      <c r="BF47" s="106"/>
      <c r="BG47" s="106"/>
      <c r="BH47" s="106"/>
      <c r="BI47" s="106"/>
      <c r="BJ47" s="106"/>
      <c r="BK47" s="106"/>
      <c r="BL47" s="106"/>
      <c r="BM47" s="106"/>
      <c r="BN47" s="106"/>
      <c r="BO47" s="106"/>
      <c r="BP47" s="106"/>
      <c r="BQ47" s="106"/>
      <c r="BR47" s="106"/>
      <c r="BS47" s="106"/>
      <c r="BT47" s="106"/>
      <c r="BU47" s="106"/>
      <c r="BV47" s="106"/>
      <c r="BW47" s="106"/>
      <c r="BX47" s="106"/>
      <c r="BY47" s="106"/>
      <c r="BZ47" s="158">
        <f t="shared" si="1"/>
        <v>293</v>
      </c>
    </row>
    <row r="48" spans="1:78" x14ac:dyDescent="0.35">
      <c r="A48" s="147" t="s">
        <v>49</v>
      </c>
      <c r="B48" s="148">
        <f t="shared" si="2"/>
        <v>90.094339622641513</v>
      </c>
      <c r="C48" s="159">
        <v>102</v>
      </c>
      <c r="D48" s="160">
        <v>90</v>
      </c>
      <c r="E48" s="160">
        <v>91</v>
      </c>
      <c r="F48" s="160">
        <v>90</v>
      </c>
      <c r="G48" s="160">
        <v>90</v>
      </c>
      <c r="H48" s="160">
        <v>93</v>
      </c>
      <c r="I48" s="160">
        <v>90</v>
      </c>
      <c r="J48" s="160">
        <v>93</v>
      </c>
      <c r="K48" s="160">
        <v>91</v>
      </c>
      <c r="L48" s="161">
        <v>90</v>
      </c>
      <c r="M48" s="161">
        <v>89</v>
      </c>
      <c r="N48" s="161">
        <v>90</v>
      </c>
      <c r="O48" s="161">
        <v>89</v>
      </c>
      <c r="P48" s="161">
        <v>89</v>
      </c>
      <c r="Q48" s="161">
        <v>89</v>
      </c>
      <c r="R48" s="161">
        <v>90</v>
      </c>
      <c r="S48" s="161">
        <v>90</v>
      </c>
      <c r="T48" s="161">
        <v>89</v>
      </c>
      <c r="U48" s="161">
        <v>90</v>
      </c>
      <c r="V48" s="161">
        <v>90</v>
      </c>
      <c r="W48" s="161">
        <v>91</v>
      </c>
      <c r="X48" s="161">
        <v>90</v>
      </c>
      <c r="Y48" s="161">
        <v>94</v>
      </c>
      <c r="Z48" s="161">
        <v>90</v>
      </c>
      <c r="AA48" s="161">
        <v>90</v>
      </c>
      <c r="AB48" s="161">
        <v>92</v>
      </c>
      <c r="AC48" s="161">
        <v>88</v>
      </c>
      <c r="AD48" s="161">
        <v>89</v>
      </c>
      <c r="AE48" s="161">
        <v>88</v>
      </c>
      <c r="AF48" s="161">
        <v>90</v>
      </c>
      <c r="AG48" s="161">
        <v>90</v>
      </c>
      <c r="AH48" s="161">
        <v>93</v>
      </c>
      <c r="AI48" s="161">
        <v>88</v>
      </c>
      <c r="AJ48" s="161">
        <v>95</v>
      </c>
      <c r="AK48" s="161">
        <v>90</v>
      </c>
      <c r="AL48" s="161">
        <v>89</v>
      </c>
      <c r="AM48" s="161">
        <v>88</v>
      </c>
      <c r="AN48" s="161">
        <v>87</v>
      </c>
      <c r="AO48" s="161">
        <v>89</v>
      </c>
      <c r="AP48" s="161">
        <v>91</v>
      </c>
      <c r="AQ48" s="161">
        <v>89</v>
      </c>
      <c r="AR48" s="161">
        <v>90</v>
      </c>
      <c r="AS48" s="161">
        <v>90</v>
      </c>
      <c r="AT48" s="161">
        <v>90</v>
      </c>
      <c r="AU48" s="161">
        <v>90</v>
      </c>
      <c r="AV48" s="161">
        <v>89</v>
      </c>
      <c r="AW48" s="161">
        <v>94</v>
      </c>
      <c r="AX48" s="161">
        <v>89</v>
      </c>
      <c r="AY48" s="161">
        <v>87</v>
      </c>
      <c r="AZ48" s="161">
        <v>89</v>
      </c>
      <c r="BA48" s="162">
        <v>89</v>
      </c>
      <c r="BB48" s="162">
        <v>87</v>
      </c>
      <c r="BC48" s="162">
        <v>85</v>
      </c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2"/>
      <c r="BX48" s="162"/>
      <c r="BY48" s="162"/>
      <c r="BZ48" s="163">
        <f t="shared" si="1"/>
        <v>4775</v>
      </c>
    </row>
    <row r="49" spans="1:78" x14ac:dyDescent="0.35">
      <c r="A49" s="154" t="s">
        <v>50</v>
      </c>
      <c r="B49" s="155">
        <f t="shared" si="2"/>
        <v>33.867924528301884</v>
      </c>
      <c r="C49" s="156">
        <v>37</v>
      </c>
      <c r="D49" s="157">
        <v>34</v>
      </c>
      <c r="E49" s="157">
        <v>35</v>
      </c>
      <c r="F49" s="157">
        <v>35</v>
      </c>
      <c r="G49" s="157">
        <v>35</v>
      </c>
      <c r="H49" s="157">
        <v>35</v>
      </c>
      <c r="I49" s="157">
        <v>34</v>
      </c>
      <c r="J49" s="157">
        <v>35</v>
      </c>
      <c r="K49" s="157">
        <v>35</v>
      </c>
      <c r="L49" s="157">
        <v>34</v>
      </c>
      <c r="M49" s="157">
        <v>33</v>
      </c>
      <c r="N49" s="157">
        <v>34</v>
      </c>
      <c r="O49" s="157">
        <v>33</v>
      </c>
      <c r="P49" s="157">
        <v>33</v>
      </c>
      <c r="Q49" s="157">
        <v>33</v>
      </c>
      <c r="R49" s="157">
        <v>34</v>
      </c>
      <c r="S49" s="157">
        <v>34</v>
      </c>
      <c r="T49" s="107">
        <v>34</v>
      </c>
      <c r="U49" s="107">
        <v>34</v>
      </c>
      <c r="V49" s="107">
        <v>33</v>
      </c>
      <c r="W49" s="107">
        <v>34</v>
      </c>
      <c r="X49" s="107">
        <v>34</v>
      </c>
      <c r="Y49" s="107">
        <v>34</v>
      </c>
      <c r="Z49" s="107">
        <v>33</v>
      </c>
      <c r="AA49" s="107">
        <v>34</v>
      </c>
      <c r="AB49" s="107">
        <v>35</v>
      </c>
      <c r="AC49" s="107">
        <v>32</v>
      </c>
      <c r="AD49" s="107">
        <v>33</v>
      </c>
      <c r="AE49" s="107">
        <v>33</v>
      </c>
      <c r="AF49" s="107">
        <v>34</v>
      </c>
      <c r="AG49" s="107">
        <v>33</v>
      </c>
      <c r="AH49" s="107">
        <v>35</v>
      </c>
      <c r="AI49" s="107">
        <v>33</v>
      </c>
      <c r="AJ49" s="107">
        <v>35</v>
      </c>
      <c r="AK49" s="107">
        <v>34</v>
      </c>
      <c r="AL49" s="107">
        <v>33</v>
      </c>
      <c r="AM49" s="107">
        <v>33</v>
      </c>
      <c r="AN49" s="107">
        <v>33</v>
      </c>
      <c r="AO49" s="107">
        <v>34</v>
      </c>
      <c r="AP49" s="107">
        <v>34</v>
      </c>
      <c r="AQ49" s="107">
        <v>34</v>
      </c>
      <c r="AR49" s="107">
        <v>34</v>
      </c>
      <c r="AS49" s="107">
        <v>34</v>
      </c>
      <c r="AT49" s="107">
        <v>34</v>
      </c>
      <c r="AU49" s="107">
        <v>34</v>
      </c>
      <c r="AV49" s="107">
        <v>33</v>
      </c>
      <c r="AW49" s="107">
        <v>35</v>
      </c>
      <c r="AX49" s="107">
        <v>33</v>
      </c>
      <c r="AY49" s="107">
        <v>33</v>
      </c>
      <c r="AZ49" s="107">
        <v>34</v>
      </c>
      <c r="BA49" s="106">
        <v>34</v>
      </c>
      <c r="BB49" s="106">
        <v>33</v>
      </c>
      <c r="BC49" s="106">
        <v>33</v>
      </c>
      <c r="BD49" s="106"/>
      <c r="BE49" s="106"/>
      <c r="BF49" s="106"/>
      <c r="BG49" s="106"/>
      <c r="BH49" s="106"/>
      <c r="BI49" s="106"/>
      <c r="BJ49" s="106"/>
      <c r="BK49" s="106"/>
      <c r="BL49" s="106"/>
      <c r="BM49" s="106"/>
      <c r="BN49" s="106"/>
      <c r="BO49" s="106"/>
      <c r="BP49" s="106"/>
      <c r="BQ49" s="106"/>
      <c r="BR49" s="106"/>
      <c r="BS49" s="106"/>
      <c r="BT49" s="106"/>
      <c r="BU49" s="106"/>
      <c r="BV49" s="106"/>
      <c r="BW49" s="106"/>
      <c r="BX49" s="106"/>
      <c r="BY49" s="106"/>
      <c r="BZ49" s="158">
        <f t="shared" si="1"/>
        <v>1795</v>
      </c>
    </row>
    <row r="50" spans="1:78" x14ac:dyDescent="0.35">
      <c r="A50" s="147" t="s">
        <v>51</v>
      </c>
      <c r="B50" s="148">
        <f t="shared" si="2"/>
        <v>90.094339622641513</v>
      </c>
      <c r="C50" s="159">
        <v>102</v>
      </c>
      <c r="D50" s="160">
        <v>90</v>
      </c>
      <c r="E50" s="160">
        <v>91</v>
      </c>
      <c r="F50" s="160">
        <v>90</v>
      </c>
      <c r="G50" s="160">
        <v>90</v>
      </c>
      <c r="H50" s="160">
        <v>93</v>
      </c>
      <c r="I50" s="160">
        <v>90</v>
      </c>
      <c r="J50" s="160">
        <v>93</v>
      </c>
      <c r="K50" s="160">
        <v>91</v>
      </c>
      <c r="L50" s="161">
        <v>90</v>
      </c>
      <c r="M50" s="161">
        <v>89</v>
      </c>
      <c r="N50" s="161">
        <v>90</v>
      </c>
      <c r="O50" s="161">
        <v>89</v>
      </c>
      <c r="P50" s="161">
        <v>89</v>
      </c>
      <c r="Q50" s="161">
        <v>89</v>
      </c>
      <c r="R50" s="161">
        <v>90</v>
      </c>
      <c r="S50" s="161">
        <v>90</v>
      </c>
      <c r="T50" s="161">
        <v>89</v>
      </c>
      <c r="U50" s="161">
        <v>90</v>
      </c>
      <c r="V50" s="161">
        <v>90</v>
      </c>
      <c r="W50" s="161">
        <v>91</v>
      </c>
      <c r="X50" s="161">
        <v>90</v>
      </c>
      <c r="Y50" s="161">
        <v>94</v>
      </c>
      <c r="Z50" s="161">
        <v>90</v>
      </c>
      <c r="AA50" s="161">
        <v>90</v>
      </c>
      <c r="AB50" s="161">
        <v>92</v>
      </c>
      <c r="AC50" s="161">
        <v>88</v>
      </c>
      <c r="AD50" s="161">
        <v>89</v>
      </c>
      <c r="AE50" s="161">
        <v>88</v>
      </c>
      <c r="AF50" s="161">
        <v>90</v>
      </c>
      <c r="AG50" s="161">
        <v>90</v>
      </c>
      <c r="AH50" s="161">
        <v>93</v>
      </c>
      <c r="AI50" s="161">
        <v>88</v>
      </c>
      <c r="AJ50" s="161">
        <v>95</v>
      </c>
      <c r="AK50" s="161">
        <v>90</v>
      </c>
      <c r="AL50" s="161">
        <v>89</v>
      </c>
      <c r="AM50" s="161">
        <v>88</v>
      </c>
      <c r="AN50" s="161">
        <v>87</v>
      </c>
      <c r="AO50" s="161">
        <v>89</v>
      </c>
      <c r="AP50" s="161">
        <v>91</v>
      </c>
      <c r="AQ50" s="161">
        <v>89</v>
      </c>
      <c r="AR50" s="161">
        <v>90</v>
      </c>
      <c r="AS50" s="161">
        <v>90</v>
      </c>
      <c r="AT50" s="161">
        <v>90</v>
      </c>
      <c r="AU50" s="161">
        <v>90</v>
      </c>
      <c r="AV50" s="161">
        <v>89</v>
      </c>
      <c r="AW50" s="161">
        <v>94</v>
      </c>
      <c r="AX50" s="161">
        <v>89</v>
      </c>
      <c r="AY50" s="161">
        <v>87</v>
      </c>
      <c r="AZ50" s="161">
        <v>89</v>
      </c>
      <c r="BA50" s="162">
        <v>89</v>
      </c>
      <c r="BB50" s="162">
        <v>87</v>
      </c>
      <c r="BC50" s="162">
        <v>85</v>
      </c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2"/>
      <c r="BX50" s="162"/>
      <c r="BY50" s="162"/>
      <c r="BZ50" s="163">
        <f t="shared" si="1"/>
        <v>4775</v>
      </c>
    </row>
    <row r="51" spans="1:78" x14ac:dyDescent="0.35">
      <c r="A51" s="154" t="s">
        <v>52</v>
      </c>
      <c r="B51" s="155">
        <f t="shared" si="2"/>
        <v>10.576923076923077</v>
      </c>
      <c r="C51" s="156">
        <v>10</v>
      </c>
      <c r="D51" s="157">
        <v>10</v>
      </c>
      <c r="E51" s="157">
        <v>10</v>
      </c>
      <c r="F51" s="157">
        <v>10</v>
      </c>
      <c r="G51" s="157">
        <v>10</v>
      </c>
      <c r="H51" s="157">
        <v>10</v>
      </c>
      <c r="I51" s="157">
        <v>10</v>
      </c>
      <c r="J51" s="157">
        <v>10</v>
      </c>
      <c r="K51" s="157">
        <v>10</v>
      </c>
      <c r="L51" s="107">
        <v>20</v>
      </c>
      <c r="M51" s="107">
        <v>10</v>
      </c>
      <c r="N51" s="107">
        <v>10</v>
      </c>
      <c r="O51" s="107">
        <v>10</v>
      </c>
      <c r="P51" s="107">
        <v>10</v>
      </c>
      <c r="Q51" s="107">
        <v>10</v>
      </c>
      <c r="R51" s="107">
        <v>10</v>
      </c>
      <c r="S51" s="107">
        <v>10</v>
      </c>
      <c r="T51" s="107">
        <v>10</v>
      </c>
      <c r="U51" s="107">
        <v>10</v>
      </c>
      <c r="V51" s="107">
        <v>15</v>
      </c>
      <c r="W51" s="107">
        <v>15</v>
      </c>
      <c r="X51" s="107">
        <v>10</v>
      </c>
      <c r="Y51" s="107">
        <v>10</v>
      </c>
      <c r="Z51" s="107">
        <v>10</v>
      </c>
      <c r="AA51" s="107">
        <v>10</v>
      </c>
      <c r="AB51" s="107">
        <v>10</v>
      </c>
      <c r="AC51" s="107">
        <v>10</v>
      </c>
      <c r="AD51" s="107">
        <v>10</v>
      </c>
      <c r="AE51" s="107">
        <v>10</v>
      </c>
      <c r="AF51" s="107">
        <v>10</v>
      </c>
      <c r="AG51" s="107">
        <v>10</v>
      </c>
      <c r="AH51" s="107">
        <v>10</v>
      </c>
      <c r="AI51" s="107">
        <v>10</v>
      </c>
      <c r="AJ51" s="107">
        <v>20</v>
      </c>
      <c r="AK51" s="107">
        <v>10</v>
      </c>
      <c r="AL51" s="107">
        <v>10</v>
      </c>
      <c r="AM51" s="107">
        <v>10</v>
      </c>
      <c r="AN51" s="107">
        <v>10</v>
      </c>
      <c r="AO51" s="107">
        <v>10</v>
      </c>
      <c r="AP51" s="107">
        <v>10</v>
      </c>
      <c r="AQ51" s="107">
        <v>10</v>
      </c>
      <c r="AR51" s="107">
        <v>10</v>
      </c>
      <c r="AS51" s="107">
        <v>10</v>
      </c>
      <c r="AT51" s="107">
        <v>10</v>
      </c>
      <c r="AU51" s="107">
        <v>10</v>
      </c>
      <c r="AV51" s="107">
        <v>10</v>
      </c>
      <c r="AW51" s="107">
        <v>10</v>
      </c>
      <c r="AX51" s="107">
        <v>10</v>
      </c>
      <c r="AY51" s="107">
        <v>10</v>
      </c>
      <c r="AZ51" s="107">
        <v>10</v>
      </c>
      <c r="BA51" s="106">
        <v>10</v>
      </c>
      <c r="BB51" s="106">
        <v>10</v>
      </c>
      <c r="BC51" s="106"/>
      <c r="BD51" s="106"/>
      <c r="BE51" s="106"/>
      <c r="BF51" s="106"/>
      <c r="BG51" s="106"/>
      <c r="BH51" s="106"/>
      <c r="BI51" s="106"/>
      <c r="BJ51" s="106"/>
      <c r="BK51" s="106"/>
      <c r="BL51" s="106"/>
      <c r="BM51" s="106"/>
      <c r="BN51" s="106"/>
      <c r="BO51" s="106"/>
      <c r="BP51" s="106"/>
      <c r="BQ51" s="106"/>
      <c r="BR51" s="106"/>
      <c r="BS51" s="106"/>
      <c r="BT51" s="106"/>
      <c r="BU51" s="106"/>
      <c r="BV51" s="106"/>
      <c r="BW51" s="106"/>
      <c r="BX51" s="106"/>
      <c r="BY51" s="106"/>
      <c r="BZ51" s="158">
        <f t="shared" si="1"/>
        <v>550</v>
      </c>
    </row>
    <row r="52" spans="1:78" x14ac:dyDescent="0.35">
      <c r="A52" s="154" t="s">
        <v>44</v>
      </c>
      <c r="B52" s="148">
        <f t="shared" si="2"/>
        <v>3579.4886792452826</v>
      </c>
      <c r="C52" s="159">
        <v>3968</v>
      </c>
      <c r="D52" s="160">
        <v>3391.2</v>
      </c>
      <c r="E52" s="160">
        <v>4203.6000000000004</v>
      </c>
      <c r="F52" s="160">
        <v>3856.8</v>
      </c>
      <c r="G52" s="160">
        <v>3016.1</v>
      </c>
      <c r="H52" s="160">
        <v>4280.7</v>
      </c>
      <c r="I52" s="160">
        <v>2657.9</v>
      </c>
      <c r="J52" s="160">
        <v>3411.8</v>
      </c>
      <c r="K52" s="160">
        <v>3824.8</v>
      </c>
      <c r="L52" s="161">
        <v>3689.6</v>
      </c>
      <c r="M52" s="161">
        <v>3544.7</v>
      </c>
      <c r="N52" s="161">
        <v>3552.8</v>
      </c>
      <c r="O52" s="161">
        <v>4023.2</v>
      </c>
      <c r="P52" s="161">
        <v>3852.8</v>
      </c>
      <c r="Q52" s="161">
        <v>3936.5</v>
      </c>
      <c r="R52" s="161">
        <v>4010</v>
      </c>
      <c r="S52" s="161">
        <v>3459</v>
      </c>
      <c r="T52" s="161">
        <v>3814.9</v>
      </c>
      <c r="U52" s="161">
        <v>3546.6</v>
      </c>
      <c r="V52" s="161">
        <v>3573</v>
      </c>
      <c r="W52" s="161">
        <v>3633</v>
      </c>
      <c r="X52" s="161">
        <v>3450.2</v>
      </c>
      <c r="Y52" s="161">
        <v>4210</v>
      </c>
      <c r="Z52" s="161">
        <v>3326.2</v>
      </c>
      <c r="AA52" s="161">
        <v>4206.3</v>
      </c>
      <c r="AB52" s="161">
        <v>3707</v>
      </c>
      <c r="AC52" s="161">
        <v>3456.8</v>
      </c>
      <c r="AD52" s="161">
        <v>2681.5</v>
      </c>
      <c r="AE52" s="161">
        <v>3817</v>
      </c>
      <c r="AF52" s="161">
        <v>3800</v>
      </c>
      <c r="AG52" s="161">
        <v>3590.9</v>
      </c>
      <c r="AH52" s="161">
        <v>3648.6</v>
      </c>
      <c r="AI52" s="161">
        <v>3636</v>
      </c>
      <c r="AJ52" s="161">
        <v>4123</v>
      </c>
      <c r="AK52" s="161">
        <v>2658.8</v>
      </c>
      <c r="AL52" s="161">
        <v>3699</v>
      </c>
      <c r="AM52" s="161">
        <v>3077.1</v>
      </c>
      <c r="AN52" s="161">
        <v>3713.1</v>
      </c>
      <c r="AO52" s="161">
        <v>3352</v>
      </c>
      <c r="AP52" s="161">
        <v>3523</v>
      </c>
      <c r="AQ52" s="161">
        <v>3889.2</v>
      </c>
      <c r="AR52" s="161">
        <v>3881</v>
      </c>
      <c r="AS52" s="161">
        <v>3997</v>
      </c>
      <c r="AT52" s="161">
        <v>3297.9</v>
      </c>
      <c r="AU52" s="161">
        <v>3214.4</v>
      </c>
      <c r="AV52" s="161">
        <v>3649</v>
      </c>
      <c r="AW52" s="161">
        <v>3447</v>
      </c>
      <c r="AX52" s="161">
        <v>3726.8</v>
      </c>
      <c r="AY52" s="161">
        <v>3370.3</v>
      </c>
      <c r="AZ52" s="161">
        <v>3307.5</v>
      </c>
      <c r="BA52" s="162">
        <v>3504</v>
      </c>
      <c r="BB52" s="162">
        <v>3168</v>
      </c>
      <c r="BC52" s="162">
        <v>2337.3000000000002</v>
      </c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2"/>
      <c r="BX52" s="162"/>
      <c r="BY52" s="162"/>
      <c r="BZ52" s="163">
        <f t="shared" si="1"/>
        <v>189712.89999999997</v>
      </c>
    </row>
    <row r="53" spans="1:78" x14ac:dyDescent="0.35">
      <c r="A53" s="154"/>
      <c r="B53" s="155" t="str">
        <f t="shared" si="2"/>
        <v/>
      </c>
      <c r="C53" s="156"/>
      <c r="D53" s="157"/>
      <c r="E53" s="157"/>
      <c r="F53" s="157"/>
      <c r="G53" s="157"/>
      <c r="H53" s="157"/>
      <c r="I53" s="157"/>
      <c r="J53" s="157"/>
      <c r="K53" s="15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7"/>
      <c r="AZ53" s="107"/>
      <c r="BA53" s="106"/>
      <c r="BB53" s="106"/>
      <c r="BC53" s="106"/>
      <c r="BD53" s="106"/>
      <c r="BE53" s="106"/>
      <c r="BF53" s="106"/>
      <c r="BG53" s="106"/>
      <c r="BH53" s="106"/>
      <c r="BI53" s="106"/>
      <c r="BJ53" s="106"/>
      <c r="BK53" s="106"/>
      <c r="BL53" s="106"/>
      <c r="BM53" s="106"/>
      <c r="BN53" s="106"/>
      <c r="BO53" s="106"/>
      <c r="BP53" s="106"/>
      <c r="BQ53" s="106"/>
      <c r="BR53" s="106"/>
      <c r="BS53" s="106"/>
      <c r="BT53" s="106"/>
      <c r="BU53" s="106"/>
      <c r="BV53" s="106"/>
      <c r="BW53" s="106"/>
      <c r="BX53" s="106"/>
      <c r="BY53" s="106"/>
      <c r="BZ53" s="158">
        <f t="shared" si="1"/>
        <v>0</v>
      </c>
    </row>
    <row r="54" spans="1:78" x14ac:dyDescent="0.35">
      <c r="A54" s="147">
        <f>'[11]Set Up'!E58</f>
        <v>0</v>
      </c>
      <c r="B54" s="148" t="str">
        <f t="shared" si="2"/>
        <v/>
      </c>
      <c r="C54" s="159"/>
      <c r="D54" s="160"/>
      <c r="E54" s="160"/>
      <c r="F54" s="160"/>
      <c r="G54" s="160"/>
      <c r="H54" s="160"/>
      <c r="I54" s="160"/>
      <c r="J54" s="160"/>
      <c r="K54" s="160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  <c r="AB54" s="161"/>
      <c r="AC54" s="161"/>
      <c r="AD54" s="161"/>
      <c r="AE54" s="161"/>
      <c r="AF54" s="161"/>
      <c r="AG54" s="161"/>
      <c r="AH54" s="161"/>
      <c r="AI54" s="161"/>
      <c r="AJ54" s="161"/>
      <c r="AK54" s="161"/>
      <c r="AL54" s="161"/>
      <c r="AM54" s="161"/>
      <c r="AN54" s="161"/>
      <c r="AO54" s="161"/>
      <c r="AP54" s="161"/>
      <c r="AQ54" s="161"/>
      <c r="AR54" s="161"/>
      <c r="AS54" s="161"/>
      <c r="AT54" s="161"/>
      <c r="AU54" s="161"/>
      <c r="AV54" s="161"/>
      <c r="AW54" s="161"/>
      <c r="AX54" s="161"/>
      <c r="AY54" s="161"/>
      <c r="AZ54" s="161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2"/>
      <c r="BX54" s="162"/>
      <c r="BY54" s="162"/>
      <c r="BZ54" s="163">
        <f t="shared" si="1"/>
        <v>0</v>
      </c>
    </row>
    <row r="55" spans="1:78" x14ac:dyDescent="0.35">
      <c r="A55" s="154">
        <f>'[11]Set Up'!E59</f>
        <v>0</v>
      </c>
      <c r="B55" s="155" t="str">
        <f t="shared" si="2"/>
        <v/>
      </c>
      <c r="C55" s="156"/>
      <c r="D55" s="157"/>
      <c r="E55" s="157"/>
      <c r="F55" s="157"/>
      <c r="G55" s="157"/>
      <c r="H55" s="157"/>
      <c r="I55" s="157"/>
      <c r="J55" s="157"/>
      <c r="K55" s="157"/>
      <c r="L55" s="107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6"/>
      <c r="BB55" s="106"/>
      <c r="BC55" s="106"/>
      <c r="BD55" s="106"/>
      <c r="BE55" s="106"/>
      <c r="BF55" s="106"/>
      <c r="BG55" s="106"/>
      <c r="BH55" s="106"/>
      <c r="BI55" s="106"/>
      <c r="BJ55" s="106"/>
      <c r="BK55" s="106"/>
      <c r="BL55" s="106"/>
      <c r="BM55" s="106"/>
      <c r="BN55" s="106"/>
      <c r="BO55" s="106"/>
      <c r="BP55" s="106"/>
      <c r="BQ55" s="106"/>
      <c r="BR55" s="106"/>
      <c r="BS55" s="106"/>
      <c r="BT55" s="106"/>
      <c r="BU55" s="106"/>
      <c r="BV55" s="106"/>
      <c r="BW55" s="106"/>
      <c r="BX55" s="106"/>
      <c r="BY55" s="106"/>
      <c r="BZ55" s="158">
        <f t="shared" si="1"/>
        <v>0</v>
      </c>
    </row>
    <row r="56" spans="1:78" x14ac:dyDescent="0.35">
      <c r="A56" s="164">
        <f>'[11]Set Up'!E60</f>
        <v>0</v>
      </c>
      <c r="B56" s="165" t="str">
        <f t="shared" si="2"/>
        <v/>
      </c>
      <c r="C56" s="159"/>
      <c r="D56" s="160"/>
      <c r="E56" s="160"/>
      <c r="F56" s="160"/>
      <c r="G56" s="160"/>
      <c r="H56" s="160"/>
      <c r="I56" s="160"/>
      <c r="J56" s="160"/>
      <c r="K56" s="160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61"/>
      <c r="AM56" s="161"/>
      <c r="AN56" s="161"/>
      <c r="AO56" s="161"/>
      <c r="AP56" s="161"/>
      <c r="AQ56" s="161"/>
      <c r="AR56" s="161"/>
      <c r="AS56" s="161"/>
      <c r="AT56" s="161"/>
      <c r="AU56" s="161"/>
      <c r="AV56" s="161"/>
      <c r="AW56" s="161"/>
      <c r="AX56" s="161"/>
      <c r="AY56" s="161"/>
      <c r="AZ56" s="161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2"/>
      <c r="BX56" s="162"/>
      <c r="BY56" s="162"/>
      <c r="BZ56" s="163">
        <f t="shared" si="1"/>
        <v>0</v>
      </c>
    </row>
    <row r="57" spans="1:78" x14ac:dyDescent="0.35">
      <c r="A57" s="166" t="s">
        <v>45</v>
      </c>
      <c r="B57" s="167">
        <f t="shared" si="2"/>
        <v>886.47169811320759</v>
      </c>
      <c r="C57" s="156">
        <v>1219</v>
      </c>
      <c r="D57" s="157">
        <v>1259</v>
      </c>
      <c r="E57" s="157">
        <v>1269</v>
      </c>
      <c r="F57" s="157">
        <v>1258</v>
      </c>
      <c r="G57" s="157">
        <v>1219</v>
      </c>
      <c r="H57" s="157">
        <v>1250</v>
      </c>
      <c r="I57" s="157">
        <v>1172</v>
      </c>
      <c r="J57" s="157">
        <v>1301</v>
      </c>
      <c r="K57" s="157">
        <v>1224</v>
      </c>
      <c r="L57" s="107">
        <v>1261</v>
      </c>
      <c r="M57" s="107">
        <v>1269</v>
      </c>
      <c r="N57" s="107">
        <v>1256</v>
      </c>
      <c r="O57" s="107">
        <v>1211</v>
      </c>
      <c r="P57" s="107">
        <v>1280</v>
      </c>
      <c r="Q57" s="107">
        <v>1251</v>
      </c>
      <c r="R57" s="107">
        <v>1285</v>
      </c>
      <c r="S57" s="107">
        <v>1293</v>
      </c>
      <c r="T57" s="107">
        <v>1301</v>
      </c>
      <c r="U57" s="107">
        <v>1224</v>
      </c>
      <c r="V57" s="107">
        <v>1261</v>
      </c>
      <c r="W57" s="107">
        <v>1269</v>
      </c>
      <c r="X57" s="107">
        <v>945</v>
      </c>
      <c r="Y57" s="107">
        <v>617</v>
      </c>
      <c r="Z57" s="107">
        <v>905</v>
      </c>
      <c r="AA57" s="107">
        <v>733</v>
      </c>
      <c r="AB57" s="107">
        <v>686</v>
      </c>
      <c r="AC57" s="107">
        <v>644</v>
      </c>
      <c r="AD57" s="107">
        <v>586</v>
      </c>
      <c r="AE57" s="107">
        <v>697</v>
      </c>
      <c r="AF57" s="107">
        <v>641</v>
      </c>
      <c r="AG57" s="107">
        <v>688</v>
      </c>
      <c r="AH57" s="107">
        <v>575</v>
      </c>
      <c r="AI57" s="107">
        <v>596</v>
      </c>
      <c r="AJ57" s="107">
        <v>610</v>
      </c>
      <c r="AK57" s="107">
        <v>620</v>
      </c>
      <c r="AL57" s="107">
        <v>631</v>
      </c>
      <c r="AM57" s="107">
        <v>633</v>
      </c>
      <c r="AN57" s="107">
        <v>636</v>
      </c>
      <c r="AO57" s="107">
        <v>633</v>
      </c>
      <c r="AP57" s="107">
        <v>631</v>
      </c>
      <c r="AQ57" s="107">
        <v>620</v>
      </c>
      <c r="AR57" s="107">
        <v>609</v>
      </c>
      <c r="AS57" s="107">
        <v>596</v>
      </c>
      <c r="AT57" s="107">
        <v>715</v>
      </c>
      <c r="AU57" s="107">
        <v>546</v>
      </c>
      <c r="AV57" s="107">
        <v>644</v>
      </c>
      <c r="AW57" s="107">
        <v>628</v>
      </c>
      <c r="AX57" s="107">
        <v>599</v>
      </c>
      <c r="AY57" s="107">
        <v>652</v>
      </c>
      <c r="AZ57" s="107">
        <v>554</v>
      </c>
      <c r="BA57" s="107">
        <v>575</v>
      </c>
      <c r="BB57" s="107">
        <v>596</v>
      </c>
      <c r="BC57" s="107">
        <v>610</v>
      </c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  <c r="BT57" s="107"/>
      <c r="BU57" s="107"/>
      <c r="BV57" s="107"/>
      <c r="BW57" s="107"/>
      <c r="BX57" s="107"/>
      <c r="BY57" s="107"/>
      <c r="BZ57" s="90">
        <f t="shared" si="1"/>
        <v>46983</v>
      </c>
    </row>
  </sheetData>
  <mergeCells count="14">
    <mergeCell ref="B1:D1"/>
    <mergeCell ref="F1:G1"/>
    <mergeCell ref="B2:D2"/>
    <mergeCell ref="F2:G2"/>
    <mergeCell ref="B3:D3"/>
    <mergeCell ref="F3:G3"/>
    <mergeCell ref="B12:B14"/>
    <mergeCell ref="C15:I15"/>
    <mergeCell ref="B4:D4"/>
    <mergeCell ref="F4:G4"/>
    <mergeCell ref="B5:E5"/>
    <mergeCell ref="F5:H5"/>
    <mergeCell ref="I5:K5"/>
    <mergeCell ref="B7:B1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P53"/>
  <sheetViews>
    <sheetView workbookViewId="0">
      <selection activeCell="A54" sqref="A54"/>
    </sheetView>
  </sheetViews>
  <sheetFormatPr defaultRowHeight="14.5" x14ac:dyDescent="0.35"/>
  <cols>
    <col min="1" max="1" width="21.1796875" bestFit="1" customWidth="1"/>
    <col min="2" max="2" width="17.81640625" bestFit="1" customWidth="1"/>
    <col min="3" max="4" width="7.453125" bestFit="1" customWidth="1"/>
    <col min="5" max="5" width="9.54296875" bestFit="1" customWidth="1"/>
    <col min="6" max="7" width="7.453125" bestFit="1" customWidth="1"/>
    <col min="8" max="8" width="8.1796875" bestFit="1" customWidth="1"/>
    <col min="9" max="9" width="7.453125" bestFit="1" customWidth="1"/>
    <col min="10" max="10" width="8" bestFit="1" customWidth="1"/>
    <col min="11" max="11" width="7.7265625" bestFit="1" customWidth="1"/>
    <col min="12" max="41" width="7.453125" bestFit="1" customWidth="1"/>
    <col min="42" max="42" width="9.81640625" bestFit="1" customWidth="1"/>
  </cols>
  <sheetData>
    <row r="1" spans="1:42" x14ac:dyDescent="0.35">
      <c r="A1" s="3" t="s">
        <v>1</v>
      </c>
      <c r="B1" s="188">
        <f>'[12]Set Up'!E4</f>
        <v>0</v>
      </c>
      <c r="C1" s="207"/>
      <c r="D1" s="208"/>
      <c r="E1" s="4" t="s">
        <v>2</v>
      </c>
      <c r="F1" s="209" t="str">
        <f>'[12]Set Up'!E8</f>
        <v>Loving County, TX</v>
      </c>
      <c r="G1" s="210"/>
      <c r="H1" s="5" t="str">
        <f>'[12]Set Up'!K14</f>
        <v>Length</v>
      </c>
      <c r="I1" s="6" t="str">
        <f>'[12]Set Up'!E14</f>
        <v>OD</v>
      </c>
      <c r="J1" s="7" t="str">
        <f>'[12]Set Up'!F14</f>
        <v>Weight</v>
      </c>
      <c r="K1" s="6" t="str">
        <f>'[12]Set Up'!H14</f>
        <v>Grade</v>
      </c>
      <c r="L1" s="18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8"/>
    </row>
    <row r="2" spans="1:42" x14ac:dyDescent="0.35">
      <c r="A2" s="3" t="s">
        <v>3</v>
      </c>
      <c r="B2" s="188" t="str">
        <f>'[12]Set Up'!E6</f>
        <v>Matt Jones</v>
      </c>
      <c r="C2" s="207"/>
      <c r="D2" s="208"/>
      <c r="E2" s="4" t="s">
        <v>4</v>
      </c>
      <c r="F2" s="209" t="str">
        <f>'[12]Set Up'!J6</f>
        <v>Hot</v>
      </c>
      <c r="G2" s="210"/>
      <c r="H2" s="5">
        <f>'[12]Set Up'!K15</f>
        <v>8378</v>
      </c>
      <c r="I2" s="6" t="str">
        <f>'[12]Set Up'!E15</f>
        <v>7"</v>
      </c>
      <c r="J2" s="7">
        <f>'[12]Set Up'!F15</f>
        <v>29</v>
      </c>
      <c r="K2" s="6" t="str">
        <f>'[12]Set Up'!H15</f>
        <v>HCP-110</v>
      </c>
      <c r="L2" s="18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8"/>
    </row>
    <row r="3" spans="1:42" x14ac:dyDescent="0.35">
      <c r="A3" s="3" t="s">
        <v>5</v>
      </c>
      <c r="B3" s="188" t="str">
        <f>'[12]Set Up'!E5</f>
        <v>Anadarko Petroleum Corporation</v>
      </c>
      <c r="C3" s="207"/>
      <c r="D3" s="208"/>
      <c r="E3" s="4" t="s">
        <v>6</v>
      </c>
      <c r="F3" s="211" t="str">
        <f>'[12]Set Up'!R1</f>
        <v>Max Pressure, psi</v>
      </c>
      <c r="G3" s="212"/>
      <c r="H3" s="5">
        <f>'[12]Set Up'!K16</f>
        <v>11824</v>
      </c>
      <c r="I3" s="6" t="str">
        <f>'[12]Set Up'!E16</f>
        <v>4-1/2"</v>
      </c>
      <c r="J3" s="7">
        <f>'[12]Set Up'!F16</f>
        <v>13.5</v>
      </c>
      <c r="K3" s="6" t="str">
        <f>'[12]Set Up'!H16</f>
        <v>P-110</v>
      </c>
      <c r="L3" s="18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9"/>
    </row>
    <row r="4" spans="1:42" x14ac:dyDescent="0.35">
      <c r="A4" s="3" t="s">
        <v>7</v>
      </c>
      <c r="B4" s="188" t="str">
        <f>'[12]Set Up'!E7</f>
        <v>Silvertip 76-7 Unit B 3H</v>
      </c>
      <c r="C4" s="207"/>
      <c r="D4" s="208"/>
      <c r="E4" s="10" t="s">
        <v>8</v>
      </c>
      <c r="F4" s="186" t="str">
        <f>'[12]Set Up'!R10</f>
        <v>Job Type</v>
      </c>
      <c r="G4" s="187"/>
      <c r="H4" s="5" t="str">
        <f>'[12]Set Up'!K17</f>
        <v/>
      </c>
      <c r="I4" s="6" t="str">
        <f>'[12]Set Up'!E17</f>
        <v/>
      </c>
      <c r="J4" s="7" t="str">
        <f>'[12]Set Up'!F17</f>
        <v/>
      </c>
      <c r="K4" s="6" t="str">
        <f>'[12]Set Up'!H17</f>
        <v/>
      </c>
      <c r="L4" s="18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8"/>
    </row>
    <row r="5" spans="1:42" x14ac:dyDescent="0.35">
      <c r="A5" s="3" t="s">
        <v>9</v>
      </c>
      <c r="B5" s="188" t="str">
        <f>'[12]Set Up'!E9</f>
        <v>Wolfcamp Alpha W1</v>
      </c>
      <c r="C5" s="189"/>
      <c r="D5" s="189"/>
      <c r="E5" s="190"/>
      <c r="F5" s="191" t="str">
        <f>'[12]Set Up'!E10</f>
        <v>PumpCo 3</v>
      </c>
      <c r="G5" s="192"/>
      <c r="H5" s="193"/>
      <c r="I5" s="191" t="str">
        <f>'[12]Set Up'!E11</f>
        <v>Odessa</v>
      </c>
      <c r="J5" s="192"/>
      <c r="K5" s="193"/>
      <c r="L5" s="182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2"/>
      <c r="AK5" s="12"/>
      <c r="AL5" s="12"/>
      <c r="AM5" s="12"/>
      <c r="AN5" s="12"/>
      <c r="AO5" s="12"/>
      <c r="AP5" s="13"/>
    </row>
    <row r="6" spans="1:42" ht="15" thickBot="1" x14ac:dyDescent="0.4">
      <c r="A6" s="14" t="s">
        <v>10</v>
      </c>
      <c r="B6" s="15" t="s">
        <v>11</v>
      </c>
      <c r="C6" s="15">
        <v>1</v>
      </c>
      <c r="D6" s="15">
        <v>2</v>
      </c>
      <c r="E6" s="15">
        <v>3</v>
      </c>
      <c r="F6" s="16">
        <v>4</v>
      </c>
      <c r="G6" s="15">
        <v>5</v>
      </c>
      <c r="H6" s="15">
        <v>6</v>
      </c>
      <c r="I6" s="15">
        <v>7</v>
      </c>
      <c r="J6" s="15">
        <v>8</v>
      </c>
      <c r="K6" s="15">
        <v>9</v>
      </c>
      <c r="L6" s="15">
        <v>10</v>
      </c>
      <c r="M6" s="15">
        <v>11</v>
      </c>
      <c r="N6" s="15">
        <v>12</v>
      </c>
      <c r="O6" s="15">
        <v>13</v>
      </c>
      <c r="P6" s="15">
        <v>14</v>
      </c>
      <c r="Q6" s="15">
        <v>15</v>
      </c>
      <c r="R6" s="15">
        <v>16</v>
      </c>
      <c r="S6" s="15">
        <v>17</v>
      </c>
      <c r="T6" s="15">
        <v>18</v>
      </c>
      <c r="U6" s="15">
        <v>19</v>
      </c>
      <c r="V6" s="15">
        <v>20</v>
      </c>
      <c r="W6" s="15">
        <v>21</v>
      </c>
      <c r="X6" s="15">
        <v>22</v>
      </c>
      <c r="Y6" s="15">
        <v>23</v>
      </c>
      <c r="Z6" s="15">
        <v>24</v>
      </c>
      <c r="AA6" s="15">
        <v>25</v>
      </c>
      <c r="AB6" s="15">
        <v>26</v>
      </c>
      <c r="AC6" s="15">
        <v>27</v>
      </c>
      <c r="AD6" s="15">
        <v>28</v>
      </c>
      <c r="AE6" s="15">
        <v>29</v>
      </c>
      <c r="AF6" s="15">
        <v>30</v>
      </c>
      <c r="AG6" s="15">
        <v>31</v>
      </c>
      <c r="AH6" s="15">
        <v>32</v>
      </c>
      <c r="AI6" s="15">
        <v>33</v>
      </c>
      <c r="AJ6" s="15">
        <v>34</v>
      </c>
      <c r="AK6" s="15">
        <v>35</v>
      </c>
      <c r="AL6" s="15">
        <v>36</v>
      </c>
      <c r="AM6" s="15">
        <v>37</v>
      </c>
      <c r="AN6" s="15">
        <v>38</v>
      </c>
      <c r="AO6" s="15">
        <v>39</v>
      </c>
      <c r="AP6" s="17" t="s">
        <v>12</v>
      </c>
    </row>
    <row r="7" spans="1:42" x14ac:dyDescent="0.35">
      <c r="A7" s="18" t="s">
        <v>13</v>
      </c>
      <c r="B7" s="194" t="s">
        <v>14</v>
      </c>
      <c r="C7" s="19">
        <f>'[12]Set Up'!$U$2</f>
        <v>19965</v>
      </c>
      <c r="D7" s="19">
        <f>'[12]Set Up'!$U$3</f>
        <v>19765</v>
      </c>
      <c r="E7" s="19">
        <f>'[12]Set Up'!$U$4</f>
        <v>19565</v>
      </c>
      <c r="F7" s="19">
        <f>'[12]Set Up'!$U$5</f>
        <v>19364</v>
      </c>
      <c r="G7" s="19">
        <f>'[12]Set Up'!$U$6</f>
        <v>19164</v>
      </c>
      <c r="H7" s="19">
        <f>'[12]Set Up'!$U$7</f>
        <v>18964</v>
      </c>
      <c r="I7" s="19">
        <f>'[12]Set Up'!$U$8</f>
        <v>18764</v>
      </c>
      <c r="J7" s="19">
        <f>'[12]Set Up'!$U$9</f>
        <v>18564</v>
      </c>
      <c r="K7" s="19">
        <f>'[12]Set Up'!$U$10</f>
        <v>18363</v>
      </c>
      <c r="L7" s="19">
        <f>'[12]Set Up'!$U$11</f>
        <v>18163</v>
      </c>
      <c r="M7" s="19">
        <f>'[12]Set Up'!$U$12</f>
        <v>17963</v>
      </c>
      <c r="N7" s="19">
        <f>'[12]Set Up'!$U$13</f>
        <v>17763</v>
      </c>
      <c r="O7" s="19">
        <f>'[12]Set Up'!$U$14</f>
        <v>17563</v>
      </c>
      <c r="P7" s="19">
        <f>'[12]Set Up'!$U$15</f>
        <v>17362</v>
      </c>
      <c r="Q7" s="19">
        <f>'[12]Set Up'!$U$16</f>
        <v>17162</v>
      </c>
      <c r="R7" s="19">
        <f>'[12]Set Up'!$U$17</f>
        <v>16962</v>
      </c>
      <c r="S7" s="19">
        <f>'[12]Set Up'!$U$18</f>
        <v>16762</v>
      </c>
      <c r="T7" s="19">
        <f>'[12]Set Up'!$U$19</f>
        <v>15561</v>
      </c>
      <c r="U7" s="19">
        <f>'[12]Set Up'!$U$20</f>
        <v>16361</v>
      </c>
      <c r="V7" s="19">
        <f>'[12]Set Up'!$U$21</f>
        <v>16161</v>
      </c>
      <c r="W7" s="19">
        <f>'[12]Set Up'!$U$22</f>
        <v>15961</v>
      </c>
      <c r="X7" s="19">
        <f>'[12]Set Up'!$U$23</f>
        <v>15761</v>
      </c>
      <c r="Y7" s="19">
        <f>'[12]Set Up'!$U$24</f>
        <v>15560</v>
      </c>
      <c r="Z7" s="19">
        <f>'[12]Set Up'!$U$25</f>
        <v>15360</v>
      </c>
      <c r="AA7" s="19">
        <f>'[12]Set Up'!$U$26</f>
        <v>15160</v>
      </c>
      <c r="AB7" s="19">
        <f>'[12]Set Up'!$U$27</f>
        <v>14960</v>
      </c>
      <c r="AC7" s="19">
        <f>'[12]Set Up'!$U$28</f>
        <v>14760</v>
      </c>
      <c r="AD7" s="19">
        <f>'[12]Set Up'!$U$29</f>
        <v>14559</v>
      </c>
      <c r="AE7" s="19">
        <f>'[12]Set Up'!$U$30</f>
        <v>14359</v>
      </c>
      <c r="AF7" s="19">
        <f>'[12]Set Up'!$U$31</f>
        <v>14159</v>
      </c>
      <c r="AG7" s="19">
        <f>'[12]Set Up'!$U$32</f>
        <v>13959</v>
      </c>
      <c r="AH7" s="19">
        <f>'[12]Set Up'!$U$33</f>
        <v>13758</v>
      </c>
      <c r="AI7" s="19">
        <f>'[12]Set Up'!$U$34</f>
        <v>13558</v>
      </c>
      <c r="AJ7" s="19">
        <f>'[12]Set Up'!$U$35</f>
        <v>13358</v>
      </c>
      <c r="AK7" s="19">
        <f>'[12]Set Up'!$U$36</f>
        <v>13158</v>
      </c>
      <c r="AL7" s="19">
        <f>'[12]Set Up'!$U$37</f>
        <v>12958</v>
      </c>
      <c r="AM7" s="19">
        <f>'[12]Set Up'!$U$38</f>
        <v>12757</v>
      </c>
      <c r="AN7" s="19">
        <f>'[12]Set Up'!$U$39</f>
        <v>12557</v>
      </c>
      <c r="AO7" s="19">
        <f>'[12]Set Up'!$U$40</f>
        <v>12357</v>
      </c>
      <c r="AP7" s="8"/>
    </row>
    <row r="8" spans="1:42" x14ac:dyDescent="0.35">
      <c r="A8" s="20" t="s">
        <v>15</v>
      </c>
      <c r="B8" s="195"/>
      <c r="C8" s="21" t="str">
        <f>'[12]Set Up'!$V1</f>
        <v>Bot Perf</v>
      </c>
      <c r="D8" s="21">
        <f>'[12]Set Up'!$V2</f>
        <v>20126</v>
      </c>
      <c r="E8" s="21">
        <f>'[12]Set Up'!$V3</f>
        <v>19926</v>
      </c>
      <c r="F8" s="21">
        <f>'[12]Set Up'!$V4</f>
        <v>19726</v>
      </c>
      <c r="G8" s="21">
        <f>'[12]Set Up'!$V5</f>
        <v>19526</v>
      </c>
      <c r="H8" s="21">
        <f>'[12]Set Up'!$V6</f>
        <v>19325</v>
      </c>
      <c r="I8" s="21">
        <f>'[12]Set Up'!$V7</f>
        <v>19125</v>
      </c>
      <c r="J8" s="21">
        <f>'[12]Set Up'!$V8</f>
        <v>18925</v>
      </c>
      <c r="K8" s="21">
        <f>'[12]Set Up'!$V9</f>
        <v>18725</v>
      </c>
      <c r="L8" s="21">
        <f>'[12]Set Up'!$V10</f>
        <v>18525</v>
      </c>
      <c r="M8" s="21">
        <f>'[12]Set Up'!$V11</f>
        <v>18324</v>
      </c>
      <c r="N8" s="21">
        <f>'[12]Set Up'!$V12</f>
        <v>18124</v>
      </c>
      <c r="O8" s="21">
        <f>'[12]Set Up'!$V13</f>
        <v>17924</v>
      </c>
      <c r="P8" s="21">
        <f>'[12]Set Up'!$V14</f>
        <v>17724</v>
      </c>
      <c r="Q8" s="21">
        <f>'[12]Set Up'!$V15</f>
        <v>17524</v>
      </c>
      <c r="R8" s="21">
        <f>'[12]Set Up'!$V16</f>
        <v>17323</v>
      </c>
      <c r="S8" s="21">
        <f>'[12]Set Up'!$V17</f>
        <v>17123</v>
      </c>
      <c r="T8" s="21">
        <f>'[12]Set Up'!$V18</f>
        <v>16923</v>
      </c>
      <c r="U8" s="21">
        <f>'[12]Set Up'!$V19</f>
        <v>16723</v>
      </c>
      <c r="V8" s="21">
        <f>'[12]Set Up'!$V20</f>
        <v>16522</v>
      </c>
      <c r="W8" s="21">
        <f>'[12]Set Up'!$V21</f>
        <v>16322</v>
      </c>
      <c r="X8" s="21">
        <f>'[12]Set Up'!$V22</f>
        <v>16122</v>
      </c>
      <c r="Y8" s="21">
        <f>'[12]Set Up'!$V23</f>
        <v>15922</v>
      </c>
      <c r="Z8" s="21">
        <f>'[12]Set Up'!$V24</f>
        <v>15722</v>
      </c>
      <c r="AA8" s="21">
        <f>'[12]Set Up'!$V25</f>
        <v>15521</v>
      </c>
      <c r="AB8" s="21">
        <f>'[12]Set Up'!$V26</f>
        <v>15321</v>
      </c>
      <c r="AC8" s="21">
        <f>'[12]Set Up'!$V27</f>
        <v>15121</v>
      </c>
      <c r="AD8" s="21">
        <f>'[12]Set Up'!$V28</f>
        <v>14921</v>
      </c>
      <c r="AE8" s="21">
        <f>'[12]Set Up'!$V29</f>
        <v>14721</v>
      </c>
      <c r="AF8" s="21">
        <f>'[12]Set Up'!$V30</f>
        <v>14520</v>
      </c>
      <c r="AG8" s="21">
        <f>'[12]Set Up'!$V31</f>
        <v>14320</v>
      </c>
      <c r="AH8" s="21">
        <f>'[12]Set Up'!$V32</f>
        <v>14120</v>
      </c>
      <c r="AI8" s="21">
        <f>'[12]Set Up'!$V33</f>
        <v>13920</v>
      </c>
      <c r="AJ8" s="21">
        <f>'[12]Set Up'!$V34</f>
        <v>13719</v>
      </c>
      <c r="AK8" s="21">
        <f>'[12]Set Up'!$V35</f>
        <v>13519</v>
      </c>
      <c r="AL8" s="21">
        <f>'[12]Set Up'!$V36</f>
        <v>13319</v>
      </c>
      <c r="AM8" s="21">
        <f>'[12]Set Up'!$V37</f>
        <v>13119</v>
      </c>
      <c r="AN8" s="21">
        <f>'[12]Set Up'!$V38</f>
        <v>12919</v>
      </c>
      <c r="AO8" s="21">
        <f>'[12]Set Up'!$V39</f>
        <v>12718</v>
      </c>
      <c r="AP8" s="8"/>
    </row>
    <row r="9" spans="1:42" ht="15" thickBot="1" x14ac:dyDescent="0.4">
      <c r="A9" s="22" t="s">
        <v>16</v>
      </c>
      <c r="B9" s="195"/>
      <c r="C9" s="23" t="str">
        <f>'[12]Set Up'!$W1</f>
        <v>No. Perfs</v>
      </c>
      <c r="D9" s="23">
        <f>'[12]Set Up'!$W2</f>
        <v>24</v>
      </c>
      <c r="E9" s="23">
        <f>'[12]Set Up'!$W3</f>
        <v>24</v>
      </c>
      <c r="F9" s="23">
        <f>'[12]Set Up'!$W4</f>
        <v>24</v>
      </c>
      <c r="G9" s="23">
        <f>'[12]Set Up'!$W5</f>
        <v>24</v>
      </c>
      <c r="H9" s="23">
        <f>'[12]Set Up'!$W6</f>
        <v>24</v>
      </c>
      <c r="I9" s="23">
        <f>'[12]Set Up'!$W7</f>
        <v>24</v>
      </c>
      <c r="J9" s="23">
        <f>'[12]Set Up'!$W8</f>
        <v>24</v>
      </c>
      <c r="K9" s="23">
        <f>'[12]Set Up'!$W9</f>
        <v>24</v>
      </c>
      <c r="L9" s="23">
        <f>'[12]Set Up'!$W10</f>
        <v>24</v>
      </c>
      <c r="M9" s="23">
        <f>'[12]Set Up'!$W11</f>
        <v>24</v>
      </c>
      <c r="N9" s="23">
        <f>'[12]Set Up'!$W12</f>
        <v>24</v>
      </c>
      <c r="O9" s="23">
        <f>'[12]Set Up'!$W13</f>
        <v>24</v>
      </c>
      <c r="P9" s="23">
        <f>'[12]Set Up'!$W14</f>
        <v>24</v>
      </c>
      <c r="Q9" s="23">
        <f>'[12]Set Up'!$W15</f>
        <v>24</v>
      </c>
      <c r="R9" s="23">
        <f>'[12]Set Up'!$W16</f>
        <v>24</v>
      </c>
      <c r="S9" s="23">
        <f>'[12]Set Up'!$W17</f>
        <v>24</v>
      </c>
      <c r="T9" s="23">
        <f>'[12]Set Up'!$W18</f>
        <v>24</v>
      </c>
      <c r="U9" s="23">
        <f>'[12]Set Up'!$W19</f>
        <v>24</v>
      </c>
      <c r="V9" s="23">
        <f>'[12]Set Up'!$W20</f>
        <v>24</v>
      </c>
      <c r="W9" s="23">
        <f>'[12]Set Up'!$W21</f>
        <v>24</v>
      </c>
      <c r="X9" s="23">
        <f>'[12]Set Up'!$W22</f>
        <v>24</v>
      </c>
      <c r="Y9" s="23">
        <f>'[12]Set Up'!$W23</f>
        <v>24</v>
      </c>
      <c r="Z9" s="23">
        <f>'[12]Set Up'!$W24</f>
        <v>24</v>
      </c>
      <c r="AA9" s="23">
        <f>'[12]Set Up'!$W25</f>
        <v>24</v>
      </c>
      <c r="AB9" s="23">
        <f>'[12]Set Up'!$W26</f>
        <v>24</v>
      </c>
      <c r="AC9" s="23">
        <f>'[12]Set Up'!$W27</f>
        <v>24</v>
      </c>
      <c r="AD9" s="23">
        <f>'[12]Set Up'!$W28</f>
        <v>24</v>
      </c>
      <c r="AE9" s="23">
        <f>'[12]Set Up'!$W29</f>
        <v>24</v>
      </c>
      <c r="AF9" s="23">
        <f>'[12]Set Up'!$W30</f>
        <v>24</v>
      </c>
      <c r="AG9" s="23">
        <f>'[12]Set Up'!$W31</f>
        <v>24</v>
      </c>
      <c r="AH9" s="23">
        <f>'[12]Set Up'!$W32</f>
        <v>24</v>
      </c>
      <c r="AI9" s="23">
        <f>'[12]Set Up'!$W33</f>
        <v>24</v>
      </c>
      <c r="AJ9" s="23">
        <f>'[12]Set Up'!$W34</f>
        <v>24</v>
      </c>
      <c r="AK9" s="23">
        <f>'[12]Set Up'!$W35</f>
        <v>24</v>
      </c>
      <c r="AL9" s="23">
        <f>'[12]Set Up'!$W36</f>
        <v>24</v>
      </c>
      <c r="AM9" s="23">
        <f>'[12]Set Up'!$W37</f>
        <v>24</v>
      </c>
      <c r="AN9" s="23">
        <f>'[12]Set Up'!$W38</f>
        <v>24</v>
      </c>
      <c r="AO9" s="23">
        <f>'[12]Set Up'!$W39</f>
        <v>24</v>
      </c>
      <c r="AP9" s="8"/>
    </row>
    <row r="10" spans="1:42" x14ac:dyDescent="0.35">
      <c r="A10" s="18" t="s">
        <v>17</v>
      </c>
      <c r="B10" s="195"/>
      <c r="C10" s="19" t="str">
        <f>'[12]Set Up'!$X1</f>
        <v>Plug</v>
      </c>
      <c r="D10" s="19">
        <f>'[12]Set Up'!$X2</f>
        <v>20145</v>
      </c>
      <c r="E10" s="19">
        <f>'[12]Set Up'!$X3</f>
        <v>19945</v>
      </c>
      <c r="F10" s="19">
        <f>'[12]Set Up'!$X4</f>
        <v>19745</v>
      </c>
      <c r="G10" s="19">
        <f>'[12]Set Up'!$X5</f>
        <v>19545</v>
      </c>
      <c r="H10" s="19">
        <f>'[12]Set Up'!$X6</f>
        <v>19344</v>
      </c>
      <c r="I10" s="19">
        <f>'[12]Set Up'!$X7</f>
        <v>19144</v>
      </c>
      <c r="J10" s="19">
        <f>'[12]Set Up'!$X8</f>
        <v>18944</v>
      </c>
      <c r="K10" s="19">
        <f>'[12]Set Up'!$X9</f>
        <v>18744</v>
      </c>
      <c r="L10" s="19">
        <f>'[12]Set Up'!$X10</f>
        <v>18544</v>
      </c>
      <c r="M10" s="19">
        <f>'[12]Set Up'!$X11</f>
        <v>18343</v>
      </c>
      <c r="N10" s="19">
        <f>'[12]Set Up'!$X12</f>
        <v>18143</v>
      </c>
      <c r="O10" s="19">
        <f>'[12]Set Up'!$X13</f>
        <v>17943</v>
      </c>
      <c r="P10" s="19">
        <f>'[12]Set Up'!$X14</f>
        <v>17743</v>
      </c>
      <c r="Q10" s="19">
        <f>'[12]Set Up'!$X15</f>
        <v>17543</v>
      </c>
      <c r="R10" s="19">
        <f>'[12]Set Up'!$X16</f>
        <v>17342</v>
      </c>
      <c r="S10" s="19">
        <f>'[12]Set Up'!$X17</f>
        <v>17142</v>
      </c>
      <c r="T10" s="19">
        <f>'[12]Set Up'!$X18</f>
        <v>16942</v>
      </c>
      <c r="U10" s="19">
        <f>'[12]Set Up'!$X19</f>
        <v>16742</v>
      </c>
      <c r="V10" s="19">
        <f>'[12]Set Up'!$X20</f>
        <v>16541</v>
      </c>
      <c r="W10" s="19">
        <f>'[12]Set Up'!$X21</f>
        <v>16341</v>
      </c>
      <c r="X10" s="19">
        <f>'[12]Set Up'!$X22</f>
        <v>16141</v>
      </c>
      <c r="Y10" s="19">
        <f>'[12]Set Up'!$X23</f>
        <v>15941</v>
      </c>
      <c r="Z10" s="19">
        <f>'[12]Set Up'!$X24</f>
        <v>15741</v>
      </c>
      <c r="AA10" s="19">
        <f>'[12]Set Up'!$X25</f>
        <v>15540</v>
      </c>
      <c r="AB10" s="19">
        <f>'[12]Set Up'!$X26</f>
        <v>15340</v>
      </c>
      <c r="AC10" s="19">
        <f>'[12]Set Up'!$X27</f>
        <v>15140</v>
      </c>
      <c r="AD10" s="19">
        <f>'[12]Set Up'!$X28</f>
        <v>14940</v>
      </c>
      <c r="AE10" s="19">
        <f>'[12]Set Up'!$X29</f>
        <v>14740</v>
      </c>
      <c r="AF10" s="19">
        <f>'[12]Set Up'!$X30</f>
        <v>14539</v>
      </c>
      <c r="AG10" s="19">
        <f>'[12]Set Up'!$X31</f>
        <v>14339</v>
      </c>
      <c r="AH10" s="19">
        <f>'[12]Set Up'!$X32</f>
        <v>14139</v>
      </c>
      <c r="AI10" s="19">
        <f>'[12]Set Up'!$X33</f>
        <v>13939</v>
      </c>
      <c r="AJ10" s="19">
        <f>'[12]Set Up'!$X34</f>
        <v>13738</v>
      </c>
      <c r="AK10" s="19">
        <f>'[12]Set Up'!$X35</f>
        <v>13538</v>
      </c>
      <c r="AL10" s="19">
        <f>'[12]Set Up'!$X36</f>
        <v>13338</v>
      </c>
      <c r="AM10" s="19">
        <f>'[12]Set Up'!$X37</f>
        <v>13138</v>
      </c>
      <c r="AN10" s="19">
        <f>'[12]Set Up'!$X38</f>
        <v>12938</v>
      </c>
      <c r="AO10" s="19">
        <f>'[12]Set Up'!$X39</f>
        <v>12737</v>
      </c>
      <c r="AP10" s="8"/>
    </row>
    <row r="11" spans="1:42" ht="15" thickBot="1" x14ac:dyDescent="0.4">
      <c r="A11" s="20" t="s">
        <v>18</v>
      </c>
      <c r="B11" s="195"/>
      <c r="C11" s="24" t="str">
        <f>'[12]Set Up'!$AA1</f>
        <v>TVD</v>
      </c>
      <c r="D11" s="24">
        <f>'[12]Set Up'!$AA2</f>
        <v>12047</v>
      </c>
      <c r="E11" s="24">
        <f>'[12]Set Up'!$AA3</f>
        <v>12044</v>
      </c>
      <c r="F11" s="24">
        <f>'[12]Set Up'!$AA4</f>
        <v>12042</v>
      </c>
      <c r="G11" s="24">
        <f>'[12]Set Up'!$AA5</f>
        <v>12040</v>
      </c>
      <c r="H11" s="24">
        <f>'[12]Set Up'!$AA6</f>
        <v>12038</v>
      </c>
      <c r="I11" s="24">
        <f>'[12]Set Up'!$AA7</f>
        <v>12037</v>
      </c>
      <c r="J11" s="24">
        <f>'[12]Set Up'!$AA8</f>
        <v>12036</v>
      </c>
      <c r="K11" s="24">
        <f>'[12]Set Up'!$AA9</f>
        <v>12032</v>
      </c>
      <c r="L11" s="24">
        <f>'[12]Set Up'!$AA10</f>
        <v>12030</v>
      </c>
      <c r="M11" s="24">
        <f>'[12]Set Up'!$AA11</f>
        <v>12029</v>
      </c>
      <c r="N11" s="24">
        <f>'[12]Set Up'!$AA12</f>
        <v>12028</v>
      </c>
      <c r="O11" s="24">
        <f>'[12]Set Up'!$AA13</f>
        <v>12028</v>
      </c>
      <c r="P11" s="24">
        <f>'[12]Set Up'!$AA14</f>
        <v>12028</v>
      </c>
      <c r="Q11" s="24">
        <f>'[12]Set Up'!$AA15</f>
        <v>12024</v>
      </c>
      <c r="R11" s="24">
        <f>'[12]Set Up'!$AA16</f>
        <v>12023</v>
      </c>
      <c r="S11" s="24">
        <f>'[12]Set Up'!$AA17</f>
        <v>12018</v>
      </c>
      <c r="T11" s="24">
        <f>'[12]Set Up'!$AA18</f>
        <v>12015</v>
      </c>
      <c r="U11" s="24">
        <f>'[12]Set Up'!$AA19</f>
        <v>12014</v>
      </c>
      <c r="V11" s="24">
        <f>'[12]Set Up'!$AA20</f>
        <v>12012</v>
      </c>
      <c r="W11" s="24">
        <f>'[12]Set Up'!$AA21</f>
        <v>12011</v>
      </c>
      <c r="X11" s="24">
        <f>'[12]Set Up'!$AA22</f>
        <v>12007</v>
      </c>
      <c r="Y11" s="24">
        <f>'[12]Set Up'!$AA23</f>
        <v>11998</v>
      </c>
      <c r="Z11" s="24">
        <f>'[12]Set Up'!$AA24</f>
        <v>11997</v>
      </c>
      <c r="AA11" s="24">
        <f>'[12]Set Up'!$AA25</f>
        <v>11992</v>
      </c>
      <c r="AB11" s="24">
        <f>'[12]Set Up'!$AA26</f>
        <v>11989</v>
      </c>
      <c r="AC11" s="24">
        <f>'[12]Set Up'!$AA27</f>
        <v>11988</v>
      </c>
      <c r="AD11" s="24">
        <f>'[12]Set Up'!$AA28</f>
        <v>11988</v>
      </c>
      <c r="AE11" s="24">
        <f>'[12]Set Up'!$AA29</f>
        <v>11986</v>
      </c>
      <c r="AF11" s="24">
        <f>'[12]Set Up'!$AA30</f>
        <v>11979</v>
      </c>
      <c r="AG11" s="24">
        <f>'[12]Set Up'!$AA31</f>
        <v>11973</v>
      </c>
      <c r="AH11" s="24">
        <f>'[12]Set Up'!$AA32</f>
        <v>11970</v>
      </c>
      <c r="AI11" s="24">
        <f>'[12]Set Up'!$AA33</f>
        <v>11967</v>
      </c>
      <c r="AJ11" s="24">
        <f>'[12]Set Up'!$AA34</f>
        <v>11962</v>
      </c>
      <c r="AK11" s="24">
        <f>'[12]Set Up'!$AA35</f>
        <v>11960</v>
      </c>
      <c r="AL11" s="24">
        <f>'[12]Set Up'!$AA36</f>
        <v>11960</v>
      </c>
      <c r="AM11" s="24">
        <f>'[12]Set Up'!$AA37</f>
        <v>11957</v>
      </c>
      <c r="AN11" s="24">
        <f>'[12]Set Up'!$AA38</f>
        <v>11955</v>
      </c>
      <c r="AO11" s="24">
        <f>'[12]Set Up'!$AA39</f>
        <v>11950</v>
      </c>
      <c r="AP11" s="8"/>
    </row>
    <row r="12" spans="1:42" x14ac:dyDescent="0.35">
      <c r="A12" s="25" t="s">
        <v>19</v>
      </c>
      <c r="B12" s="196" t="s">
        <v>20</v>
      </c>
      <c r="C12" s="26">
        <f>IF(C7="","",IF(C7&lt;'[12]Set Up'!$J$15,C7*'[12]Set Up'!$N$15,IF(C7&lt;'[12]Set Up'!$J$16,(C7-'[12]Set Up'!$J$15)*'[12]Set Up'!$N$16+'[12]Set Up'!$O$15,IF(C7&lt;'[12]Set Up'!$J$17,(C7-'[12]Set Up'!$J$16)*'[12]Set Up'!$N$17+'[12]Set Up'!$O$15+'[12]Set Up'!$O$16,(C7-'[12]Set Up'!$J$17)*'[12]Set Up'!$N$18 + SUM('[12]Set Up'!$O$15:'[12]Set Up'!$O$17)))))</f>
        <v>484.33218553132417</v>
      </c>
      <c r="D12" s="26">
        <f>IF(D7="","",IF(D7&lt;'[12]Set Up'!$J$15,D7*'[12]Set Up'!$N$15,IF(D7&lt;'[12]Set Up'!$J$16,(D7-'[12]Set Up'!$J$15)*'[12]Set Up'!$N$16+'[12]Set Up'!$O$15,IF(D7&lt;'[12]Set Up'!$J$17,(D7-'[12]Set Up'!$J$16)*'[12]Set Up'!$N$17+'[12]Set Up'!$O$15+'[12]Set Up'!$O$16,(D7-'[12]Set Up'!$J$17)*'[12]Set Up'!$N$18 + SUM('[12]Set Up'!$O$15:'[12]Set Up'!$O$17)))))</f>
        <v>481.34589592720187</v>
      </c>
      <c r="E12" s="26">
        <f>IF(E7="","",IF(E7&lt;'[12]Set Up'!$J$15,E7*'[12]Set Up'!$N$15,IF(E7&lt;'[12]Set Up'!$J$16,(E7-'[12]Set Up'!$J$15)*'[12]Set Up'!$N$16+'[12]Set Up'!$O$15,IF(E7&lt;'[12]Set Up'!$J$17,(E7-'[12]Set Up'!$J$16)*'[12]Set Up'!$N$17+'[12]Set Up'!$O$15+'[12]Set Up'!$O$16,(E7-'[12]Set Up'!$J$17)*'[12]Set Up'!$N$18 + SUM('[12]Set Up'!$O$15:'[12]Set Up'!$O$17)))))</f>
        <v>478.35960632307956</v>
      </c>
      <c r="F12" s="26">
        <f>IF(F7="","",IF(F7&lt;'[12]Set Up'!$J$15,F7*'[12]Set Up'!$N$15,IF(F7&lt;'[12]Set Up'!$J$16,(F7-'[12]Set Up'!$J$15)*'[12]Set Up'!$N$16+'[12]Set Up'!$O$15,IF(F7&lt;'[12]Set Up'!$J$17,(F7-'[12]Set Up'!$J$16)*'[12]Set Up'!$N$17+'[12]Set Up'!$O$15+'[12]Set Up'!$O$16,(F7-'[12]Set Up'!$J$17)*'[12]Set Up'!$N$18 + SUM('[12]Set Up'!$O$15:'[12]Set Up'!$O$17)))))</f>
        <v>475.35838527093671</v>
      </c>
      <c r="G12" s="26">
        <f>IF(G7="","",IF(G7&lt;'[12]Set Up'!$J$15,G7*'[12]Set Up'!$N$15,IF(G7&lt;'[12]Set Up'!$J$16,(G7-'[12]Set Up'!$J$15)*'[12]Set Up'!$N$16+'[12]Set Up'!$O$15,IF(G7&lt;'[12]Set Up'!$J$17,(G7-'[12]Set Up'!$J$16)*'[12]Set Up'!$N$17+'[12]Set Up'!$O$15+'[12]Set Up'!$O$16,(G7-'[12]Set Up'!$J$17)*'[12]Set Up'!$N$18 + SUM('[12]Set Up'!$O$15:'[12]Set Up'!$O$17)))))</f>
        <v>472.3720956668144</v>
      </c>
      <c r="H12" s="26">
        <f>IF(H7="","",IF(H7&lt;'[12]Set Up'!$J$15,H7*'[12]Set Up'!$N$15,IF(H7&lt;'[12]Set Up'!$J$16,(H7-'[12]Set Up'!$J$15)*'[12]Set Up'!$N$16+'[12]Set Up'!$O$15,IF(H7&lt;'[12]Set Up'!$J$17,(H7-'[12]Set Up'!$J$16)*'[12]Set Up'!$N$17+'[12]Set Up'!$O$15+'[12]Set Up'!$O$16,(H7-'[12]Set Up'!$J$17)*'[12]Set Up'!$N$18 + SUM('[12]Set Up'!$O$15:'[12]Set Up'!$O$17)))))</f>
        <v>469.38580606269215</v>
      </c>
      <c r="I12" s="26">
        <f>IF(I7="","",IF(I7&lt;'[12]Set Up'!$J$15,I7*'[12]Set Up'!$N$15,IF(I7&lt;'[12]Set Up'!$J$16,(I7-'[12]Set Up'!$J$15)*'[12]Set Up'!$N$16+'[12]Set Up'!$O$15,IF(I7&lt;'[12]Set Up'!$J$17,(I7-'[12]Set Up'!$J$16)*'[12]Set Up'!$N$17+'[12]Set Up'!$O$15+'[12]Set Up'!$O$16,(I7-'[12]Set Up'!$J$17)*'[12]Set Up'!$N$18 + SUM('[12]Set Up'!$O$15:'[12]Set Up'!$O$17)))))</f>
        <v>466.39951645856985</v>
      </c>
      <c r="J12" s="26">
        <f>IF(J7="","",IF(J7&lt;'[12]Set Up'!$J$15,J7*'[12]Set Up'!$N$15,IF(J7&lt;'[12]Set Up'!$J$16,(J7-'[12]Set Up'!$J$15)*'[12]Set Up'!$N$16+'[12]Set Up'!$O$15,IF(J7&lt;'[12]Set Up'!$J$17,(J7-'[12]Set Up'!$J$16)*'[12]Set Up'!$N$17+'[12]Set Up'!$O$15+'[12]Set Up'!$O$16,(J7-'[12]Set Up'!$J$17)*'[12]Set Up'!$N$18 + SUM('[12]Set Up'!$O$15:'[12]Set Up'!$O$17)))))</f>
        <v>463.41322685444754</v>
      </c>
      <c r="K12" s="26">
        <f>IF(K7="","",IF(K7&lt;'[12]Set Up'!$J$15,K7*'[12]Set Up'!$N$15,IF(K7&lt;'[12]Set Up'!$J$16,(K7-'[12]Set Up'!$J$15)*'[12]Set Up'!$N$16+'[12]Set Up'!$O$15,IF(K7&lt;'[12]Set Up'!$J$17,(K7-'[12]Set Up'!$J$16)*'[12]Set Up'!$N$17+'[12]Set Up'!$O$15+'[12]Set Up'!$O$16,(K7-'[12]Set Up'!$J$17)*'[12]Set Up'!$N$18 + SUM('[12]Set Up'!$O$15:'[12]Set Up'!$O$17)))))</f>
        <v>460.41200580230469</v>
      </c>
      <c r="L12" s="26">
        <f>IF(L7="","",IF(L7&lt;'[12]Set Up'!$J$15,L7*'[12]Set Up'!$N$15,IF(L7&lt;'[12]Set Up'!$J$16,(L7-'[12]Set Up'!$J$15)*'[12]Set Up'!$N$16+'[12]Set Up'!$O$15,IF(L7&lt;'[12]Set Up'!$J$17,(L7-'[12]Set Up'!$J$16)*'[12]Set Up'!$N$17+'[12]Set Up'!$O$15+'[12]Set Up'!$O$16,(L7-'[12]Set Up'!$J$17)*'[12]Set Up'!$N$18 + SUM('[12]Set Up'!$O$15:'[12]Set Up'!$O$17)))))</f>
        <v>457.42571619818239</v>
      </c>
      <c r="M12" s="26">
        <f>IF(M7="","",IF(M7&lt;'[12]Set Up'!$J$15,M7*'[12]Set Up'!$N$15,IF(M7&lt;'[12]Set Up'!$J$16,(M7-'[12]Set Up'!$J$15)*'[12]Set Up'!$N$16+'[12]Set Up'!$O$15,IF(M7&lt;'[12]Set Up'!$J$17,(M7-'[12]Set Up'!$J$16)*'[12]Set Up'!$N$17+'[12]Set Up'!$O$15+'[12]Set Up'!$O$16,(M7-'[12]Set Up'!$J$17)*'[12]Set Up'!$N$18 + SUM('[12]Set Up'!$O$15:'[12]Set Up'!$O$17)))))</f>
        <v>454.43942659406014</v>
      </c>
      <c r="N12" s="26">
        <f>IF(N7="","",IF(N7&lt;'[12]Set Up'!$J$15,N7*'[12]Set Up'!$N$15,IF(N7&lt;'[12]Set Up'!$J$16,(N7-'[12]Set Up'!$J$15)*'[12]Set Up'!$N$16+'[12]Set Up'!$O$15,IF(N7&lt;'[12]Set Up'!$J$17,(N7-'[12]Set Up'!$J$16)*'[12]Set Up'!$N$17+'[12]Set Up'!$O$15+'[12]Set Up'!$O$16,(N7-'[12]Set Up'!$J$17)*'[12]Set Up'!$N$18 + SUM('[12]Set Up'!$O$15:'[12]Set Up'!$O$17)))))</f>
        <v>451.45313698993789</v>
      </c>
      <c r="O12" s="26">
        <f>IF(O7="","",IF(O7&lt;'[12]Set Up'!$J$15,O7*'[12]Set Up'!$N$15,IF(O7&lt;'[12]Set Up'!$J$16,(O7-'[12]Set Up'!$J$15)*'[12]Set Up'!$N$16+'[12]Set Up'!$O$15,IF(O7&lt;'[12]Set Up'!$J$17,(O7-'[12]Set Up'!$J$16)*'[12]Set Up'!$N$17+'[12]Set Up'!$O$15+'[12]Set Up'!$O$16,(O7-'[12]Set Up'!$J$17)*'[12]Set Up'!$N$18 + SUM('[12]Set Up'!$O$15:'[12]Set Up'!$O$17)))))</f>
        <v>448.46684738581558</v>
      </c>
      <c r="P12" s="26">
        <f>IF(P7="","",IF(P7&lt;'[12]Set Up'!$J$15,P7*'[12]Set Up'!$N$15,IF(P7&lt;'[12]Set Up'!$J$16,(P7-'[12]Set Up'!$J$15)*'[12]Set Up'!$N$16+'[12]Set Up'!$O$15,IF(P7&lt;'[12]Set Up'!$J$17,(P7-'[12]Set Up'!$J$16)*'[12]Set Up'!$N$17+'[12]Set Up'!$O$15+'[12]Set Up'!$O$16,(P7-'[12]Set Up'!$J$17)*'[12]Set Up'!$N$18 + SUM('[12]Set Up'!$O$15:'[12]Set Up'!$O$17)))))</f>
        <v>445.46562633367267</v>
      </c>
      <c r="Q12" s="26">
        <f>IF(Q7="","",IF(Q7&lt;'[12]Set Up'!$J$15,Q7*'[12]Set Up'!$N$15,IF(Q7&lt;'[12]Set Up'!$J$16,(Q7-'[12]Set Up'!$J$15)*'[12]Set Up'!$N$16+'[12]Set Up'!$O$15,IF(Q7&lt;'[12]Set Up'!$J$17,(Q7-'[12]Set Up'!$J$16)*'[12]Set Up'!$N$17+'[12]Set Up'!$O$15+'[12]Set Up'!$O$16,(Q7-'[12]Set Up'!$J$17)*'[12]Set Up'!$N$18 + SUM('[12]Set Up'!$O$15:'[12]Set Up'!$O$17)))))</f>
        <v>442.47933672955037</v>
      </c>
      <c r="R12" s="26">
        <f>IF(R7="","",IF(R7&lt;'[12]Set Up'!$J$15,R7*'[12]Set Up'!$N$15,IF(R7&lt;'[12]Set Up'!$J$16,(R7-'[12]Set Up'!$J$15)*'[12]Set Up'!$N$16+'[12]Set Up'!$O$15,IF(R7&lt;'[12]Set Up'!$J$17,(R7-'[12]Set Up'!$J$16)*'[12]Set Up'!$N$17+'[12]Set Up'!$O$15+'[12]Set Up'!$O$16,(R7-'[12]Set Up'!$J$17)*'[12]Set Up'!$N$18 + SUM('[12]Set Up'!$O$15:'[12]Set Up'!$O$17)))))</f>
        <v>439.49304712542812</v>
      </c>
      <c r="S12" s="26">
        <f>IF(S7="","",IF(S7&lt;'[12]Set Up'!$J$15,S7*'[12]Set Up'!$N$15,IF(S7&lt;'[12]Set Up'!$J$16,(S7-'[12]Set Up'!$J$15)*'[12]Set Up'!$N$16+'[12]Set Up'!$O$15,IF(S7&lt;'[12]Set Up'!$J$17,(S7-'[12]Set Up'!$J$16)*'[12]Set Up'!$N$17+'[12]Set Up'!$O$15+'[12]Set Up'!$O$16,(S7-'[12]Set Up'!$J$17)*'[12]Set Up'!$N$18 + SUM('[12]Set Up'!$O$15:'[12]Set Up'!$O$17)))))</f>
        <v>436.50675752130587</v>
      </c>
      <c r="T12" s="26">
        <f>IF(T7="","",IF(T7&lt;'[12]Set Up'!$J$15,T7*'[12]Set Up'!$N$15,IF(T7&lt;'[12]Set Up'!$J$16,(T7-'[12]Set Up'!$J$15)*'[12]Set Up'!$N$16+'[12]Set Up'!$O$15,IF(T7&lt;'[12]Set Up'!$J$17,(T7-'[12]Set Up'!$J$16)*'[12]Set Up'!$N$17+'[12]Set Up'!$O$15+'[12]Set Up'!$O$16,(T7-'[12]Set Up'!$J$17)*'[12]Set Up'!$N$18 + SUM('[12]Set Up'!$O$15:'[12]Set Up'!$O$17)))))</f>
        <v>418.57408844855155</v>
      </c>
      <c r="U12" s="26">
        <f>IF(U7="","",IF(U7&lt;'[12]Set Up'!$J$15,U7*'[12]Set Up'!$N$15,IF(U7&lt;'[12]Set Up'!$J$16,(U7-'[12]Set Up'!$J$15)*'[12]Set Up'!$N$16+'[12]Set Up'!$O$15,IF(U7&lt;'[12]Set Up'!$J$17,(U7-'[12]Set Up'!$J$16)*'[12]Set Up'!$N$17+'[12]Set Up'!$O$15+'[12]Set Up'!$O$16,(U7-'[12]Set Up'!$J$17)*'[12]Set Up'!$N$18 + SUM('[12]Set Up'!$O$15:'[12]Set Up'!$O$17)))))</f>
        <v>430.51924686504066</v>
      </c>
      <c r="V12" s="26">
        <f>IF(V7="","",IF(V7&lt;'[12]Set Up'!$J$15,V7*'[12]Set Up'!$N$15,IF(V7&lt;'[12]Set Up'!$J$16,(V7-'[12]Set Up'!$J$15)*'[12]Set Up'!$N$16+'[12]Set Up'!$O$15,IF(V7&lt;'[12]Set Up'!$J$17,(V7-'[12]Set Up'!$J$16)*'[12]Set Up'!$N$17+'[12]Set Up'!$O$15+'[12]Set Up'!$O$16,(V7-'[12]Set Up'!$J$17)*'[12]Set Up'!$N$18 + SUM('[12]Set Up'!$O$15:'[12]Set Up'!$O$17)))))</f>
        <v>427.53295726091841</v>
      </c>
      <c r="W12" s="26">
        <f>IF(W7="","",IF(W7&lt;'[12]Set Up'!$J$15,W7*'[12]Set Up'!$N$15,IF(W7&lt;'[12]Set Up'!$J$16,(W7-'[12]Set Up'!$J$15)*'[12]Set Up'!$N$16+'[12]Set Up'!$O$15,IF(W7&lt;'[12]Set Up'!$J$17,(W7-'[12]Set Up'!$J$16)*'[12]Set Up'!$N$17+'[12]Set Up'!$O$15+'[12]Set Up'!$O$16,(W7-'[12]Set Up'!$J$17)*'[12]Set Up'!$N$18 + SUM('[12]Set Up'!$O$15:'[12]Set Up'!$O$17)))))</f>
        <v>424.5466676567961</v>
      </c>
      <c r="X12" s="26">
        <f>IF(X7="","",IF(X7&lt;'[12]Set Up'!$J$15,X7*'[12]Set Up'!$N$15,IF(X7&lt;'[12]Set Up'!$J$16,(X7-'[12]Set Up'!$J$15)*'[12]Set Up'!$N$16+'[12]Set Up'!$O$15,IF(X7&lt;'[12]Set Up'!$J$17,(X7-'[12]Set Up'!$J$16)*'[12]Set Up'!$N$17+'[12]Set Up'!$O$15+'[12]Set Up'!$O$16,(X7-'[12]Set Up'!$J$17)*'[12]Set Up'!$N$18 + SUM('[12]Set Up'!$O$15:'[12]Set Up'!$O$17)))))</f>
        <v>421.56037805267385</v>
      </c>
      <c r="Y12" s="26">
        <f>IF(Y7="","",IF(Y7&lt;'[12]Set Up'!$J$15,Y7*'[12]Set Up'!$N$15,IF(Y7&lt;'[12]Set Up'!$J$16,(Y7-'[12]Set Up'!$J$15)*'[12]Set Up'!$N$16+'[12]Set Up'!$O$15,IF(Y7&lt;'[12]Set Up'!$J$17,(Y7-'[12]Set Up'!$J$16)*'[12]Set Up'!$N$17+'[12]Set Up'!$O$15+'[12]Set Up'!$O$16,(Y7-'[12]Set Up'!$J$17)*'[12]Set Up'!$N$18 + SUM('[12]Set Up'!$O$15:'[12]Set Up'!$O$17)))))</f>
        <v>418.55915700053094</v>
      </c>
      <c r="Z12" s="26">
        <f>IF(Z7="","",IF(Z7&lt;'[12]Set Up'!$J$15,Z7*'[12]Set Up'!$N$15,IF(Z7&lt;'[12]Set Up'!$J$16,(Z7-'[12]Set Up'!$J$15)*'[12]Set Up'!$N$16+'[12]Set Up'!$O$15,IF(Z7&lt;'[12]Set Up'!$J$17,(Z7-'[12]Set Up'!$J$16)*'[12]Set Up'!$N$17+'[12]Set Up'!$O$15+'[12]Set Up'!$O$16,(Z7-'[12]Set Up'!$J$17)*'[12]Set Up'!$N$18 + SUM('[12]Set Up'!$O$15:'[12]Set Up'!$O$17)))))</f>
        <v>415.5728673964087</v>
      </c>
      <c r="AA12" s="26">
        <f>IF(AA7="","",IF(AA7&lt;'[12]Set Up'!$J$15,AA7*'[12]Set Up'!$N$15,IF(AA7&lt;'[12]Set Up'!$J$16,(AA7-'[12]Set Up'!$J$15)*'[12]Set Up'!$N$16+'[12]Set Up'!$O$15,IF(AA7&lt;'[12]Set Up'!$J$17,(AA7-'[12]Set Up'!$J$16)*'[12]Set Up'!$N$17+'[12]Set Up'!$O$15+'[12]Set Up'!$O$16,(AA7-'[12]Set Up'!$J$17)*'[12]Set Up'!$N$18 + SUM('[12]Set Up'!$O$15:'[12]Set Up'!$O$17)))))</f>
        <v>412.58657779228639</v>
      </c>
      <c r="AB12" s="26">
        <f>IF(AB7="","",IF(AB7&lt;'[12]Set Up'!$J$15,AB7*'[12]Set Up'!$N$15,IF(AB7&lt;'[12]Set Up'!$J$16,(AB7-'[12]Set Up'!$J$15)*'[12]Set Up'!$N$16+'[12]Set Up'!$O$15,IF(AB7&lt;'[12]Set Up'!$J$17,(AB7-'[12]Set Up'!$J$16)*'[12]Set Up'!$N$17+'[12]Set Up'!$O$15+'[12]Set Up'!$O$16,(AB7-'[12]Set Up'!$J$17)*'[12]Set Up'!$N$18 + SUM('[12]Set Up'!$O$15:'[12]Set Up'!$O$17)))))</f>
        <v>409.60028818816409</v>
      </c>
      <c r="AC12" s="26">
        <f>IF(AC7="","",IF(AC7&lt;'[12]Set Up'!$J$15,AC7*'[12]Set Up'!$N$15,IF(AC7&lt;'[12]Set Up'!$J$16,(AC7-'[12]Set Up'!$J$15)*'[12]Set Up'!$N$16+'[12]Set Up'!$O$15,IF(AC7&lt;'[12]Set Up'!$J$17,(AC7-'[12]Set Up'!$J$16)*'[12]Set Up'!$N$17+'[12]Set Up'!$O$15+'[12]Set Up'!$O$16,(AC7-'[12]Set Up'!$J$17)*'[12]Set Up'!$N$18 + SUM('[12]Set Up'!$O$15:'[12]Set Up'!$O$17)))))</f>
        <v>406.61399858404184</v>
      </c>
      <c r="AD12" s="26">
        <f>IF(AD7="","",IF(AD7&lt;'[12]Set Up'!$J$15,AD7*'[12]Set Up'!$N$15,IF(AD7&lt;'[12]Set Up'!$J$16,(AD7-'[12]Set Up'!$J$15)*'[12]Set Up'!$N$16+'[12]Set Up'!$O$15,IF(AD7&lt;'[12]Set Up'!$J$17,(AD7-'[12]Set Up'!$J$16)*'[12]Set Up'!$N$17+'[12]Set Up'!$O$15+'[12]Set Up'!$O$16,(AD7-'[12]Set Up'!$J$17)*'[12]Set Up'!$N$18 + SUM('[12]Set Up'!$O$15:'[12]Set Up'!$O$17)))))</f>
        <v>403.61277753189893</v>
      </c>
      <c r="AE12" s="26">
        <f>IF(AE7="","",IF(AE7&lt;'[12]Set Up'!$J$15,AE7*'[12]Set Up'!$N$15,IF(AE7&lt;'[12]Set Up'!$J$16,(AE7-'[12]Set Up'!$J$15)*'[12]Set Up'!$N$16+'[12]Set Up'!$O$15,IF(AE7&lt;'[12]Set Up'!$J$17,(AE7-'[12]Set Up'!$J$16)*'[12]Set Up'!$N$17+'[12]Set Up'!$O$15+'[12]Set Up'!$O$16,(AE7-'[12]Set Up'!$J$17)*'[12]Set Up'!$N$18 + SUM('[12]Set Up'!$O$15:'[12]Set Up'!$O$17)))))</f>
        <v>400.62648792777668</v>
      </c>
      <c r="AF12" s="26">
        <f>IF(AF7="","",IF(AF7&lt;'[12]Set Up'!$J$15,AF7*'[12]Set Up'!$N$15,IF(AF7&lt;'[12]Set Up'!$J$16,(AF7-'[12]Set Up'!$J$15)*'[12]Set Up'!$N$16+'[12]Set Up'!$O$15,IF(AF7&lt;'[12]Set Up'!$J$17,(AF7-'[12]Set Up'!$J$16)*'[12]Set Up'!$N$17+'[12]Set Up'!$O$15+'[12]Set Up'!$O$16,(AF7-'[12]Set Up'!$J$17)*'[12]Set Up'!$N$18 + SUM('[12]Set Up'!$O$15:'[12]Set Up'!$O$17)))))</f>
        <v>397.64019832365437</v>
      </c>
      <c r="AG12" s="26">
        <f>IF(AG7="","",IF(AG7&lt;'[12]Set Up'!$J$15,AG7*'[12]Set Up'!$N$15,IF(AG7&lt;'[12]Set Up'!$J$16,(AG7-'[12]Set Up'!$J$15)*'[12]Set Up'!$N$16+'[12]Set Up'!$O$15,IF(AG7&lt;'[12]Set Up'!$J$17,(AG7-'[12]Set Up'!$J$16)*'[12]Set Up'!$N$17+'[12]Set Up'!$O$15+'[12]Set Up'!$O$16,(AG7-'[12]Set Up'!$J$17)*'[12]Set Up'!$N$18 + SUM('[12]Set Up'!$O$15:'[12]Set Up'!$O$17)))))</f>
        <v>394.65390871953213</v>
      </c>
      <c r="AH12" s="26">
        <f>IF(AH7="","",IF(AH7&lt;'[12]Set Up'!$J$15,AH7*'[12]Set Up'!$N$15,IF(AH7&lt;'[12]Set Up'!$J$16,(AH7-'[12]Set Up'!$J$15)*'[12]Set Up'!$N$16+'[12]Set Up'!$O$15,IF(AH7&lt;'[12]Set Up'!$J$17,(AH7-'[12]Set Up'!$J$16)*'[12]Set Up'!$N$17+'[12]Set Up'!$O$15+'[12]Set Up'!$O$16,(AH7-'[12]Set Up'!$J$17)*'[12]Set Up'!$N$18 + SUM('[12]Set Up'!$O$15:'[12]Set Up'!$O$17)))))</f>
        <v>391.65268766738922</v>
      </c>
      <c r="AI12" s="26">
        <f>IF(AI7="","",IF(AI7&lt;'[12]Set Up'!$J$15,AI7*'[12]Set Up'!$N$15,IF(AI7&lt;'[12]Set Up'!$J$16,(AI7-'[12]Set Up'!$J$15)*'[12]Set Up'!$N$16+'[12]Set Up'!$O$15,IF(AI7&lt;'[12]Set Up'!$J$17,(AI7-'[12]Set Up'!$J$16)*'[12]Set Up'!$N$17+'[12]Set Up'!$O$15+'[12]Set Up'!$O$16,(AI7-'[12]Set Up'!$J$17)*'[12]Set Up'!$N$18 + SUM('[12]Set Up'!$O$15:'[12]Set Up'!$O$17)))))</f>
        <v>388.66639806326691</v>
      </c>
      <c r="AJ12" s="26">
        <f>IF(AJ7="","",IF(AJ7&lt;'[12]Set Up'!$J$15,AJ7*'[12]Set Up'!$N$15,IF(AJ7&lt;'[12]Set Up'!$J$16,(AJ7-'[12]Set Up'!$J$15)*'[12]Set Up'!$N$16+'[12]Set Up'!$O$15,IF(AJ7&lt;'[12]Set Up'!$J$17,(AJ7-'[12]Set Up'!$J$16)*'[12]Set Up'!$N$17+'[12]Set Up'!$O$15+'[12]Set Up'!$O$16,(AJ7-'[12]Set Up'!$J$17)*'[12]Set Up'!$N$18 + SUM('[12]Set Up'!$O$15:'[12]Set Up'!$O$17)))))</f>
        <v>385.68010845914466</v>
      </c>
      <c r="AK12" s="26">
        <f>IF(AK7="","",IF(AK7&lt;'[12]Set Up'!$J$15,AK7*'[12]Set Up'!$N$15,IF(AK7&lt;'[12]Set Up'!$J$16,(AK7-'[12]Set Up'!$J$15)*'[12]Set Up'!$N$16+'[12]Set Up'!$O$15,IF(AK7&lt;'[12]Set Up'!$J$17,(AK7-'[12]Set Up'!$J$16)*'[12]Set Up'!$N$17+'[12]Set Up'!$O$15+'[12]Set Up'!$O$16,(AK7-'[12]Set Up'!$J$17)*'[12]Set Up'!$N$18 + SUM('[12]Set Up'!$O$15:'[12]Set Up'!$O$17)))))</f>
        <v>382.69381885502241</v>
      </c>
      <c r="AL12" s="26">
        <f>IF(AL7="","",IF(AL7&lt;'[12]Set Up'!$J$15,AL7*'[12]Set Up'!$N$15,IF(AL7&lt;'[12]Set Up'!$J$16,(AL7-'[12]Set Up'!$J$15)*'[12]Set Up'!$N$16+'[12]Set Up'!$O$15,IF(AL7&lt;'[12]Set Up'!$J$17,(AL7-'[12]Set Up'!$J$16)*'[12]Set Up'!$N$17+'[12]Set Up'!$O$15+'[12]Set Up'!$O$16,(AL7-'[12]Set Up'!$J$17)*'[12]Set Up'!$N$18 + SUM('[12]Set Up'!$O$15:'[12]Set Up'!$O$17)))))</f>
        <v>379.70752925090011</v>
      </c>
      <c r="AM12" s="26">
        <f>IF(AM7="","",IF(AM7&lt;'[12]Set Up'!$J$15,AM7*'[12]Set Up'!$N$15,IF(AM7&lt;'[12]Set Up'!$J$16,(AM7-'[12]Set Up'!$J$15)*'[12]Set Up'!$N$16+'[12]Set Up'!$O$15,IF(AM7&lt;'[12]Set Up'!$J$17,(AM7-'[12]Set Up'!$J$16)*'[12]Set Up'!$N$17+'[12]Set Up'!$O$15+'[12]Set Up'!$O$16,(AM7-'[12]Set Up'!$J$17)*'[12]Set Up'!$N$18 + SUM('[12]Set Up'!$O$15:'[12]Set Up'!$O$17)))))</f>
        <v>376.7063081987572</v>
      </c>
      <c r="AN12" s="26">
        <f>IF(AN7="","",IF(AN7&lt;'[12]Set Up'!$J$15,AN7*'[12]Set Up'!$N$15,IF(AN7&lt;'[12]Set Up'!$J$16,(AN7-'[12]Set Up'!$J$15)*'[12]Set Up'!$N$16+'[12]Set Up'!$O$15,IF(AN7&lt;'[12]Set Up'!$J$17,(AN7-'[12]Set Up'!$J$16)*'[12]Set Up'!$N$17+'[12]Set Up'!$O$15+'[12]Set Up'!$O$16,(AN7-'[12]Set Up'!$J$17)*'[12]Set Up'!$N$18 + SUM('[12]Set Up'!$O$15:'[12]Set Up'!$O$17)))))</f>
        <v>373.72001859463495</v>
      </c>
      <c r="AO12" s="26">
        <f>IF(AO7="","",IF(AO7&lt;'[12]Set Up'!$J$15,AO7*'[12]Set Up'!$N$15,IF(AO7&lt;'[12]Set Up'!$J$16,(AO7-'[12]Set Up'!$J$15)*'[12]Set Up'!$N$16+'[12]Set Up'!$O$15,IF(AO7&lt;'[12]Set Up'!$J$17,(AO7-'[12]Set Up'!$J$16)*'[12]Set Up'!$N$17+'[12]Set Up'!$O$15+'[12]Set Up'!$O$16,(AO7-'[12]Set Up'!$J$17)*'[12]Set Up'!$N$18 + SUM('[12]Set Up'!$O$15:'[12]Set Up'!$O$17)))))</f>
        <v>370.73372899051265</v>
      </c>
      <c r="AP12" s="8"/>
    </row>
    <row r="13" spans="1:42" x14ac:dyDescent="0.35">
      <c r="A13" s="27" t="s">
        <v>21</v>
      </c>
      <c r="B13" s="195"/>
      <c r="C13" s="28" t="e">
        <f>IF(C8="","",IF(C8&lt;'[12]Set Up'!$J$15,C8*'[12]Set Up'!$N$15,IF(C8&lt;'[12]Set Up'!$J$16,(C8-'[12]Set Up'!$J$15)*'[12]Set Up'!$N$16+'[12]Set Up'!$O$15,IF(C8&lt;'[12]Set Up'!$J$17,(C8-'[12]Set Up'!$J$16)*'[12]Set Up'!$N$17+'[12]Set Up'!$O$15+'[12]Set Up'!$O$16,(C8-'[12]Set Up'!$J$17)*'[12]Set Up'!$N$18 + SUM('[12]Set Up'!$O$15:'[12]Set Up'!$O$17)))))</f>
        <v>#VALUE!</v>
      </c>
      <c r="D13" s="28">
        <f>IF(D8="","",IF(D8&lt;'[12]Set Up'!$J$15,D8*'[12]Set Up'!$N$15,IF(D8&lt;'[12]Set Up'!$J$16,(D8-'[12]Set Up'!$J$15)*'[12]Set Up'!$N$16+'[12]Set Up'!$O$15,IF(D8&lt;'[12]Set Up'!$J$17,(D8-'[12]Set Up'!$J$16)*'[12]Set Up'!$N$17+'[12]Set Up'!$O$15+'[12]Set Up'!$O$16,(D8-'[12]Set Up'!$J$17)*'[12]Set Up'!$N$18 + SUM('[12]Set Up'!$O$15:'[12]Set Up'!$O$17)))))</f>
        <v>486.73614866264256</v>
      </c>
      <c r="E13" s="28">
        <f>IF(E8="","",IF(E8&lt;'[12]Set Up'!$J$15,E8*'[12]Set Up'!$N$15,IF(E8&lt;'[12]Set Up'!$J$16,(E8-'[12]Set Up'!$J$15)*'[12]Set Up'!$N$16+'[12]Set Up'!$O$15,IF(E8&lt;'[12]Set Up'!$J$17,(E8-'[12]Set Up'!$J$16)*'[12]Set Up'!$N$17+'[12]Set Up'!$O$15+'[12]Set Up'!$O$16,(E8-'[12]Set Up'!$J$17)*'[12]Set Up'!$N$18 + SUM('[12]Set Up'!$O$15:'[12]Set Up'!$O$17)))))</f>
        <v>483.74985905852031</v>
      </c>
      <c r="F13" s="28">
        <f>IF(F8="","",IF(F8&lt;'[12]Set Up'!$J$15,F8*'[12]Set Up'!$N$15,IF(F8&lt;'[12]Set Up'!$J$16,(F8-'[12]Set Up'!$J$15)*'[12]Set Up'!$N$16+'[12]Set Up'!$O$15,IF(F8&lt;'[12]Set Up'!$J$17,(F8-'[12]Set Up'!$J$16)*'[12]Set Up'!$N$17+'[12]Set Up'!$O$15+'[12]Set Up'!$O$16,(F8-'[12]Set Up'!$J$17)*'[12]Set Up'!$N$18 + SUM('[12]Set Up'!$O$15:'[12]Set Up'!$O$17)))))</f>
        <v>480.76356945439801</v>
      </c>
      <c r="G13" s="28">
        <f>IF(G8="","",IF(G8&lt;'[12]Set Up'!$J$15,G8*'[12]Set Up'!$N$15,IF(G8&lt;'[12]Set Up'!$J$16,(G8-'[12]Set Up'!$J$15)*'[12]Set Up'!$N$16+'[12]Set Up'!$O$15,IF(G8&lt;'[12]Set Up'!$J$17,(G8-'[12]Set Up'!$J$16)*'[12]Set Up'!$N$17+'[12]Set Up'!$O$15+'[12]Set Up'!$O$16,(G8-'[12]Set Up'!$J$17)*'[12]Set Up'!$N$18 + SUM('[12]Set Up'!$O$15:'[12]Set Up'!$O$17)))))</f>
        <v>477.7772798502757</v>
      </c>
      <c r="H13" s="28">
        <f>IF(H8="","",IF(H8&lt;'[12]Set Up'!$J$15,H8*'[12]Set Up'!$N$15,IF(H8&lt;'[12]Set Up'!$J$16,(H8-'[12]Set Up'!$J$15)*'[12]Set Up'!$N$16+'[12]Set Up'!$O$15,IF(H8&lt;'[12]Set Up'!$J$17,(H8-'[12]Set Up'!$J$16)*'[12]Set Up'!$N$17+'[12]Set Up'!$O$15+'[12]Set Up'!$O$16,(H8-'[12]Set Up'!$J$17)*'[12]Set Up'!$N$18 + SUM('[12]Set Up'!$O$15:'[12]Set Up'!$O$17)))))</f>
        <v>474.77605879813285</v>
      </c>
      <c r="I13" s="28">
        <f>IF(I8="","",IF(I8&lt;'[12]Set Up'!$J$15,I8*'[12]Set Up'!$N$15,IF(I8&lt;'[12]Set Up'!$J$16,(I8-'[12]Set Up'!$J$15)*'[12]Set Up'!$N$16+'[12]Set Up'!$O$15,IF(I8&lt;'[12]Set Up'!$J$17,(I8-'[12]Set Up'!$J$16)*'[12]Set Up'!$N$17+'[12]Set Up'!$O$15+'[12]Set Up'!$O$16,(I8-'[12]Set Up'!$J$17)*'[12]Set Up'!$N$18 + SUM('[12]Set Up'!$O$15:'[12]Set Up'!$O$17)))))</f>
        <v>471.78976919401055</v>
      </c>
      <c r="J13" s="28">
        <f>IF(J8="","",IF(J8&lt;'[12]Set Up'!$J$15,J8*'[12]Set Up'!$N$15,IF(J8&lt;'[12]Set Up'!$J$16,(J8-'[12]Set Up'!$J$15)*'[12]Set Up'!$N$16+'[12]Set Up'!$O$15,IF(J8&lt;'[12]Set Up'!$J$17,(J8-'[12]Set Up'!$J$16)*'[12]Set Up'!$N$17+'[12]Set Up'!$O$15+'[12]Set Up'!$O$16,(J8-'[12]Set Up'!$J$17)*'[12]Set Up'!$N$18 + SUM('[12]Set Up'!$O$15:'[12]Set Up'!$O$17)))))</f>
        <v>468.8034795898883</v>
      </c>
      <c r="K13" s="28">
        <f>IF(K8="","",IF(K8&lt;'[12]Set Up'!$J$15,K8*'[12]Set Up'!$N$15,IF(K8&lt;'[12]Set Up'!$J$16,(K8-'[12]Set Up'!$J$15)*'[12]Set Up'!$N$16+'[12]Set Up'!$O$15,IF(K8&lt;'[12]Set Up'!$J$17,(K8-'[12]Set Up'!$J$16)*'[12]Set Up'!$N$17+'[12]Set Up'!$O$15+'[12]Set Up'!$O$16,(K8-'[12]Set Up'!$J$17)*'[12]Set Up'!$N$18 + SUM('[12]Set Up'!$O$15:'[12]Set Up'!$O$17)))))</f>
        <v>465.81718998576605</v>
      </c>
      <c r="L13" s="28">
        <f>IF(L8="","",IF(L8&lt;'[12]Set Up'!$J$15,L8*'[12]Set Up'!$N$15,IF(L8&lt;'[12]Set Up'!$J$16,(L8-'[12]Set Up'!$J$15)*'[12]Set Up'!$N$16+'[12]Set Up'!$O$15,IF(L8&lt;'[12]Set Up'!$J$17,(L8-'[12]Set Up'!$J$16)*'[12]Set Up'!$N$17+'[12]Set Up'!$O$15+'[12]Set Up'!$O$16,(L8-'[12]Set Up'!$J$17)*'[12]Set Up'!$N$18 + SUM('[12]Set Up'!$O$15:'[12]Set Up'!$O$17)))))</f>
        <v>462.83090038164374</v>
      </c>
      <c r="M13" s="28">
        <f>IF(M8="","",IF(M8&lt;'[12]Set Up'!$J$15,M8*'[12]Set Up'!$N$15,IF(M8&lt;'[12]Set Up'!$J$16,(M8-'[12]Set Up'!$J$15)*'[12]Set Up'!$N$16+'[12]Set Up'!$O$15,IF(M8&lt;'[12]Set Up'!$J$17,(M8-'[12]Set Up'!$J$16)*'[12]Set Up'!$N$17+'[12]Set Up'!$O$15+'[12]Set Up'!$O$16,(M8-'[12]Set Up'!$J$17)*'[12]Set Up'!$N$18 + SUM('[12]Set Up'!$O$15:'[12]Set Up'!$O$17)))))</f>
        <v>459.82967932950083</v>
      </c>
      <c r="N13" s="28">
        <f>IF(N8="","",IF(N8&lt;'[12]Set Up'!$J$15,N8*'[12]Set Up'!$N$15,IF(N8&lt;'[12]Set Up'!$J$16,(N8-'[12]Set Up'!$J$15)*'[12]Set Up'!$N$16+'[12]Set Up'!$O$15,IF(N8&lt;'[12]Set Up'!$J$17,(N8-'[12]Set Up'!$J$16)*'[12]Set Up'!$N$17+'[12]Set Up'!$O$15+'[12]Set Up'!$O$16,(N8-'[12]Set Up'!$J$17)*'[12]Set Up'!$N$18 + SUM('[12]Set Up'!$O$15:'[12]Set Up'!$O$17)))))</f>
        <v>456.84338972537853</v>
      </c>
      <c r="O13" s="28">
        <f>IF(O8="","",IF(O8&lt;'[12]Set Up'!$J$15,O8*'[12]Set Up'!$N$15,IF(O8&lt;'[12]Set Up'!$J$16,(O8-'[12]Set Up'!$J$15)*'[12]Set Up'!$N$16+'[12]Set Up'!$O$15,IF(O8&lt;'[12]Set Up'!$J$17,(O8-'[12]Set Up'!$J$16)*'[12]Set Up'!$N$17+'[12]Set Up'!$O$15+'[12]Set Up'!$O$16,(O8-'[12]Set Up'!$J$17)*'[12]Set Up'!$N$18 + SUM('[12]Set Up'!$O$15:'[12]Set Up'!$O$17)))))</f>
        <v>453.85710012125628</v>
      </c>
      <c r="P13" s="28">
        <f>IF(P8="","",IF(P8&lt;'[12]Set Up'!$J$15,P8*'[12]Set Up'!$N$15,IF(P8&lt;'[12]Set Up'!$J$16,(P8-'[12]Set Up'!$J$15)*'[12]Set Up'!$N$16+'[12]Set Up'!$O$15,IF(P8&lt;'[12]Set Up'!$J$17,(P8-'[12]Set Up'!$J$16)*'[12]Set Up'!$N$17+'[12]Set Up'!$O$15+'[12]Set Up'!$O$16,(P8-'[12]Set Up'!$J$17)*'[12]Set Up'!$N$18 + SUM('[12]Set Up'!$O$15:'[12]Set Up'!$O$17)))))</f>
        <v>450.87081051713403</v>
      </c>
      <c r="Q13" s="28">
        <f>IF(Q8="","",IF(Q8&lt;'[12]Set Up'!$J$15,Q8*'[12]Set Up'!$N$15,IF(Q8&lt;'[12]Set Up'!$J$16,(Q8-'[12]Set Up'!$J$15)*'[12]Set Up'!$N$16+'[12]Set Up'!$O$15,IF(Q8&lt;'[12]Set Up'!$J$17,(Q8-'[12]Set Up'!$J$16)*'[12]Set Up'!$N$17+'[12]Set Up'!$O$15+'[12]Set Up'!$O$16,(Q8-'[12]Set Up'!$J$17)*'[12]Set Up'!$N$18 + SUM('[12]Set Up'!$O$15:'[12]Set Up'!$O$17)))))</f>
        <v>447.88452091301173</v>
      </c>
      <c r="R13" s="28">
        <f>IF(R8="","",IF(R8&lt;'[12]Set Up'!$J$15,R8*'[12]Set Up'!$N$15,IF(R8&lt;'[12]Set Up'!$J$16,(R8-'[12]Set Up'!$J$15)*'[12]Set Up'!$N$16+'[12]Set Up'!$O$15,IF(R8&lt;'[12]Set Up'!$J$17,(R8-'[12]Set Up'!$J$16)*'[12]Set Up'!$N$17+'[12]Set Up'!$O$15+'[12]Set Up'!$O$16,(R8-'[12]Set Up'!$J$17)*'[12]Set Up'!$N$18 + SUM('[12]Set Up'!$O$15:'[12]Set Up'!$O$17)))))</f>
        <v>444.88329986086887</v>
      </c>
      <c r="S13" s="28">
        <f>IF(S8="","",IF(S8&lt;'[12]Set Up'!$J$15,S8*'[12]Set Up'!$N$15,IF(S8&lt;'[12]Set Up'!$J$16,(S8-'[12]Set Up'!$J$15)*'[12]Set Up'!$N$16+'[12]Set Up'!$O$15,IF(S8&lt;'[12]Set Up'!$J$17,(S8-'[12]Set Up'!$J$16)*'[12]Set Up'!$N$17+'[12]Set Up'!$O$15+'[12]Set Up'!$O$16,(S8-'[12]Set Up'!$J$17)*'[12]Set Up'!$N$18 + SUM('[12]Set Up'!$O$15:'[12]Set Up'!$O$17)))))</f>
        <v>441.89701025674657</v>
      </c>
      <c r="T13" s="28">
        <f>IF(T8="","",IF(T8&lt;'[12]Set Up'!$J$15,T8*'[12]Set Up'!$N$15,IF(T8&lt;'[12]Set Up'!$J$16,(T8-'[12]Set Up'!$J$15)*'[12]Set Up'!$N$16+'[12]Set Up'!$O$15,IF(T8&lt;'[12]Set Up'!$J$17,(T8-'[12]Set Up'!$J$16)*'[12]Set Up'!$N$17+'[12]Set Up'!$O$15+'[12]Set Up'!$O$16,(T8-'[12]Set Up'!$J$17)*'[12]Set Up'!$N$18 + SUM('[12]Set Up'!$O$15:'[12]Set Up'!$O$17)))))</f>
        <v>438.91072065262426</v>
      </c>
      <c r="U13" s="28">
        <f>IF(U8="","",IF(U8&lt;'[12]Set Up'!$J$15,U8*'[12]Set Up'!$N$15,IF(U8&lt;'[12]Set Up'!$J$16,(U8-'[12]Set Up'!$J$15)*'[12]Set Up'!$N$16+'[12]Set Up'!$O$15,IF(U8&lt;'[12]Set Up'!$J$17,(U8-'[12]Set Up'!$J$16)*'[12]Set Up'!$N$17+'[12]Set Up'!$O$15+'[12]Set Up'!$O$16,(U8-'[12]Set Up'!$J$17)*'[12]Set Up'!$N$18 + SUM('[12]Set Up'!$O$15:'[12]Set Up'!$O$17)))))</f>
        <v>435.92443104850202</v>
      </c>
      <c r="V13" s="28">
        <f>IF(V8="","",IF(V8&lt;'[12]Set Up'!$J$15,V8*'[12]Set Up'!$N$15,IF(V8&lt;'[12]Set Up'!$J$16,(V8-'[12]Set Up'!$J$15)*'[12]Set Up'!$N$16+'[12]Set Up'!$O$15,IF(V8&lt;'[12]Set Up'!$J$17,(V8-'[12]Set Up'!$J$16)*'[12]Set Up'!$N$17+'[12]Set Up'!$O$15+'[12]Set Up'!$O$16,(V8-'[12]Set Up'!$J$17)*'[12]Set Up'!$N$18 + SUM('[12]Set Up'!$O$15:'[12]Set Up'!$O$17)))))</f>
        <v>432.92320999635911</v>
      </c>
      <c r="W13" s="28">
        <f>IF(W8="","",IF(W8&lt;'[12]Set Up'!$J$15,W8*'[12]Set Up'!$N$15,IF(W8&lt;'[12]Set Up'!$J$16,(W8-'[12]Set Up'!$J$15)*'[12]Set Up'!$N$16+'[12]Set Up'!$O$15,IF(W8&lt;'[12]Set Up'!$J$17,(W8-'[12]Set Up'!$J$16)*'[12]Set Up'!$N$17+'[12]Set Up'!$O$15+'[12]Set Up'!$O$16,(W8-'[12]Set Up'!$J$17)*'[12]Set Up'!$N$18 + SUM('[12]Set Up'!$O$15:'[12]Set Up'!$O$17)))))</f>
        <v>429.93692039223686</v>
      </c>
      <c r="X13" s="28">
        <f>IF(X8="","",IF(X8&lt;'[12]Set Up'!$J$15,X8*'[12]Set Up'!$N$15,IF(X8&lt;'[12]Set Up'!$J$16,(X8-'[12]Set Up'!$J$15)*'[12]Set Up'!$N$16+'[12]Set Up'!$O$15,IF(X8&lt;'[12]Set Up'!$J$17,(X8-'[12]Set Up'!$J$16)*'[12]Set Up'!$N$17+'[12]Set Up'!$O$15+'[12]Set Up'!$O$16,(X8-'[12]Set Up'!$J$17)*'[12]Set Up'!$N$18 + SUM('[12]Set Up'!$O$15:'[12]Set Up'!$O$17)))))</f>
        <v>426.95063078811455</v>
      </c>
      <c r="Y13" s="28">
        <f>IF(Y8="","",IF(Y8&lt;'[12]Set Up'!$J$15,Y8*'[12]Set Up'!$N$15,IF(Y8&lt;'[12]Set Up'!$J$16,(Y8-'[12]Set Up'!$J$15)*'[12]Set Up'!$N$16+'[12]Set Up'!$O$15,IF(Y8&lt;'[12]Set Up'!$J$17,(Y8-'[12]Set Up'!$J$16)*'[12]Set Up'!$N$17+'[12]Set Up'!$O$15+'[12]Set Up'!$O$16,(Y8-'[12]Set Up'!$J$17)*'[12]Set Up'!$N$18 + SUM('[12]Set Up'!$O$15:'[12]Set Up'!$O$17)))))</f>
        <v>423.96434118399225</v>
      </c>
      <c r="Z13" s="28">
        <f>IF(Z8="","",IF(Z8&lt;'[12]Set Up'!$J$15,Z8*'[12]Set Up'!$N$15,IF(Z8&lt;'[12]Set Up'!$J$16,(Z8-'[12]Set Up'!$J$15)*'[12]Set Up'!$N$16+'[12]Set Up'!$O$15,IF(Z8&lt;'[12]Set Up'!$J$17,(Z8-'[12]Set Up'!$J$16)*'[12]Set Up'!$N$17+'[12]Set Up'!$O$15+'[12]Set Up'!$O$16,(Z8-'[12]Set Up'!$J$17)*'[12]Set Up'!$N$18 + SUM('[12]Set Up'!$O$15:'[12]Set Up'!$O$17)))))</f>
        <v>420.97805157987</v>
      </c>
      <c r="AA13" s="28">
        <f>IF(AA8="","",IF(AA8&lt;'[12]Set Up'!$J$15,AA8*'[12]Set Up'!$N$15,IF(AA8&lt;'[12]Set Up'!$J$16,(AA8-'[12]Set Up'!$J$15)*'[12]Set Up'!$N$16+'[12]Set Up'!$O$15,IF(AA8&lt;'[12]Set Up'!$J$17,(AA8-'[12]Set Up'!$J$16)*'[12]Set Up'!$N$17+'[12]Set Up'!$O$15+'[12]Set Up'!$O$16,(AA8-'[12]Set Up'!$J$17)*'[12]Set Up'!$N$18 + SUM('[12]Set Up'!$O$15:'[12]Set Up'!$O$17)))))</f>
        <v>417.97683052772709</v>
      </c>
      <c r="AB13" s="28">
        <f>IF(AB8="","",IF(AB8&lt;'[12]Set Up'!$J$15,AB8*'[12]Set Up'!$N$15,IF(AB8&lt;'[12]Set Up'!$J$16,(AB8-'[12]Set Up'!$J$15)*'[12]Set Up'!$N$16+'[12]Set Up'!$O$15,IF(AB8&lt;'[12]Set Up'!$J$17,(AB8-'[12]Set Up'!$J$16)*'[12]Set Up'!$N$17+'[12]Set Up'!$O$15+'[12]Set Up'!$O$16,(AB8-'[12]Set Up'!$J$17)*'[12]Set Up'!$N$18 + SUM('[12]Set Up'!$O$15:'[12]Set Up'!$O$17)))))</f>
        <v>414.99054092360484</v>
      </c>
      <c r="AC13" s="28">
        <f>IF(AC8="","",IF(AC8&lt;'[12]Set Up'!$J$15,AC8*'[12]Set Up'!$N$15,IF(AC8&lt;'[12]Set Up'!$J$16,(AC8-'[12]Set Up'!$J$15)*'[12]Set Up'!$N$16+'[12]Set Up'!$O$15,IF(AC8&lt;'[12]Set Up'!$J$17,(AC8-'[12]Set Up'!$J$16)*'[12]Set Up'!$N$17+'[12]Set Up'!$O$15+'[12]Set Up'!$O$16,(AC8-'[12]Set Up'!$J$17)*'[12]Set Up'!$N$18 + SUM('[12]Set Up'!$O$15:'[12]Set Up'!$O$17)))))</f>
        <v>412.00425131948253</v>
      </c>
      <c r="AD13" s="28">
        <f>IF(AD8="","",IF(AD8&lt;'[12]Set Up'!$J$15,AD8*'[12]Set Up'!$N$15,IF(AD8&lt;'[12]Set Up'!$J$16,(AD8-'[12]Set Up'!$J$15)*'[12]Set Up'!$N$16+'[12]Set Up'!$O$15,IF(AD8&lt;'[12]Set Up'!$J$17,(AD8-'[12]Set Up'!$J$16)*'[12]Set Up'!$N$17+'[12]Set Up'!$O$15+'[12]Set Up'!$O$16,(AD8-'[12]Set Up'!$J$17)*'[12]Set Up'!$N$18 + SUM('[12]Set Up'!$O$15:'[12]Set Up'!$O$17)))))</f>
        <v>409.01796171536029</v>
      </c>
      <c r="AE13" s="28">
        <f>IF(AE8="","",IF(AE8&lt;'[12]Set Up'!$J$15,AE8*'[12]Set Up'!$N$15,IF(AE8&lt;'[12]Set Up'!$J$16,(AE8-'[12]Set Up'!$J$15)*'[12]Set Up'!$N$16+'[12]Set Up'!$O$15,IF(AE8&lt;'[12]Set Up'!$J$17,(AE8-'[12]Set Up'!$J$16)*'[12]Set Up'!$N$17+'[12]Set Up'!$O$15+'[12]Set Up'!$O$16,(AE8-'[12]Set Up'!$J$17)*'[12]Set Up'!$N$18 + SUM('[12]Set Up'!$O$15:'[12]Set Up'!$O$17)))))</f>
        <v>406.03167211123798</v>
      </c>
      <c r="AF13" s="28">
        <f>IF(AF8="","",IF(AF8&lt;'[12]Set Up'!$J$15,AF8*'[12]Set Up'!$N$15,IF(AF8&lt;'[12]Set Up'!$J$16,(AF8-'[12]Set Up'!$J$15)*'[12]Set Up'!$N$16+'[12]Set Up'!$O$15,IF(AF8&lt;'[12]Set Up'!$J$17,(AF8-'[12]Set Up'!$J$16)*'[12]Set Up'!$N$17+'[12]Set Up'!$O$15+'[12]Set Up'!$O$16,(AF8-'[12]Set Up'!$J$17)*'[12]Set Up'!$N$18 + SUM('[12]Set Up'!$O$15:'[12]Set Up'!$O$17)))))</f>
        <v>403.03045105909507</v>
      </c>
      <c r="AG13" s="28">
        <f>IF(AG8="","",IF(AG8&lt;'[12]Set Up'!$J$15,AG8*'[12]Set Up'!$N$15,IF(AG8&lt;'[12]Set Up'!$J$16,(AG8-'[12]Set Up'!$J$15)*'[12]Set Up'!$N$16+'[12]Set Up'!$O$15,IF(AG8&lt;'[12]Set Up'!$J$17,(AG8-'[12]Set Up'!$J$16)*'[12]Set Up'!$N$17+'[12]Set Up'!$O$15+'[12]Set Up'!$O$16,(AG8-'[12]Set Up'!$J$17)*'[12]Set Up'!$N$18 + SUM('[12]Set Up'!$O$15:'[12]Set Up'!$O$17)))))</f>
        <v>400.04416145497282</v>
      </c>
      <c r="AH13" s="28">
        <f>IF(AH8="","",IF(AH8&lt;'[12]Set Up'!$J$15,AH8*'[12]Set Up'!$N$15,IF(AH8&lt;'[12]Set Up'!$J$16,(AH8-'[12]Set Up'!$J$15)*'[12]Set Up'!$N$16+'[12]Set Up'!$O$15,IF(AH8&lt;'[12]Set Up'!$J$17,(AH8-'[12]Set Up'!$J$16)*'[12]Set Up'!$N$17+'[12]Set Up'!$O$15+'[12]Set Up'!$O$16,(AH8-'[12]Set Up'!$J$17)*'[12]Set Up'!$N$18 + SUM('[12]Set Up'!$O$15:'[12]Set Up'!$O$17)))))</f>
        <v>397.05787185085057</v>
      </c>
      <c r="AI13" s="28">
        <f>IF(AI8="","",IF(AI8&lt;'[12]Set Up'!$J$15,AI8*'[12]Set Up'!$N$15,IF(AI8&lt;'[12]Set Up'!$J$16,(AI8-'[12]Set Up'!$J$15)*'[12]Set Up'!$N$16+'[12]Set Up'!$O$15,IF(AI8&lt;'[12]Set Up'!$J$17,(AI8-'[12]Set Up'!$J$16)*'[12]Set Up'!$N$17+'[12]Set Up'!$O$15+'[12]Set Up'!$O$16,(AI8-'[12]Set Up'!$J$17)*'[12]Set Up'!$N$18 + SUM('[12]Set Up'!$O$15:'[12]Set Up'!$O$17)))))</f>
        <v>394.07158224672827</v>
      </c>
      <c r="AJ13" s="28">
        <f>IF(AJ8="","",IF(AJ8&lt;'[12]Set Up'!$J$15,AJ8*'[12]Set Up'!$N$15,IF(AJ8&lt;'[12]Set Up'!$J$16,(AJ8-'[12]Set Up'!$J$15)*'[12]Set Up'!$N$16+'[12]Set Up'!$O$15,IF(AJ8&lt;'[12]Set Up'!$J$17,(AJ8-'[12]Set Up'!$J$16)*'[12]Set Up'!$N$17+'[12]Set Up'!$O$15+'[12]Set Up'!$O$16,(AJ8-'[12]Set Up'!$J$17)*'[12]Set Up'!$N$18 + SUM('[12]Set Up'!$O$15:'[12]Set Up'!$O$17)))))</f>
        <v>391.07036119458536</v>
      </c>
      <c r="AK13" s="28">
        <f>IF(AK8="","",IF(AK8&lt;'[12]Set Up'!$J$15,AK8*'[12]Set Up'!$N$15,IF(AK8&lt;'[12]Set Up'!$J$16,(AK8-'[12]Set Up'!$J$15)*'[12]Set Up'!$N$16+'[12]Set Up'!$O$15,IF(AK8&lt;'[12]Set Up'!$J$17,(AK8-'[12]Set Up'!$J$16)*'[12]Set Up'!$N$17+'[12]Set Up'!$O$15+'[12]Set Up'!$O$16,(AK8-'[12]Set Up'!$J$17)*'[12]Set Up'!$N$18 + SUM('[12]Set Up'!$O$15:'[12]Set Up'!$O$17)))))</f>
        <v>388.08407159046311</v>
      </c>
      <c r="AL13" s="28">
        <f>IF(AL8="","",IF(AL8&lt;'[12]Set Up'!$J$15,AL8*'[12]Set Up'!$N$15,IF(AL8&lt;'[12]Set Up'!$J$16,(AL8-'[12]Set Up'!$J$15)*'[12]Set Up'!$N$16+'[12]Set Up'!$O$15,IF(AL8&lt;'[12]Set Up'!$J$17,(AL8-'[12]Set Up'!$J$16)*'[12]Set Up'!$N$17+'[12]Set Up'!$O$15+'[12]Set Up'!$O$16,(AL8-'[12]Set Up'!$J$17)*'[12]Set Up'!$N$18 + SUM('[12]Set Up'!$O$15:'[12]Set Up'!$O$17)))))</f>
        <v>385.09778198634081</v>
      </c>
      <c r="AM13" s="28">
        <f>IF(AM8="","",IF(AM8&lt;'[12]Set Up'!$J$15,AM8*'[12]Set Up'!$N$15,IF(AM8&lt;'[12]Set Up'!$J$16,(AM8-'[12]Set Up'!$J$15)*'[12]Set Up'!$N$16+'[12]Set Up'!$O$15,IF(AM8&lt;'[12]Set Up'!$J$17,(AM8-'[12]Set Up'!$J$16)*'[12]Set Up'!$N$17+'[12]Set Up'!$O$15+'[12]Set Up'!$O$16,(AM8-'[12]Set Up'!$J$17)*'[12]Set Up'!$N$18 + SUM('[12]Set Up'!$O$15:'[12]Set Up'!$O$17)))))</f>
        <v>382.11149238221856</v>
      </c>
      <c r="AN13" s="28">
        <f>IF(AN8="","",IF(AN8&lt;'[12]Set Up'!$J$15,AN8*'[12]Set Up'!$N$15,IF(AN8&lt;'[12]Set Up'!$J$16,(AN8-'[12]Set Up'!$J$15)*'[12]Set Up'!$N$16+'[12]Set Up'!$O$15,IF(AN8&lt;'[12]Set Up'!$J$17,(AN8-'[12]Set Up'!$J$16)*'[12]Set Up'!$N$17+'[12]Set Up'!$O$15+'[12]Set Up'!$O$16,(AN8-'[12]Set Up'!$J$17)*'[12]Set Up'!$N$18 + SUM('[12]Set Up'!$O$15:'[12]Set Up'!$O$17)))))</f>
        <v>379.12520277809625</v>
      </c>
      <c r="AO13" s="28">
        <f>IF(AO8="","",IF(AO8&lt;'[12]Set Up'!$J$15,AO8*'[12]Set Up'!$N$15,IF(AO8&lt;'[12]Set Up'!$J$16,(AO8-'[12]Set Up'!$J$15)*'[12]Set Up'!$N$16+'[12]Set Up'!$O$15,IF(AO8&lt;'[12]Set Up'!$J$17,(AO8-'[12]Set Up'!$J$16)*'[12]Set Up'!$N$17+'[12]Set Up'!$O$15+'[12]Set Up'!$O$16,(AO8-'[12]Set Up'!$J$17)*'[12]Set Up'!$N$18 + SUM('[12]Set Up'!$O$15:'[12]Set Up'!$O$17)))))</f>
        <v>376.1239817259534</v>
      </c>
      <c r="AP13" s="8"/>
    </row>
    <row r="14" spans="1:42" ht="15" thickBot="1" x14ac:dyDescent="0.4">
      <c r="A14" s="29" t="s">
        <v>22</v>
      </c>
      <c r="B14" s="197"/>
      <c r="C14" s="30" t="e">
        <f>IF(C10="","",IF(C10&lt;'[12]Set Up'!$J$15,C10*'[12]Set Up'!$N$15,IF(C10&lt;'[12]Set Up'!$J$16,(C10-'[12]Set Up'!$J$15)*'[12]Set Up'!$N$16+'[12]Set Up'!$O$15,IF(C10&lt;'[12]Set Up'!$J$17,(C10-'[12]Set Up'!$J$16)*'[12]Set Up'!$N$17+'[12]Set Up'!$O$15+'[12]Set Up'!$O$16,(C10-'[12]Set Up'!$J$17)*'[12]Set Up'!$N$18 + SUM('[12]Set Up'!$O$15:'[12]Set Up'!$O$17)))))</f>
        <v>#VALUE!</v>
      </c>
      <c r="D14" s="30">
        <f>IF(D10="","",IF(D10&lt;'[12]Set Up'!$J$15,D10*'[12]Set Up'!$N$15,IF(D10&lt;'[12]Set Up'!$J$16,(D10-'[12]Set Up'!$J$15)*'[12]Set Up'!$N$16+'[12]Set Up'!$O$15,IF(D10&lt;'[12]Set Up'!$J$17,(D10-'[12]Set Up'!$J$16)*'[12]Set Up'!$N$17+'[12]Set Up'!$O$15+'[12]Set Up'!$O$16,(D10-'[12]Set Up'!$J$17)*'[12]Set Up'!$N$18 + SUM('[12]Set Up'!$O$15:'[12]Set Up'!$O$17)))))</f>
        <v>487.01984617503422</v>
      </c>
      <c r="E14" s="30">
        <f>IF(E10="","",IF(E10&lt;'[12]Set Up'!$J$15,E10*'[12]Set Up'!$N$15,IF(E10&lt;'[12]Set Up'!$J$16,(E10-'[12]Set Up'!$J$15)*'[12]Set Up'!$N$16+'[12]Set Up'!$O$15,IF(E10&lt;'[12]Set Up'!$J$17,(E10-'[12]Set Up'!$J$16)*'[12]Set Up'!$N$17+'[12]Set Up'!$O$15+'[12]Set Up'!$O$16,(E10-'[12]Set Up'!$J$17)*'[12]Set Up'!$N$18 + SUM('[12]Set Up'!$O$15:'[12]Set Up'!$O$17)))))</f>
        <v>484.03355657091191</v>
      </c>
      <c r="F14" s="30">
        <f>IF(F10="","",IF(F10&lt;'[12]Set Up'!$J$15,F10*'[12]Set Up'!$N$15,IF(F10&lt;'[12]Set Up'!$J$16,(F10-'[12]Set Up'!$J$15)*'[12]Set Up'!$N$16+'[12]Set Up'!$O$15,IF(F10&lt;'[12]Set Up'!$J$17,(F10-'[12]Set Up'!$J$16)*'[12]Set Up'!$N$17+'[12]Set Up'!$O$15+'[12]Set Up'!$O$16,(F10-'[12]Set Up'!$J$17)*'[12]Set Up'!$N$18 + SUM('[12]Set Up'!$O$15:'[12]Set Up'!$O$17)))))</f>
        <v>481.04726696678961</v>
      </c>
      <c r="G14" s="30">
        <f>IF(G10="","",IF(G10&lt;'[12]Set Up'!$J$15,G10*'[12]Set Up'!$N$15,IF(G10&lt;'[12]Set Up'!$J$16,(G10-'[12]Set Up'!$J$15)*'[12]Set Up'!$N$16+'[12]Set Up'!$O$15,IF(G10&lt;'[12]Set Up'!$J$17,(G10-'[12]Set Up'!$J$16)*'[12]Set Up'!$N$17+'[12]Set Up'!$O$15+'[12]Set Up'!$O$16,(G10-'[12]Set Up'!$J$17)*'[12]Set Up'!$N$18 + SUM('[12]Set Up'!$O$15:'[12]Set Up'!$O$17)))))</f>
        <v>478.06097736266736</v>
      </c>
      <c r="H14" s="30">
        <f>IF(H10="","",IF(H10&lt;'[12]Set Up'!$J$15,H10*'[12]Set Up'!$N$15,IF(H10&lt;'[12]Set Up'!$J$16,(H10-'[12]Set Up'!$J$15)*'[12]Set Up'!$N$16+'[12]Set Up'!$O$15,IF(H10&lt;'[12]Set Up'!$J$17,(H10-'[12]Set Up'!$J$16)*'[12]Set Up'!$N$17+'[12]Set Up'!$O$15+'[12]Set Up'!$O$16,(H10-'[12]Set Up'!$J$17)*'[12]Set Up'!$N$18 + SUM('[12]Set Up'!$O$15:'[12]Set Up'!$O$17)))))</f>
        <v>475.05975631052445</v>
      </c>
      <c r="I14" s="30">
        <f>IF(I10="","",IF(I10&lt;'[12]Set Up'!$J$15,I10*'[12]Set Up'!$N$15,IF(I10&lt;'[12]Set Up'!$J$16,(I10-'[12]Set Up'!$J$15)*'[12]Set Up'!$N$16+'[12]Set Up'!$O$15,IF(I10&lt;'[12]Set Up'!$J$17,(I10-'[12]Set Up'!$J$16)*'[12]Set Up'!$N$17+'[12]Set Up'!$O$15+'[12]Set Up'!$O$16,(I10-'[12]Set Up'!$J$17)*'[12]Set Up'!$N$18 + SUM('[12]Set Up'!$O$15:'[12]Set Up'!$O$17)))))</f>
        <v>472.0734667064022</v>
      </c>
      <c r="J14" s="30">
        <f>IF(J10="","",IF(J10&lt;'[12]Set Up'!$J$15,J10*'[12]Set Up'!$N$15,IF(J10&lt;'[12]Set Up'!$J$16,(J10-'[12]Set Up'!$J$15)*'[12]Set Up'!$N$16+'[12]Set Up'!$O$15,IF(J10&lt;'[12]Set Up'!$J$17,(J10-'[12]Set Up'!$J$16)*'[12]Set Up'!$N$17+'[12]Set Up'!$O$15+'[12]Set Up'!$O$16,(J10-'[12]Set Up'!$J$17)*'[12]Set Up'!$N$18 + SUM('[12]Set Up'!$O$15:'[12]Set Up'!$O$17)))))</f>
        <v>469.0871771022799</v>
      </c>
      <c r="K14" s="30">
        <f>IF(K10="","",IF(K10&lt;'[12]Set Up'!$J$15,K10*'[12]Set Up'!$N$15,IF(K10&lt;'[12]Set Up'!$J$16,(K10-'[12]Set Up'!$J$15)*'[12]Set Up'!$N$16+'[12]Set Up'!$O$15,IF(K10&lt;'[12]Set Up'!$J$17,(K10-'[12]Set Up'!$J$16)*'[12]Set Up'!$N$17+'[12]Set Up'!$O$15+'[12]Set Up'!$O$16,(K10-'[12]Set Up'!$J$17)*'[12]Set Up'!$N$18 + SUM('[12]Set Up'!$O$15:'[12]Set Up'!$O$17)))))</f>
        <v>466.10088749815759</v>
      </c>
      <c r="L14" s="30">
        <f>IF(L10="","",IF(L10&lt;'[12]Set Up'!$J$15,L10*'[12]Set Up'!$N$15,IF(L10&lt;'[12]Set Up'!$J$16,(L10-'[12]Set Up'!$J$15)*'[12]Set Up'!$N$16+'[12]Set Up'!$O$15,IF(L10&lt;'[12]Set Up'!$J$17,(L10-'[12]Set Up'!$J$16)*'[12]Set Up'!$N$17+'[12]Set Up'!$O$15+'[12]Set Up'!$O$16,(L10-'[12]Set Up'!$J$17)*'[12]Set Up'!$N$18 + SUM('[12]Set Up'!$O$15:'[12]Set Up'!$O$17)))))</f>
        <v>463.11459789403534</v>
      </c>
      <c r="M14" s="30">
        <f>IF(M10="","",IF(M10&lt;'[12]Set Up'!$J$15,M10*'[12]Set Up'!$N$15,IF(M10&lt;'[12]Set Up'!$J$16,(M10-'[12]Set Up'!$J$15)*'[12]Set Up'!$N$16+'[12]Set Up'!$O$15,IF(M10&lt;'[12]Set Up'!$J$17,(M10-'[12]Set Up'!$J$16)*'[12]Set Up'!$N$17+'[12]Set Up'!$O$15+'[12]Set Up'!$O$16,(M10-'[12]Set Up'!$J$17)*'[12]Set Up'!$N$18 + SUM('[12]Set Up'!$O$15:'[12]Set Up'!$O$17)))))</f>
        <v>460.11337684189243</v>
      </c>
      <c r="N14" s="30">
        <f>IF(N10="","",IF(N10&lt;'[12]Set Up'!$J$15,N10*'[12]Set Up'!$N$15,IF(N10&lt;'[12]Set Up'!$J$16,(N10-'[12]Set Up'!$J$15)*'[12]Set Up'!$N$16+'[12]Set Up'!$O$15,IF(N10&lt;'[12]Set Up'!$J$17,(N10-'[12]Set Up'!$J$16)*'[12]Set Up'!$N$17+'[12]Set Up'!$O$15+'[12]Set Up'!$O$16,(N10-'[12]Set Up'!$J$17)*'[12]Set Up'!$N$18 + SUM('[12]Set Up'!$O$15:'[12]Set Up'!$O$17)))))</f>
        <v>457.12708723777018</v>
      </c>
      <c r="O14" s="30">
        <f>IF(O10="","",IF(O10&lt;'[12]Set Up'!$J$15,O10*'[12]Set Up'!$N$15,IF(O10&lt;'[12]Set Up'!$J$16,(O10-'[12]Set Up'!$J$15)*'[12]Set Up'!$N$16+'[12]Set Up'!$O$15,IF(O10&lt;'[12]Set Up'!$J$17,(O10-'[12]Set Up'!$J$16)*'[12]Set Up'!$N$17+'[12]Set Up'!$O$15+'[12]Set Up'!$O$16,(O10-'[12]Set Up'!$J$17)*'[12]Set Up'!$N$18 + SUM('[12]Set Up'!$O$15:'[12]Set Up'!$O$17)))))</f>
        <v>454.14079763364794</v>
      </c>
      <c r="P14" s="30">
        <f>IF(P10="","",IF(P10&lt;'[12]Set Up'!$J$15,P10*'[12]Set Up'!$N$15,IF(P10&lt;'[12]Set Up'!$J$16,(P10-'[12]Set Up'!$J$15)*'[12]Set Up'!$N$16+'[12]Set Up'!$O$15,IF(P10&lt;'[12]Set Up'!$J$17,(P10-'[12]Set Up'!$J$16)*'[12]Set Up'!$N$17+'[12]Set Up'!$O$15+'[12]Set Up'!$O$16,(P10-'[12]Set Up'!$J$17)*'[12]Set Up'!$N$18 + SUM('[12]Set Up'!$O$15:'[12]Set Up'!$O$17)))))</f>
        <v>451.15450802952563</v>
      </c>
      <c r="Q14" s="30">
        <f>IF(Q10="","",IF(Q10&lt;'[12]Set Up'!$J$15,Q10*'[12]Set Up'!$N$15,IF(Q10&lt;'[12]Set Up'!$J$16,(Q10-'[12]Set Up'!$J$15)*'[12]Set Up'!$N$16+'[12]Set Up'!$O$15,IF(Q10&lt;'[12]Set Up'!$J$17,(Q10-'[12]Set Up'!$J$16)*'[12]Set Up'!$N$17+'[12]Set Up'!$O$15+'[12]Set Up'!$O$16,(Q10-'[12]Set Up'!$J$17)*'[12]Set Up'!$N$18 + SUM('[12]Set Up'!$O$15:'[12]Set Up'!$O$17)))))</f>
        <v>448.16821842540332</v>
      </c>
      <c r="R14" s="30">
        <f>IF(R10="","",IF(R10&lt;'[12]Set Up'!$J$15,R10*'[12]Set Up'!$N$15,IF(R10&lt;'[12]Set Up'!$J$16,(R10-'[12]Set Up'!$J$15)*'[12]Set Up'!$N$16+'[12]Set Up'!$O$15,IF(R10&lt;'[12]Set Up'!$J$17,(R10-'[12]Set Up'!$J$16)*'[12]Set Up'!$N$17+'[12]Set Up'!$O$15+'[12]Set Up'!$O$16,(R10-'[12]Set Up'!$J$17)*'[12]Set Up'!$N$18 + SUM('[12]Set Up'!$O$15:'[12]Set Up'!$O$17)))))</f>
        <v>445.16699737326041</v>
      </c>
      <c r="S14" s="30">
        <f>IF(S10="","",IF(S10&lt;'[12]Set Up'!$J$15,S10*'[12]Set Up'!$N$15,IF(S10&lt;'[12]Set Up'!$J$16,(S10-'[12]Set Up'!$J$15)*'[12]Set Up'!$N$16+'[12]Set Up'!$O$15,IF(S10&lt;'[12]Set Up'!$J$17,(S10-'[12]Set Up'!$J$16)*'[12]Set Up'!$N$17+'[12]Set Up'!$O$15+'[12]Set Up'!$O$16,(S10-'[12]Set Up'!$J$17)*'[12]Set Up'!$N$18 + SUM('[12]Set Up'!$O$15:'[12]Set Up'!$O$17)))))</f>
        <v>442.18070776913817</v>
      </c>
      <c r="T14" s="30">
        <f>IF(T10="","",IF(T10&lt;'[12]Set Up'!$J$15,T10*'[12]Set Up'!$N$15,IF(T10&lt;'[12]Set Up'!$J$16,(T10-'[12]Set Up'!$J$15)*'[12]Set Up'!$N$16+'[12]Set Up'!$O$15,IF(T10&lt;'[12]Set Up'!$J$17,(T10-'[12]Set Up'!$J$16)*'[12]Set Up'!$N$17+'[12]Set Up'!$O$15+'[12]Set Up'!$O$16,(T10-'[12]Set Up'!$J$17)*'[12]Set Up'!$N$18 + SUM('[12]Set Up'!$O$15:'[12]Set Up'!$O$17)))))</f>
        <v>439.19441816501592</v>
      </c>
      <c r="U14" s="30">
        <f>IF(U10="","",IF(U10&lt;'[12]Set Up'!$J$15,U10*'[12]Set Up'!$N$15,IF(U10&lt;'[12]Set Up'!$J$16,(U10-'[12]Set Up'!$J$15)*'[12]Set Up'!$N$16+'[12]Set Up'!$O$15,IF(U10&lt;'[12]Set Up'!$J$17,(U10-'[12]Set Up'!$J$16)*'[12]Set Up'!$N$17+'[12]Set Up'!$O$15+'[12]Set Up'!$O$16,(U10-'[12]Set Up'!$J$17)*'[12]Set Up'!$N$18 + SUM('[12]Set Up'!$O$15:'[12]Set Up'!$O$17)))))</f>
        <v>436.20812856089361</v>
      </c>
      <c r="V14" s="30">
        <f>IF(V10="","",IF(V10&lt;'[12]Set Up'!$J$15,V10*'[12]Set Up'!$N$15,IF(V10&lt;'[12]Set Up'!$J$16,(V10-'[12]Set Up'!$J$15)*'[12]Set Up'!$N$16+'[12]Set Up'!$O$15,IF(V10&lt;'[12]Set Up'!$J$17,(V10-'[12]Set Up'!$J$16)*'[12]Set Up'!$N$17+'[12]Set Up'!$O$15+'[12]Set Up'!$O$16,(V10-'[12]Set Up'!$J$17)*'[12]Set Up'!$N$18 + SUM('[12]Set Up'!$O$15:'[12]Set Up'!$O$17)))))</f>
        <v>433.20690750875076</v>
      </c>
      <c r="W14" s="30">
        <f>IF(W10="","",IF(W10&lt;'[12]Set Up'!$J$15,W10*'[12]Set Up'!$N$15,IF(W10&lt;'[12]Set Up'!$J$16,(W10-'[12]Set Up'!$J$15)*'[12]Set Up'!$N$16+'[12]Set Up'!$O$15,IF(W10&lt;'[12]Set Up'!$J$17,(W10-'[12]Set Up'!$J$16)*'[12]Set Up'!$N$17+'[12]Set Up'!$O$15+'[12]Set Up'!$O$16,(W10-'[12]Set Up'!$J$17)*'[12]Set Up'!$N$18 + SUM('[12]Set Up'!$O$15:'[12]Set Up'!$O$17)))))</f>
        <v>430.22061790462845</v>
      </c>
      <c r="X14" s="30">
        <f>IF(X10="","",IF(X10&lt;'[12]Set Up'!$J$15,X10*'[12]Set Up'!$N$15,IF(X10&lt;'[12]Set Up'!$J$16,(X10-'[12]Set Up'!$J$15)*'[12]Set Up'!$N$16+'[12]Set Up'!$O$15,IF(X10&lt;'[12]Set Up'!$J$17,(X10-'[12]Set Up'!$J$16)*'[12]Set Up'!$N$17+'[12]Set Up'!$O$15+'[12]Set Up'!$O$16,(X10-'[12]Set Up'!$J$17)*'[12]Set Up'!$N$18 + SUM('[12]Set Up'!$O$15:'[12]Set Up'!$O$17)))))</f>
        <v>427.23432830050615</v>
      </c>
      <c r="Y14" s="30">
        <f>IF(Y10="","",IF(Y10&lt;'[12]Set Up'!$J$15,Y10*'[12]Set Up'!$N$15,IF(Y10&lt;'[12]Set Up'!$J$16,(Y10-'[12]Set Up'!$J$15)*'[12]Set Up'!$N$16+'[12]Set Up'!$O$15,IF(Y10&lt;'[12]Set Up'!$J$17,(Y10-'[12]Set Up'!$J$16)*'[12]Set Up'!$N$17+'[12]Set Up'!$O$15+'[12]Set Up'!$O$16,(Y10-'[12]Set Up'!$J$17)*'[12]Set Up'!$N$18 + SUM('[12]Set Up'!$O$15:'[12]Set Up'!$O$17)))))</f>
        <v>424.2480386963839</v>
      </c>
      <c r="Z14" s="30">
        <f>IF(Z10="","",IF(Z10&lt;'[12]Set Up'!$J$15,Z10*'[12]Set Up'!$N$15,IF(Z10&lt;'[12]Set Up'!$J$16,(Z10-'[12]Set Up'!$J$15)*'[12]Set Up'!$N$16+'[12]Set Up'!$O$15,IF(Z10&lt;'[12]Set Up'!$J$17,(Z10-'[12]Set Up'!$J$16)*'[12]Set Up'!$N$17+'[12]Set Up'!$O$15+'[12]Set Up'!$O$16,(Z10-'[12]Set Up'!$J$17)*'[12]Set Up'!$N$18 + SUM('[12]Set Up'!$O$15:'[12]Set Up'!$O$17)))))</f>
        <v>421.2617490922616</v>
      </c>
      <c r="AA14" s="30">
        <f>IF(AA10="","",IF(AA10&lt;'[12]Set Up'!$J$15,AA10*'[12]Set Up'!$N$15,IF(AA10&lt;'[12]Set Up'!$J$16,(AA10-'[12]Set Up'!$J$15)*'[12]Set Up'!$N$16+'[12]Set Up'!$O$15,IF(AA10&lt;'[12]Set Up'!$J$17,(AA10-'[12]Set Up'!$J$16)*'[12]Set Up'!$N$17+'[12]Set Up'!$O$15+'[12]Set Up'!$O$16,(AA10-'[12]Set Up'!$J$17)*'[12]Set Up'!$N$18 + SUM('[12]Set Up'!$O$15:'[12]Set Up'!$O$17)))))</f>
        <v>418.26052804011874</v>
      </c>
      <c r="AB14" s="30">
        <f>IF(AB10="","",IF(AB10&lt;'[12]Set Up'!$J$15,AB10*'[12]Set Up'!$N$15,IF(AB10&lt;'[12]Set Up'!$J$16,(AB10-'[12]Set Up'!$J$15)*'[12]Set Up'!$N$16+'[12]Set Up'!$O$15,IF(AB10&lt;'[12]Set Up'!$J$17,(AB10-'[12]Set Up'!$J$16)*'[12]Set Up'!$N$17+'[12]Set Up'!$O$15+'[12]Set Up'!$O$16,(AB10-'[12]Set Up'!$J$17)*'[12]Set Up'!$N$18 + SUM('[12]Set Up'!$O$15:'[12]Set Up'!$O$17)))))</f>
        <v>415.27423843599644</v>
      </c>
      <c r="AC14" s="30">
        <f>IF(AC10="","",IF(AC10&lt;'[12]Set Up'!$J$15,AC10*'[12]Set Up'!$N$15,IF(AC10&lt;'[12]Set Up'!$J$16,(AC10-'[12]Set Up'!$J$15)*'[12]Set Up'!$N$16+'[12]Set Up'!$O$15,IF(AC10&lt;'[12]Set Up'!$J$17,(AC10-'[12]Set Up'!$J$16)*'[12]Set Up'!$N$17+'[12]Set Up'!$O$15+'[12]Set Up'!$O$16,(AC10-'[12]Set Up'!$J$17)*'[12]Set Up'!$N$18 + SUM('[12]Set Up'!$O$15:'[12]Set Up'!$O$17)))))</f>
        <v>412.28794883187413</v>
      </c>
      <c r="AD14" s="30">
        <f>IF(AD10="","",IF(AD10&lt;'[12]Set Up'!$J$15,AD10*'[12]Set Up'!$N$15,IF(AD10&lt;'[12]Set Up'!$J$16,(AD10-'[12]Set Up'!$J$15)*'[12]Set Up'!$N$16+'[12]Set Up'!$O$15,IF(AD10&lt;'[12]Set Up'!$J$17,(AD10-'[12]Set Up'!$J$16)*'[12]Set Up'!$N$17+'[12]Set Up'!$O$15+'[12]Set Up'!$O$16,(AD10-'[12]Set Up'!$J$17)*'[12]Set Up'!$N$18 + SUM('[12]Set Up'!$O$15:'[12]Set Up'!$O$17)))))</f>
        <v>409.30165922775188</v>
      </c>
      <c r="AE14" s="30">
        <f>IF(AE10="","",IF(AE10&lt;'[12]Set Up'!$J$15,AE10*'[12]Set Up'!$N$15,IF(AE10&lt;'[12]Set Up'!$J$16,(AE10-'[12]Set Up'!$J$15)*'[12]Set Up'!$N$16+'[12]Set Up'!$O$15,IF(AE10&lt;'[12]Set Up'!$J$17,(AE10-'[12]Set Up'!$J$16)*'[12]Set Up'!$N$17+'[12]Set Up'!$O$15+'[12]Set Up'!$O$16,(AE10-'[12]Set Up'!$J$17)*'[12]Set Up'!$N$18 + SUM('[12]Set Up'!$O$15:'[12]Set Up'!$O$17)))))</f>
        <v>406.31536962362964</v>
      </c>
      <c r="AF14" s="30">
        <f>IF(AF10="","",IF(AF10&lt;'[12]Set Up'!$J$15,AF10*'[12]Set Up'!$N$15,IF(AF10&lt;'[12]Set Up'!$J$16,(AF10-'[12]Set Up'!$J$15)*'[12]Set Up'!$N$16+'[12]Set Up'!$O$15,IF(AF10&lt;'[12]Set Up'!$J$17,(AF10-'[12]Set Up'!$J$16)*'[12]Set Up'!$N$17+'[12]Set Up'!$O$15+'[12]Set Up'!$O$16,(AF10-'[12]Set Up'!$J$17)*'[12]Set Up'!$N$18 + SUM('[12]Set Up'!$O$15:'[12]Set Up'!$O$17)))))</f>
        <v>403.31414857148673</v>
      </c>
      <c r="AG14" s="30">
        <f>IF(AG10="","",IF(AG10&lt;'[12]Set Up'!$J$15,AG10*'[12]Set Up'!$N$15,IF(AG10&lt;'[12]Set Up'!$J$16,(AG10-'[12]Set Up'!$J$15)*'[12]Set Up'!$N$16+'[12]Set Up'!$O$15,IF(AG10&lt;'[12]Set Up'!$J$17,(AG10-'[12]Set Up'!$J$16)*'[12]Set Up'!$N$17+'[12]Set Up'!$O$15+'[12]Set Up'!$O$16,(AG10-'[12]Set Up'!$J$17)*'[12]Set Up'!$N$18 + SUM('[12]Set Up'!$O$15:'[12]Set Up'!$O$17)))))</f>
        <v>400.32785896736442</v>
      </c>
      <c r="AH14" s="30">
        <f>IF(AH10="","",IF(AH10&lt;'[12]Set Up'!$J$15,AH10*'[12]Set Up'!$N$15,IF(AH10&lt;'[12]Set Up'!$J$16,(AH10-'[12]Set Up'!$J$15)*'[12]Set Up'!$N$16+'[12]Set Up'!$O$15,IF(AH10&lt;'[12]Set Up'!$J$17,(AH10-'[12]Set Up'!$J$16)*'[12]Set Up'!$N$17+'[12]Set Up'!$O$15+'[12]Set Up'!$O$16,(AH10-'[12]Set Up'!$J$17)*'[12]Set Up'!$N$18 + SUM('[12]Set Up'!$O$15:'[12]Set Up'!$O$17)))))</f>
        <v>397.34156936324217</v>
      </c>
      <c r="AI14" s="30">
        <f>IF(AI10="","",IF(AI10&lt;'[12]Set Up'!$J$15,AI10*'[12]Set Up'!$N$15,IF(AI10&lt;'[12]Set Up'!$J$16,(AI10-'[12]Set Up'!$J$15)*'[12]Set Up'!$N$16+'[12]Set Up'!$O$15,IF(AI10&lt;'[12]Set Up'!$J$17,(AI10-'[12]Set Up'!$J$16)*'[12]Set Up'!$N$17+'[12]Set Up'!$O$15+'[12]Set Up'!$O$16,(AI10-'[12]Set Up'!$J$17)*'[12]Set Up'!$N$18 + SUM('[12]Set Up'!$O$15:'[12]Set Up'!$O$17)))))</f>
        <v>394.35527975911987</v>
      </c>
      <c r="AJ14" s="30">
        <f>IF(AJ10="","",IF(AJ10&lt;'[12]Set Up'!$J$15,AJ10*'[12]Set Up'!$N$15,IF(AJ10&lt;'[12]Set Up'!$J$16,(AJ10-'[12]Set Up'!$J$15)*'[12]Set Up'!$N$16+'[12]Set Up'!$O$15,IF(AJ10&lt;'[12]Set Up'!$J$17,(AJ10-'[12]Set Up'!$J$16)*'[12]Set Up'!$N$17+'[12]Set Up'!$O$15+'[12]Set Up'!$O$16,(AJ10-'[12]Set Up'!$J$17)*'[12]Set Up'!$N$18 + SUM('[12]Set Up'!$O$15:'[12]Set Up'!$O$17)))))</f>
        <v>391.35405870697696</v>
      </c>
      <c r="AK14" s="30">
        <f>IF(AK10="","",IF(AK10&lt;'[12]Set Up'!$J$15,AK10*'[12]Set Up'!$N$15,IF(AK10&lt;'[12]Set Up'!$J$16,(AK10-'[12]Set Up'!$J$15)*'[12]Set Up'!$N$16+'[12]Set Up'!$O$15,IF(AK10&lt;'[12]Set Up'!$J$17,(AK10-'[12]Set Up'!$J$16)*'[12]Set Up'!$N$17+'[12]Set Up'!$O$15+'[12]Set Up'!$O$16,(AK10-'[12]Set Up'!$J$17)*'[12]Set Up'!$N$18 + SUM('[12]Set Up'!$O$15:'[12]Set Up'!$O$17)))))</f>
        <v>388.36776910285471</v>
      </c>
      <c r="AL14" s="30">
        <f>IF(AL10="","",IF(AL10&lt;'[12]Set Up'!$J$15,AL10*'[12]Set Up'!$N$15,IF(AL10&lt;'[12]Set Up'!$J$16,(AL10-'[12]Set Up'!$J$15)*'[12]Set Up'!$N$16+'[12]Set Up'!$O$15,IF(AL10&lt;'[12]Set Up'!$J$17,(AL10-'[12]Set Up'!$J$16)*'[12]Set Up'!$N$17+'[12]Set Up'!$O$15+'[12]Set Up'!$O$16,(AL10-'[12]Set Up'!$J$17)*'[12]Set Up'!$N$18 + SUM('[12]Set Up'!$O$15:'[12]Set Up'!$O$17)))))</f>
        <v>385.38147949873246</v>
      </c>
      <c r="AM14" s="30">
        <f>IF(AM10="","",IF(AM10&lt;'[12]Set Up'!$J$15,AM10*'[12]Set Up'!$N$15,IF(AM10&lt;'[12]Set Up'!$J$16,(AM10-'[12]Set Up'!$J$15)*'[12]Set Up'!$N$16+'[12]Set Up'!$O$15,IF(AM10&lt;'[12]Set Up'!$J$17,(AM10-'[12]Set Up'!$J$16)*'[12]Set Up'!$N$17+'[12]Set Up'!$O$15+'[12]Set Up'!$O$16,(AM10-'[12]Set Up'!$J$17)*'[12]Set Up'!$N$18 + SUM('[12]Set Up'!$O$15:'[12]Set Up'!$O$17)))))</f>
        <v>382.39518989461016</v>
      </c>
      <c r="AN14" s="30">
        <f>IF(AN10="","",IF(AN10&lt;'[12]Set Up'!$J$15,AN10*'[12]Set Up'!$N$15,IF(AN10&lt;'[12]Set Up'!$J$16,(AN10-'[12]Set Up'!$J$15)*'[12]Set Up'!$N$16+'[12]Set Up'!$O$15,IF(AN10&lt;'[12]Set Up'!$J$17,(AN10-'[12]Set Up'!$J$16)*'[12]Set Up'!$N$17+'[12]Set Up'!$O$15+'[12]Set Up'!$O$16,(AN10-'[12]Set Up'!$J$17)*'[12]Set Up'!$N$18 + SUM('[12]Set Up'!$O$15:'[12]Set Up'!$O$17)))))</f>
        <v>379.40890029048785</v>
      </c>
      <c r="AO14" s="30">
        <f>IF(AO10="","",IF(AO10&lt;'[12]Set Up'!$J$15,AO10*'[12]Set Up'!$N$15,IF(AO10&lt;'[12]Set Up'!$J$16,(AO10-'[12]Set Up'!$J$15)*'[12]Set Up'!$N$16+'[12]Set Up'!$O$15,IF(AO10&lt;'[12]Set Up'!$J$17,(AO10-'[12]Set Up'!$J$16)*'[12]Set Up'!$N$17+'[12]Set Up'!$O$15+'[12]Set Up'!$O$16,(AO10-'[12]Set Up'!$J$17)*'[12]Set Up'!$N$18 + SUM('[12]Set Up'!$O$15:'[12]Set Up'!$O$17)))))</f>
        <v>376.407679238345</v>
      </c>
      <c r="AP14" s="8"/>
    </row>
    <row r="15" spans="1:42" ht="15" thickBot="1" x14ac:dyDescent="0.4">
      <c r="A15" s="31"/>
      <c r="B15" s="32"/>
      <c r="C15" s="183" t="s">
        <v>23</v>
      </c>
      <c r="D15" s="184"/>
      <c r="E15" s="184"/>
      <c r="F15" s="184"/>
      <c r="G15" s="184"/>
      <c r="H15" s="184"/>
      <c r="I15" s="185"/>
      <c r="J15" s="32"/>
      <c r="K15" s="32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8"/>
    </row>
    <row r="16" spans="1:42" x14ac:dyDescent="0.35">
      <c r="A16" s="34" t="s">
        <v>24</v>
      </c>
      <c r="B16" s="35" t="s">
        <v>11</v>
      </c>
      <c r="C16" s="36">
        <v>43280</v>
      </c>
      <c r="D16" s="36">
        <v>43280</v>
      </c>
      <c r="E16" s="36">
        <v>43281</v>
      </c>
      <c r="F16" s="36">
        <v>43281</v>
      </c>
      <c r="G16" s="36">
        <v>43281</v>
      </c>
      <c r="H16" s="36">
        <v>43282</v>
      </c>
      <c r="I16" s="36">
        <v>43282</v>
      </c>
      <c r="J16" s="36">
        <v>43282</v>
      </c>
      <c r="K16" s="36">
        <v>43282</v>
      </c>
      <c r="L16" s="36">
        <v>43283</v>
      </c>
      <c r="M16" s="36">
        <v>43283</v>
      </c>
      <c r="N16" s="36">
        <v>43284</v>
      </c>
      <c r="O16" s="36">
        <v>43284</v>
      </c>
      <c r="P16" s="36">
        <v>43284</v>
      </c>
      <c r="Q16" s="36">
        <v>43285</v>
      </c>
      <c r="R16" s="36">
        <v>43285</v>
      </c>
      <c r="S16" s="36">
        <v>43286</v>
      </c>
      <c r="T16" s="36">
        <v>43286</v>
      </c>
      <c r="U16" s="36">
        <v>43286</v>
      </c>
      <c r="V16" s="36">
        <v>43286</v>
      </c>
      <c r="W16" s="36">
        <v>43287</v>
      </c>
      <c r="X16" s="36">
        <v>43287</v>
      </c>
      <c r="Y16" s="36">
        <v>43287</v>
      </c>
      <c r="Z16" s="36">
        <v>43288</v>
      </c>
      <c r="AA16" s="36">
        <v>43288</v>
      </c>
      <c r="AB16" s="36">
        <v>43288</v>
      </c>
      <c r="AC16" s="36">
        <v>43289</v>
      </c>
      <c r="AD16" s="36">
        <v>43289</v>
      </c>
      <c r="AE16" s="36">
        <v>43289</v>
      </c>
      <c r="AF16" s="36">
        <v>43289</v>
      </c>
      <c r="AG16" s="36">
        <v>43290</v>
      </c>
      <c r="AH16" s="36">
        <v>43290</v>
      </c>
      <c r="AI16" s="36">
        <v>43290</v>
      </c>
      <c r="AJ16" s="36">
        <v>43291</v>
      </c>
      <c r="AK16" s="36">
        <v>43291</v>
      </c>
      <c r="AL16" s="36">
        <v>43291</v>
      </c>
      <c r="AM16" s="36">
        <v>43291</v>
      </c>
      <c r="AN16" s="36">
        <v>43292</v>
      </c>
      <c r="AO16" s="36">
        <v>43292</v>
      </c>
      <c r="AP16" s="37"/>
    </row>
    <row r="17" spans="1:42" x14ac:dyDescent="0.35">
      <c r="A17" s="38" t="s">
        <v>25</v>
      </c>
      <c r="B17" s="39">
        <f>IF(C17="","",AVERAGE(C17:AO17))</f>
        <v>6137.5263157894733</v>
      </c>
      <c r="C17" s="40">
        <v>4670</v>
      </c>
      <c r="D17" s="40">
        <v>4820</v>
      </c>
      <c r="E17" s="41">
        <v>4900</v>
      </c>
      <c r="F17" s="41">
        <v>4980</v>
      </c>
      <c r="G17" s="41">
        <v>5040</v>
      </c>
      <c r="H17" s="41">
        <v>5040</v>
      </c>
      <c r="I17" s="41">
        <v>5060</v>
      </c>
      <c r="J17" s="41">
        <v>5100</v>
      </c>
      <c r="K17" s="41">
        <v>4990</v>
      </c>
      <c r="L17" s="41">
        <v>4940</v>
      </c>
      <c r="M17" s="41">
        <v>5040</v>
      </c>
      <c r="N17" s="41">
        <v>4830</v>
      </c>
      <c r="O17" s="41">
        <v>5050</v>
      </c>
      <c r="P17" s="41">
        <v>50606</v>
      </c>
      <c r="Q17" s="41">
        <v>5100</v>
      </c>
      <c r="R17" s="41">
        <v>4870</v>
      </c>
      <c r="S17" s="41">
        <v>4630</v>
      </c>
      <c r="T17" s="41">
        <v>4810</v>
      </c>
      <c r="U17" s="41">
        <v>4720</v>
      </c>
      <c r="V17" s="41">
        <v>4540</v>
      </c>
      <c r="W17" s="41">
        <v>4880</v>
      </c>
      <c r="X17" s="41">
        <v>5020</v>
      </c>
      <c r="Y17" s="41">
        <v>4960</v>
      </c>
      <c r="Z17" s="41">
        <v>4890</v>
      </c>
      <c r="AA17" s="41"/>
      <c r="AB17" s="41">
        <v>5010</v>
      </c>
      <c r="AC17" s="41">
        <v>5030</v>
      </c>
      <c r="AD17" s="41">
        <v>4940</v>
      </c>
      <c r="AE17" s="41">
        <v>4970</v>
      </c>
      <c r="AF17" s="41">
        <v>4930</v>
      </c>
      <c r="AG17" s="41">
        <v>5000</v>
      </c>
      <c r="AH17" s="41">
        <v>4790</v>
      </c>
      <c r="AI17" s="41">
        <v>4760</v>
      </c>
      <c r="AJ17" s="41">
        <v>4940</v>
      </c>
      <c r="AK17" s="41">
        <v>4770</v>
      </c>
      <c r="AL17" s="41">
        <v>4970</v>
      </c>
      <c r="AM17" s="41">
        <v>5010</v>
      </c>
      <c r="AN17" s="41">
        <v>5050</v>
      </c>
      <c r="AO17" s="41">
        <v>5570</v>
      </c>
      <c r="AP17" s="42"/>
    </row>
    <row r="18" spans="1:42" ht="15" thickBot="1" x14ac:dyDescent="0.4">
      <c r="A18" s="43" t="s">
        <v>26</v>
      </c>
      <c r="B18" s="44">
        <f>IF(C18="","",AVERAGE(C18:AO18))</f>
        <v>7020</v>
      </c>
      <c r="C18" s="45">
        <v>8810</v>
      </c>
      <c r="D18" s="46">
        <v>8980</v>
      </c>
      <c r="E18" s="46">
        <v>7930</v>
      </c>
      <c r="F18" s="46">
        <v>7220</v>
      </c>
      <c r="G18" s="46">
        <v>7470</v>
      </c>
      <c r="H18" s="46">
        <v>6870</v>
      </c>
      <c r="I18" s="46">
        <v>6920</v>
      </c>
      <c r="J18" s="46">
        <v>7010</v>
      </c>
      <c r="K18" s="46">
        <v>6680</v>
      </c>
      <c r="L18" s="46">
        <v>7080</v>
      </c>
      <c r="M18" s="46">
        <v>7020</v>
      </c>
      <c r="N18" s="46">
        <v>7090</v>
      </c>
      <c r="O18" s="46">
        <v>7230</v>
      </c>
      <c r="P18" s="46">
        <v>7020</v>
      </c>
      <c r="Q18" s="46">
        <v>6890</v>
      </c>
      <c r="R18" s="46">
        <v>7110</v>
      </c>
      <c r="S18" s="46">
        <v>6900</v>
      </c>
      <c r="T18" s="46">
        <v>6970</v>
      </c>
      <c r="U18" s="46">
        <v>6780</v>
      </c>
      <c r="V18" s="46">
        <v>6680</v>
      </c>
      <c r="W18" s="46">
        <v>6750</v>
      </c>
      <c r="X18" s="46">
        <v>6920</v>
      </c>
      <c r="Y18" s="46">
        <v>6790</v>
      </c>
      <c r="Z18" s="46">
        <v>6700</v>
      </c>
      <c r="AA18" s="46">
        <v>6900</v>
      </c>
      <c r="AB18" s="46">
        <v>6420</v>
      </c>
      <c r="AC18" s="46">
        <v>6890</v>
      </c>
      <c r="AD18" s="46">
        <v>7210</v>
      </c>
      <c r="AE18" s="46">
        <v>6850</v>
      </c>
      <c r="AF18" s="46">
        <v>6990</v>
      </c>
      <c r="AG18" s="46">
        <v>6800</v>
      </c>
      <c r="AH18" s="46">
        <v>6630</v>
      </c>
      <c r="AI18" s="46">
        <v>6700</v>
      </c>
      <c r="AJ18" s="46">
        <v>6720</v>
      </c>
      <c r="AK18" s="46">
        <v>6840</v>
      </c>
      <c r="AL18" s="46">
        <v>6780</v>
      </c>
      <c r="AM18" s="46">
        <v>6660</v>
      </c>
      <c r="AN18" s="46">
        <v>6740</v>
      </c>
      <c r="AO18" s="46">
        <v>6830</v>
      </c>
      <c r="AP18" s="47"/>
    </row>
    <row r="19" spans="1:42" x14ac:dyDescent="0.35">
      <c r="A19" s="48" t="s">
        <v>27</v>
      </c>
      <c r="B19" s="49"/>
      <c r="C19" s="50">
        <v>0.20694444444444446</v>
      </c>
      <c r="D19" s="51">
        <v>0.71250000000000002</v>
      </c>
      <c r="E19" s="51">
        <v>6.6666666666666666E-2</v>
      </c>
      <c r="F19" s="51">
        <v>0.42986111111111108</v>
      </c>
      <c r="G19" s="51">
        <v>0.75694444444444453</v>
      </c>
      <c r="H19" s="51">
        <v>5.2083333333333336E-2</v>
      </c>
      <c r="I19" s="51">
        <v>0.38750000000000001</v>
      </c>
      <c r="J19" s="51">
        <v>0.68263888888888891</v>
      </c>
      <c r="K19" s="51">
        <v>0.99722222222222223</v>
      </c>
      <c r="L19" s="51">
        <v>0.33402777777777781</v>
      </c>
      <c r="M19" s="51">
        <v>0.63263888888888886</v>
      </c>
      <c r="N19" s="51">
        <v>0.17500000000000002</v>
      </c>
      <c r="O19" s="51">
        <v>0.49374999999999997</v>
      </c>
      <c r="P19" s="51">
        <v>0.82152777777777775</v>
      </c>
      <c r="Q19" s="51">
        <v>0.13819444444444443</v>
      </c>
      <c r="R19" s="51">
        <v>0.55138888888888882</v>
      </c>
      <c r="S19" s="51">
        <v>0.16597222222222222</v>
      </c>
      <c r="T19" s="51">
        <v>0.46388888888888885</v>
      </c>
      <c r="U19" s="51">
        <v>0.77777777777777779</v>
      </c>
      <c r="V19" s="51">
        <v>9.4444444444444442E-2</v>
      </c>
      <c r="W19" s="51">
        <v>0.36874999999999997</v>
      </c>
      <c r="X19" s="51">
        <v>0.63958333333333328</v>
      </c>
      <c r="Y19" s="51">
        <v>0.91319444444444453</v>
      </c>
      <c r="Z19" s="51">
        <v>0.18402777777777779</v>
      </c>
      <c r="AA19" s="51">
        <v>0.46666666666666662</v>
      </c>
      <c r="AB19" s="51">
        <v>0.75416666666666676</v>
      </c>
      <c r="AC19" s="51">
        <v>7.7083333333333337E-2</v>
      </c>
      <c r="AD19" s="51">
        <v>0.36041666666666666</v>
      </c>
      <c r="AE19" s="51">
        <v>0.66875000000000007</v>
      </c>
      <c r="AF19" s="51">
        <v>0.92152777777777783</v>
      </c>
      <c r="AG19" s="51">
        <v>0.23333333333333331</v>
      </c>
      <c r="AH19" s="51">
        <v>0.53680555555555554</v>
      </c>
      <c r="AI19" s="51">
        <v>0.79513888888888884</v>
      </c>
      <c r="AJ19" s="51">
        <v>5.2083333333333336E-2</v>
      </c>
      <c r="AK19" s="51">
        <v>0.30486111111111108</v>
      </c>
      <c r="AL19" s="51">
        <v>0.55833333333333335</v>
      </c>
      <c r="AM19" s="51">
        <v>0.81111111111111101</v>
      </c>
      <c r="AN19" s="51">
        <v>5.6250000000000001E-2</v>
      </c>
      <c r="AO19" s="51">
        <v>0.29930555555555555</v>
      </c>
      <c r="AP19" s="52"/>
    </row>
    <row r="20" spans="1:42" x14ac:dyDescent="0.35">
      <c r="A20" s="53" t="s">
        <v>28</v>
      </c>
      <c r="B20" s="54"/>
      <c r="C20" s="55">
        <v>0.4145833333333333</v>
      </c>
      <c r="D20" s="54">
        <v>0.90347222222222223</v>
      </c>
      <c r="E20" s="54">
        <v>0.25625000000000003</v>
      </c>
      <c r="F20" s="54">
        <v>0.62986111111111109</v>
      </c>
      <c r="G20" s="54">
        <v>0.9291666666666667</v>
      </c>
      <c r="H20" s="54">
        <v>0.22847222222222222</v>
      </c>
      <c r="I20" s="54">
        <v>43282.559027777781</v>
      </c>
      <c r="J20" s="54">
        <v>0.86111111111111116</v>
      </c>
      <c r="K20" s="54">
        <v>0.17500000000000002</v>
      </c>
      <c r="L20" s="54">
        <v>0.50069444444444444</v>
      </c>
      <c r="M20" s="54">
        <v>0.85625000000000007</v>
      </c>
      <c r="N20" s="54">
        <v>0.34027777777777773</v>
      </c>
      <c r="O20" s="54">
        <v>0.7006944444444444</v>
      </c>
      <c r="P20" s="54">
        <v>0.99305555555555547</v>
      </c>
      <c r="Q20" s="54">
        <v>0.30416666666666664</v>
      </c>
      <c r="R20" s="54">
        <v>0.71250000000000002</v>
      </c>
      <c r="S20" s="54">
        <v>0.32500000000000001</v>
      </c>
      <c r="T20" s="54">
        <v>0.62083333333333335</v>
      </c>
      <c r="U20" s="54">
        <v>0.95624999999999993</v>
      </c>
      <c r="V20" s="54">
        <v>0.24791666666666667</v>
      </c>
      <c r="W20" s="54">
        <v>0.51874999999999993</v>
      </c>
      <c r="X20" s="54">
        <v>0.79513888888888884</v>
      </c>
      <c r="Y20" s="54">
        <v>6.7361111111111108E-2</v>
      </c>
      <c r="Z20" s="54">
        <v>0.32291666666666669</v>
      </c>
      <c r="AA20" s="54">
        <v>0.6118055555555556</v>
      </c>
      <c r="AB20" s="54">
        <v>0.90208333333333324</v>
      </c>
      <c r="AC20" s="54">
        <v>0.22013888888888888</v>
      </c>
      <c r="AD20" s="54">
        <v>0.50416666666666665</v>
      </c>
      <c r="AE20" s="54">
        <v>0.38680555555555557</v>
      </c>
      <c r="AF20" s="54">
        <v>6.25E-2</v>
      </c>
      <c r="AG20" s="54">
        <v>0.37361111111111112</v>
      </c>
      <c r="AH20" s="54">
        <v>0.67499999999999993</v>
      </c>
      <c r="AI20" s="54">
        <v>0.9243055555555556</v>
      </c>
      <c r="AJ20" s="54">
        <v>0.18958333333333333</v>
      </c>
      <c r="AK20" s="54">
        <v>0.43472222222222223</v>
      </c>
      <c r="AL20" s="54">
        <v>0.69444444444444453</v>
      </c>
      <c r="AM20" s="54">
        <v>0.94097222222222221</v>
      </c>
      <c r="AN20" s="54">
        <v>0.18888888888888888</v>
      </c>
      <c r="AO20" s="54">
        <v>0.42777777777777781</v>
      </c>
      <c r="AP20" s="52"/>
    </row>
    <row r="21" spans="1:42" ht="15" thickBot="1" x14ac:dyDescent="0.4">
      <c r="A21" s="56" t="s">
        <v>29</v>
      </c>
      <c r="B21" s="57">
        <f t="shared" ref="B21:B30" si="0">IF(C21="","",AVERAGE(C21:AO21))</f>
        <v>1109.9695690883193</v>
      </c>
      <c r="C21" s="58">
        <v>0.20763888888888885</v>
      </c>
      <c r="D21" s="59">
        <v>0.19097222222222221</v>
      </c>
      <c r="E21" s="59">
        <v>0.18958333333333338</v>
      </c>
      <c r="F21" s="59">
        <v>0.2</v>
      </c>
      <c r="G21" s="59">
        <v>0.17222222222222217</v>
      </c>
      <c r="H21" s="59">
        <v>0.17638888888888887</v>
      </c>
      <c r="I21" s="59">
        <v>43282.171527777784</v>
      </c>
      <c r="J21" s="59">
        <v>0.17847222222222225</v>
      </c>
      <c r="K21" s="59">
        <v>0.17777777777777781</v>
      </c>
      <c r="L21" s="59">
        <v>0.16666666666666663</v>
      </c>
      <c r="M21" s="59">
        <v>0.2236111111111112</v>
      </c>
      <c r="N21" s="59">
        <v>0.16527777777777772</v>
      </c>
      <c r="O21" s="59">
        <v>0.20694444444444443</v>
      </c>
      <c r="P21" s="59">
        <v>0.17152777777777772</v>
      </c>
      <c r="Q21" s="59">
        <v>0.16597222222222222</v>
      </c>
      <c r="R21" s="59">
        <v>0.1611111111111112</v>
      </c>
      <c r="S21" s="59">
        <v>0.1590277777777778</v>
      </c>
      <c r="T21" s="59">
        <v>0.1569444444444445</v>
      </c>
      <c r="U21" s="59">
        <v>0.17847222222222214</v>
      </c>
      <c r="V21" s="59">
        <v>0.15347222222222223</v>
      </c>
      <c r="W21" s="59">
        <v>0.14999999999999997</v>
      </c>
      <c r="X21" s="59">
        <v>0.15555555555555556</v>
      </c>
      <c r="Y21" s="59">
        <v>0.15416666666666656</v>
      </c>
      <c r="Z21" s="59">
        <v>0.1388888888888889</v>
      </c>
      <c r="AA21" s="59">
        <v>0.14513888888888898</v>
      </c>
      <c r="AB21" s="59">
        <v>0.14791666666666647</v>
      </c>
      <c r="AC21" s="59">
        <v>0.14305555555555555</v>
      </c>
      <c r="AD21" s="59">
        <v>0.14374999999999999</v>
      </c>
      <c r="AE21" s="59">
        <v>0.71805555555555545</v>
      </c>
      <c r="AF21" s="59">
        <v>0.14097222222222217</v>
      </c>
      <c r="AG21" s="59">
        <v>0.14027777777777781</v>
      </c>
      <c r="AH21" s="59">
        <v>0.1381944444444444</v>
      </c>
      <c r="AI21" s="59">
        <v>0.12916666666666676</v>
      </c>
      <c r="AJ21" s="59">
        <v>0.13749999999999998</v>
      </c>
      <c r="AK21" s="59">
        <v>0.12986111111111115</v>
      </c>
      <c r="AL21" s="59">
        <v>0.13611111111111118</v>
      </c>
      <c r="AM21" s="59">
        <v>0.1298611111111112</v>
      </c>
      <c r="AN21" s="59">
        <v>0.13263888888888889</v>
      </c>
      <c r="AO21" s="59">
        <v>0.12847222222222227</v>
      </c>
      <c r="AP21" s="52"/>
    </row>
    <row r="22" spans="1:42" x14ac:dyDescent="0.35">
      <c r="A22" s="60" t="s">
        <v>30</v>
      </c>
      <c r="B22" s="61">
        <f t="shared" si="0"/>
        <v>56.671794871794866</v>
      </c>
      <c r="C22" s="62">
        <v>48</v>
      </c>
      <c r="D22" s="63">
        <v>49.1</v>
      </c>
      <c r="E22" s="63">
        <v>48.2</v>
      </c>
      <c r="F22" s="63">
        <v>44.5</v>
      </c>
      <c r="G22" s="63">
        <v>50.7</v>
      </c>
      <c r="H22" s="63">
        <v>48.9</v>
      </c>
      <c r="I22" s="63">
        <v>51.3</v>
      </c>
      <c r="J22" s="63">
        <v>48</v>
      </c>
      <c r="K22" s="63">
        <v>51.1</v>
      </c>
      <c r="L22" s="63">
        <v>53.5</v>
      </c>
      <c r="M22" s="63">
        <v>51.9</v>
      </c>
      <c r="N22" s="63">
        <v>52.9</v>
      </c>
      <c r="O22" s="63">
        <v>44.9</v>
      </c>
      <c r="P22" s="63">
        <v>50.9</v>
      </c>
      <c r="Q22" s="63">
        <v>50.3</v>
      </c>
      <c r="R22" s="63">
        <v>54.7</v>
      </c>
      <c r="S22" s="63">
        <v>55.5</v>
      </c>
      <c r="T22" s="63">
        <v>54.6</v>
      </c>
      <c r="U22" s="63">
        <v>57</v>
      </c>
      <c r="V22" s="63">
        <v>56.7</v>
      </c>
      <c r="W22" s="63">
        <v>57.7</v>
      </c>
      <c r="X22" s="63">
        <v>54.8</v>
      </c>
      <c r="Y22" s="63">
        <v>57.4</v>
      </c>
      <c r="Z22" s="63">
        <v>63.4</v>
      </c>
      <c r="AA22" s="63">
        <v>58</v>
      </c>
      <c r="AB22" s="63">
        <v>59</v>
      </c>
      <c r="AC22" s="63">
        <v>60.5</v>
      </c>
      <c r="AD22" s="63">
        <v>61.6</v>
      </c>
      <c r="AE22" s="63">
        <v>63.4</v>
      </c>
      <c r="AF22" s="63">
        <v>62.7</v>
      </c>
      <c r="AG22" s="63">
        <v>61.8</v>
      </c>
      <c r="AH22" s="63">
        <v>61.1</v>
      </c>
      <c r="AI22" s="63">
        <v>68.8</v>
      </c>
      <c r="AJ22" s="63">
        <v>64.5</v>
      </c>
      <c r="AK22" s="63">
        <v>65</v>
      </c>
      <c r="AL22" s="63">
        <v>64.3</v>
      </c>
      <c r="AM22" s="63">
        <v>67.2</v>
      </c>
      <c r="AN22" s="63">
        <v>69.599999999999994</v>
      </c>
      <c r="AO22" s="63">
        <v>66.7</v>
      </c>
      <c r="AP22" s="64"/>
    </row>
    <row r="23" spans="1:42" x14ac:dyDescent="0.35">
      <c r="A23" s="65" t="s">
        <v>31</v>
      </c>
      <c r="B23" s="66">
        <f t="shared" si="0"/>
        <v>8579.6153846153848</v>
      </c>
      <c r="C23" s="67">
        <v>8468</v>
      </c>
      <c r="D23" s="68">
        <v>8624</v>
      </c>
      <c r="E23" s="68">
        <v>8506</v>
      </c>
      <c r="F23" s="68">
        <v>8443</v>
      </c>
      <c r="G23" s="68">
        <v>8572</v>
      </c>
      <c r="H23" s="68">
        <v>8497</v>
      </c>
      <c r="I23" s="68">
        <v>8654</v>
      </c>
      <c r="J23" s="68">
        <v>8679</v>
      </c>
      <c r="K23" s="68">
        <v>8625</v>
      </c>
      <c r="L23" s="68">
        <v>8647</v>
      </c>
      <c r="M23" s="68">
        <v>8606</v>
      </c>
      <c r="N23" s="68">
        <v>8498</v>
      </c>
      <c r="O23" s="68">
        <v>8478</v>
      </c>
      <c r="P23" s="68">
        <v>8570</v>
      </c>
      <c r="Q23" s="68">
        <v>8577</v>
      </c>
      <c r="R23" s="68">
        <v>8638</v>
      </c>
      <c r="S23" s="68">
        <v>8626</v>
      </c>
      <c r="T23" s="68">
        <v>8534</v>
      </c>
      <c r="U23" s="68">
        <v>8574</v>
      </c>
      <c r="V23" s="68">
        <v>8615</v>
      </c>
      <c r="W23" s="68">
        <v>8704</v>
      </c>
      <c r="X23" s="68">
        <v>8617</v>
      </c>
      <c r="Y23" s="68">
        <v>8560</v>
      </c>
      <c r="Z23" s="68">
        <v>8669</v>
      </c>
      <c r="AA23" s="68">
        <v>8678</v>
      </c>
      <c r="AB23" s="68">
        <v>8621</v>
      </c>
      <c r="AC23" s="68">
        <v>8636</v>
      </c>
      <c r="AD23" s="68">
        <v>8556</v>
      </c>
      <c r="AE23" s="68">
        <v>8576</v>
      </c>
      <c r="AF23" s="68">
        <v>8647</v>
      </c>
      <c r="AG23" s="68">
        <v>8606</v>
      </c>
      <c r="AH23" s="68">
        <v>8560</v>
      </c>
      <c r="AI23" s="68">
        <v>8497</v>
      </c>
      <c r="AJ23" s="68">
        <v>8608</v>
      </c>
      <c r="AK23" s="68">
        <v>8619</v>
      </c>
      <c r="AL23" s="68">
        <v>8557</v>
      </c>
      <c r="AM23" s="68">
        <v>8577</v>
      </c>
      <c r="AN23" s="68">
        <v>8410</v>
      </c>
      <c r="AO23" s="68">
        <v>8476</v>
      </c>
      <c r="AP23" s="69"/>
    </row>
    <row r="24" spans="1:42" x14ac:dyDescent="0.35">
      <c r="A24" s="70" t="s">
        <v>32</v>
      </c>
      <c r="B24" s="71">
        <f t="shared" si="0"/>
        <v>58.410256410256402</v>
      </c>
      <c r="C24" s="72">
        <v>53.7</v>
      </c>
      <c r="D24" s="73">
        <v>51.2</v>
      </c>
      <c r="E24" s="73">
        <v>49.3</v>
      </c>
      <c r="F24" s="73">
        <v>48.1</v>
      </c>
      <c r="G24" s="73">
        <v>51.7</v>
      </c>
      <c r="H24" s="73">
        <v>50.4</v>
      </c>
      <c r="I24" s="73">
        <v>52.2</v>
      </c>
      <c r="J24" s="73">
        <v>48.4</v>
      </c>
      <c r="K24" s="73">
        <v>52.1</v>
      </c>
      <c r="L24" s="73">
        <v>54.7</v>
      </c>
      <c r="M24" s="73">
        <v>55.6</v>
      </c>
      <c r="N24" s="73">
        <v>54</v>
      </c>
      <c r="O24" s="73">
        <v>51.2</v>
      </c>
      <c r="P24" s="73">
        <v>51.3</v>
      </c>
      <c r="Q24" s="73">
        <v>51.4</v>
      </c>
      <c r="R24" s="73">
        <v>56.3</v>
      </c>
      <c r="S24" s="73">
        <v>57.4</v>
      </c>
      <c r="T24" s="73">
        <v>55</v>
      </c>
      <c r="U24" s="73">
        <v>61.8</v>
      </c>
      <c r="V24" s="73">
        <v>58.6</v>
      </c>
      <c r="W24" s="73">
        <v>58.8</v>
      </c>
      <c r="X24" s="73">
        <v>56.5</v>
      </c>
      <c r="Y24" s="73">
        <v>58.1</v>
      </c>
      <c r="Z24" s="73">
        <v>65</v>
      </c>
      <c r="AA24" s="73">
        <v>58.9</v>
      </c>
      <c r="AB24" s="73">
        <v>60.3</v>
      </c>
      <c r="AC24" s="73">
        <v>61.1</v>
      </c>
      <c r="AD24" s="73">
        <v>63.2</v>
      </c>
      <c r="AE24" s="73">
        <v>66</v>
      </c>
      <c r="AF24" s="73">
        <v>63.7</v>
      </c>
      <c r="AG24" s="73">
        <v>62.4</v>
      </c>
      <c r="AH24" s="73">
        <v>62.6</v>
      </c>
      <c r="AI24" s="73">
        <v>71</v>
      </c>
      <c r="AJ24" s="73">
        <v>65.8</v>
      </c>
      <c r="AK24" s="73">
        <v>65.400000000000006</v>
      </c>
      <c r="AL24" s="73">
        <v>65.2</v>
      </c>
      <c r="AM24" s="73">
        <v>69.099999999999994</v>
      </c>
      <c r="AN24" s="73">
        <v>70.3</v>
      </c>
      <c r="AO24" s="73">
        <v>70.2</v>
      </c>
      <c r="AP24" s="64"/>
    </row>
    <row r="25" spans="1:42" ht="15" thickBot="1" x14ac:dyDescent="0.4">
      <c r="A25" s="74" t="s">
        <v>33</v>
      </c>
      <c r="B25" s="75">
        <f t="shared" si="0"/>
        <v>8832.3076923076915</v>
      </c>
      <c r="C25" s="76">
        <v>8840</v>
      </c>
      <c r="D25" s="77">
        <v>8890</v>
      </c>
      <c r="E25" s="77">
        <v>8740</v>
      </c>
      <c r="F25" s="77">
        <v>8690</v>
      </c>
      <c r="G25" s="77">
        <v>8790</v>
      </c>
      <c r="H25" s="77">
        <v>8670</v>
      </c>
      <c r="I25" s="77">
        <v>8890</v>
      </c>
      <c r="J25" s="77">
        <v>8840</v>
      </c>
      <c r="K25" s="77">
        <v>8780</v>
      </c>
      <c r="L25" s="77">
        <v>8980</v>
      </c>
      <c r="M25" s="77">
        <v>8770</v>
      </c>
      <c r="N25" s="77">
        <v>8730</v>
      </c>
      <c r="O25" s="77">
        <v>8860</v>
      </c>
      <c r="P25" s="77">
        <v>8810</v>
      </c>
      <c r="Q25" s="77">
        <v>8830</v>
      </c>
      <c r="R25" s="77">
        <v>8850</v>
      </c>
      <c r="S25" s="77">
        <v>8810</v>
      </c>
      <c r="T25" s="77">
        <v>8780</v>
      </c>
      <c r="U25" s="77">
        <v>8840</v>
      </c>
      <c r="V25" s="77">
        <v>8870</v>
      </c>
      <c r="W25" s="77">
        <v>8870</v>
      </c>
      <c r="X25" s="77">
        <v>8870</v>
      </c>
      <c r="Y25" s="77">
        <v>8890</v>
      </c>
      <c r="Z25" s="77">
        <v>8870</v>
      </c>
      <c r="AA25" s="77">
        <v>8850</v>
      </c>
      <c r="AB25" s="77">
        <v>8850</v>
      </c>
      <c r="AC25" s="77">
        <v>8790</v>
      </c>
      <c r="AD25" s="77">
        <v>8800</v>
      </c>
      <c r="AE25" s="77">
        <v>8830</v>
      </c>
      <c r="AF25" s="77">
        <v>8860</v>
      </c>
      <c r="AG25" s="77">
        <v>8830</v>
      </c>
      <c r="AH25" s="77">
        <v>8870</v>
      </c>
      <c r="AI25" s="77">
        <v>8940</v>
      </c>
      <c r="AJ25" s="77">
        <v>8800</v>
      </c>
      <c r="AK25" s="77">
        <v>8810</v>
      </c>
      <c r="AL25" s="77">
        <v>8870</v>
      </c>
      <c r="AM25" s="77">
        <v>8820</v>
      </c>
      <c r="AN25" s="77">
        <v>8900</v>
      </c>
      <c r="AO25" s="77">
        <v>8880</v>
      </c>
      <c r="AP25" s="64"/>
    </row>
    <row r="26" spans="1:42" x14ac:dyDescent="0.35">
      <c r="A26" s="78" t="s">
        <v>34</v>
      </c>
      <c r="B26" s="79">
        <f t="shared" si="0"/>
        <v>5745.3846153846152</v>
      </c>
      <c r="C26" s="80">
        <v>5610</v>
      </c>
      <c r="D26" s="81">
        <v>5880</v>
      </c>
      <c r="E26" s="81">
        <v>5540</v>
      </c>
      <c r="F26" s="81">
        <v>5490</v>
      </c>
      <c r="G26" s="81">
        <v>5760</v>
      </c>
      <c r="H26" s="81">
        <v>5630</v>
      </c>
      <c r="I26" s="81">
        <v>5840</v>
      </c>
      <c r="J26" s="81">
        <v>5910</v>
      </c>
      <c r="K26" s="81">
        <v>5790</v>
      </c>
      <c r="L26" s="81">
        <v>5720</v>
      </c>
      <c r="M26" s="81">
        <v>6000</v>
      </c>
      <c r="N26" s="81">
        <v>5910</v>
      </c>
      <c r="O26" s="81">
        <v>5720</v>
      </c>
      <c r="P26" s="81">
        <v>5740</v>
      </c>
      <c r="Q26" s="81">
        <v>5670</v>
      </c>
      <c r="R26" s="81">
        <v>5720</v>
      </c>
      <c r="S26" s="81">
        <v>5720</v>
      </c>
      <c r="T26" s="81">
        <v>5790</v>
      </c>
      <c r="U26" s="81">
        <v>5550</v>
      </c>
      <c r="V26" s="81">
        <v>5630</v>
      </c>
      <c r="W26" s="81">
        <v>5690</v>
      </c>
      <c r="X26" s="81">
        <v>5760</v>
      </c>
      <c r="Y26" s="81">
        <v>5670</v>
      </c>
      <c r="Z26" s="81">
        <v>5850</v>
      </c>
      <c r="AA26" s="81">
        <v>5760</v>
      </c>
      <c r="AB26" s="81">
        <v>5750</v>
      </c>
      <c r="AC26" s="81">
        <v>5800</v>
      </c>
      <c r="AD26" s="81">
        <v>5780</v>
      </c>
      <c r="AE26" s="81">
        <v>5800</v>
      </c>
      <c r="AF26" s="81">
        <v>5810</v>
      </c>
      <c r="AG26" s="81">
        <v>5840</v>
      </c>
      <c r="AH26" s="81">
        <v>5740</v>
      </c>
      <c r="AI26" s="81">
        <v>5780</v>
      </c>
      <c r="AJ26" s="81">
        <v>5770</v>
      </c>
      <c r="AK26" s="81">
        <v>5760</v>
      </c>
      <c r="AL26" s="81">
        <v>5670</v>
      </c>
      <c r="AM26" s="81">
        <v>5800</v>
      </c>
      <c r="AN26" s="81">
        <v>5750</v>
      </c>
      <c r="AO26" s="81">
        <v>5670</v>
      </c>
      <c r="AP26" s="64"/>
    </row>
    <row r="27" spans="1:42" x14ac:dyDescent="0.35">
      <c r="A27" s="82" t="s">
        <v>35</v>
      </c>
      <c r="B27" s="83">
        <f t="shared" si="0"/>
        <v>0.9118465309178938</v>
      </c>
      <c r="C27" s="84">
        <v>0.8988352019340915</v>
      </c>
      <c r="D27" s="84">
        <v>0.92136899704417141</v>
      </c>
      <c r="E27" s="84">
        <v>0.89321556902507893</v>
      </c>
      <c r="F27" s="84">
        <v>0.88913916644518265</v>
      </c>
      <c r="G27" s="84">
        <v>0.91164389813922586</v>
      </c>
      <c r="H27" s="84">
        <v>0.90088361607543399</v>
      </c>
      <c r="I27" s="84">
        <v>0.91837013356596864</v>
      </c>
      <c r="J27" s="84">
        <v>0.92434925957446801</v>
      </c>
      <c r="K27" s="84">
        <v>0.91445585810473817</v>
      </c>
      <c r="L27" s="84">
        <v>0.90867659937650669</v>
      </c>
      <c r="M27" s="84">
        <v>0.93199514921849003</v>
      </c>
      <c r="N27" s="84">
        <v>0.92451260848021277</v>
      </c>
      <c r="O27" s="84">
        <v>0.90871613358829384</v>
      </c>
      <c r="P27" s="84">
        <v>0.91053767618097126</v>
      </c>
      <c r="Q27" s="84">
        <v>0.90475520746070037</v>
      </c>
      <c r="R27" s="84">
        <v>0.90911183756032621</v>
      </c>
      <c r="S27" s="84">
        <v>0.9092306771951727</v>
      </c>
      <c r="T27" s="84">
        <v>0.9150968393041452</v>
      </c>
      <c r="U27" s="84">
        <v>0.89519706203796201</v>
      </c>
      <c r="V27" s="84">
        <v>0.90189609109149937</v>
      </c>
      <c r="W27" s="84">
        <v>0.90704933069875904</v>
      </c>
      <c r="X27" s="84">
        <v>0.91323911333555596</v>
      </c>
      <c r="Y27" s="84">
        <v>0.90577725453863456</v>
      </c>
      <c r="Z27" s="84">
        <v>0.92098431681120752</v>
      </c>
      <c r="AA27" s="84">
        <v>0.91359950370339471</v>
      </c>
      <c r="AB27" s="84">
        <v>0.91280541297964635</v>
      </c>
      <c r="AC27" s="84">
        <v>0.91697625048381715</v>
      </c>
      <c r="AD27" s="84">
        <v>0.91538836747872521</v>
      </c>
      <c r="AE27" s="84">
        <v>0.91733974946990571</v>
      </c>
      <c r="AF27" s="84">
        <v>0.91841759828781411</v>
      </c>
      <c r="AG27" s="84">
        <v>0.92104548262322472</v>
      </c>
      <c r="AH27" s="84">
        <v>0.91281147737110391</v>
      </c>
      <c r="AI27" s="84">
        <v>0.9163558898344758</v>
      </c>
      <c r="AJ27" s="84">
        <v>0.91560057157190633</v>
      </c>
      <c r="AK27" s="84">
        <v>0.91500000000000004</v>
      </c>
      <c r="AL27" s="84">
        <v>0.90735831384962773</v>
      </c>
      <c r="AM27" s="84">
        <v>0.91831175579255542</v>
      </c>
      <c r="AN27" s="84">
        <v>0.91433064811715481</v>
      </c>
      <c r="AO27" s="84">
        <v>0.90763608744769875</v>
      </c>
      <c r="AP27" s="64"/>
    </row>
    <row r="28" spans="1:42" x14ac:dyDescent="0.35">
      <c r="A28" s="85" t="s">
        <v>36</v>
      </c>
      <c r="B28" s="86">
        <f t="shared" si="0"/>
        <v>55</v>
      </c>
      <c r="C28" s="87">
        <v>55</v>
      </c>
      <c r="D28" s="88">
        <v>55</v>
      </c>
      <c r="E28" s="88">
        <v>55</v>
      </c>
      <c r="F28" s="88">
        <v>55</v>
      </c>
      <c r="G28" s="88">
        <v>55</v>
      </c>
      <c r="H28" s="88">
        <v>55</v>
      </c>
      <c r="I28" s="88">
        <v>55</v>
      </c>
      <c r="J28" s="88">
        <v>55</v>
      </c>
      <c r="K28" s="88">
        <v>55</v>
      </c>
      <c r="L28" s="88">
        <v>55</v>
      </c>
      <c r="M28" s="88">
        <v>55</v>
      </c>
      <c r="N28" s="88">
        <v>55</v>
      </c>
      <c r="O28" s="88">
        <v>55</v>
      </c>
      <c r="P28" s="88">
        <v>55</v>
      </c>
      <c r="Q28" s="88">
        <v>55</v>
      </c>
      <c r="R28" s="88">
        <v>55</v>
      </c>
      <c r="S28" s="88">
        <v>55</v>
      </c>
      <c r="T28" s="88">
        <v>55</v>
      </c>
      <c r="U28" s="88">
        <v>55</v>
      </c>
      <c r="V28" s="88">
        <v>55</v>
      </c>
      <c r="W28" s="88">
        <v>55</v>
      </c>
      <c r="X28" s="88">
        <v>55</v>
      </c>
      <c r="Y28" s="88">
        <v>55</v>
      </c>
      <c r="Z28" s="88">
        <v>55</v>
      </c>
      <c r="AA28" s="88">
        <v>55</v>
      </c>
      <c r="AB28" s="88">
        <v>55</v>
      </c>
      <c r="AC28" s="88">
        <v>55</v>
      </c>
      <c r="AD28" s="88">
        <v>55</v>
      </c>
      <c r="AE28" s="88">
        <v>55</v>
      </c>
      <c r="AF28" s="88">
        <v>55</v>
      </c>
      <c r="AG28" s="88">
        <v>55</v>
      </c>
      <c r="AH28" s="88">
        <v>55</v>
      </c>
      <c r="AI28" s="88">
        <v>55</v>
      </c>
      <c r="AJ28" s="88">
        <v>55</v>
      </c>
      <c r="AK28" s="88">
        <v>55</v>
      </c>
      <c r="AL28" s="88">
        <v>55</v>
      </c>
      <c r="AM28" s="88">
        <v>55</v>
      </c>
      <c r="AN28" s="88">
        <v>55</v>
      </c>
      <c r="AO28" s="88">
        <v>55</v>
      </c>
      <c r="AP28" s="64"/>
    </row>
    <row r="29" spans="1:42" x14ac:dyDescent="0.35">
      <c r="A29" s="89" t="s">
        <v>37</v>
      </c>
      <c r="B29" s="90">
        <f t="shared" si="0"/>
        <v>11917.695072900955</v>
      </c>
      <c r="C29" s="91">
        <v>9962.3529411764721</v>
      </c>
      <c r="D29" s="92">
        <v>10378.392156862747</v>
      </c>
      <c r="E29" s="92">
        <v>10048.754901960785</v>
      </c>
      <c r="F29" s="92">
        <v>9208.6642156862745</v>
      </c>
      <c r="G29" s="92">
        <v>10651.970588235296</v>
      </c>
      <c r="H29" s="92">
        <v>10183.904411764706</v>
      </c>
      <c r="I29" s="92">
        <v>10881.132352941177</v>
      </c>
      <c r="J29" s="92">
        <v>10210.588235294119</v>
      </c>
      <c r="K29" s="92">
        <v>10802.389705882353</v>
      </c>
      <c r="L29" s="92">
        <v>11338.590686274511</v>
      </c>
      <c r="M29" s="92">
        <v>10947.338235294117</v>
      </c>
      <c r="N29" s="92">
        <v>11018.240196078432</v>
      </c>
      <c r="O29" s="92">
        <v>9329.9558823529424</v>
      </c>
      <c r="P29" s="92">
        <v>10691.495098039217</v>
      </c>
      <c r="Q29" s="92">
        <v>10574.095588235294</v>
      </c>
      <c r="R29" s="92">
        <v>11580.848039215687</v>
      </c>
      <c r="S29" s="92">
        <v>11733.89705882353</v>
      </c>
      <c r="T29" s="92">
        <v>11420.500000000002</v>
      </c>
      <c r="U29" s="92">
        <v>11978.382352941177</v>
      </c>
      <c r="V29" s="92">
        <v>11972.316176470589</v>
      </c>
      <c r="W29" s="92">
        <v>12309.333333333336</v>
      </c>
      <c r="X29" s="92">
        <v>11573.813725490196</v>
      </c>
      <c r="Y29" s="92">
        <v>12042.745098039217</v>
      </c>
      <c r="Z29" s="92">
        <v>13470.946078431372</v>
      </c>
      <c r="AA29" s="92">
        <v>12336.372549019608</v>
      </c>
      <c r="AB29" s="92">
        <v>12466.642156862747</v>
      </c>
      <c r="AC29" s="92">
        <v>12805.833333333334</v>
      </c>
      <c r="AD29" s="92">
        <v>12917.882352941177</v>
      </c>
      <c r="AE29" s="92">
        <v>13326.431372549021</v>
      </c>
      <c r="AF29" s="92">
        <v>13288.404411764708</v>
      </c>
      <c r="AG29" s="92">
        <v>13035.558823529411</v>
      </c>
      <c r="AH29" s="92">
        <v>12819.019607843138</v>
      </c>
      <c r="AI29" s="92">
        <v>14328.274509803921</v>
      </c>
      <c r="AJ29" s="92">
        <v>13608.235294117649</v>
      </c>
      <c r="AK29" s="92">
        <v>13731.250000000002</v>
      </c>
      <c r="AL29" s="92">
        <v>13485.664215686274</v>
      </c>
      <c r="AM29" s="92">
        <v>14126.823529411766</v>
      </c>
      <c r="AN29" s="92">
        <v>14346.470588235296</v>
      </c>
      <c r="AO29" s="92">
        <v>13856.598039215689</v>
      </c>
      <c r="AP29" s="64"/>
    </row>
    <row r="30" spans="1:42" ht="15" thickBot="1" x14ac:dyDescent="0.4">
      <c r="A30" s="93" t="s">
        <v>38</v>
      </c>
      <c r="B30" s="94" t="str">
        <f t="shared" si="0"/>
        <v/>
      </c>
      <c r="C30" s="95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8"/>
    </row>
    <row r="31" spans="1:42" x14ac:dyDescent="0.35">
      <c r="A31" s="104" t="str">
        <f>IF('[12]Set Up'!E41=0,"",'[12]Set Up'!E41&amp;", bbl")</f>
        <v>15% HCl Acid, bbl</v>
      </c>
      <c r="B31" s="100">
        <f>IF(AP31=0,"",AVERAGE(C31:AO31))</f>
        <v>29.238705738705733</v>
      </c>
      <c r="C31" s="101">
        <v>29.785714285714285</v>
      </c>
      <c r="D31" s="102">
        <v>30.214285714285715</v>
      </c>
      <c r="E31" s="102">
        <v>30.214285714285715</v>
      </c>
      <c r="F31" s="102">
        <v>29.785714285714285</v>
      </c>
      <c r="G31" s="102">
        <v>28.714285714285715</v>
      </c>
      <c r="H31" s="102">
        <v>28.714285714285715</v>
      </c>
      <c r="I31" s="102">
        <v>29.214285714285715</v>
      </c>
      <c r="J31" s="102">
        <v>28.714285714285715</v>
      </c>
      <c r="K31" s="102">
        <v>27.904761904761905</v>
      </c>
      <c r="L31" s="102">
        <v>29.285714285714285</v>
      </c>
      <c r="M31" s="102">
        <v>30.095238095238095</v>
      </c>
      <c r="N31" s="102">
        <v>30.214285714285715</v>
      </c>
      <c r="O31" s="102">
        <v>29.785714285714285</v>
      </c>
      <c r="P31" s="102">
        <v>28.714285714285715</v>
      </c>
      <c r="Q31" s="102">
        <v>30.023809523809526</v>
      </c>
      <c r="R31" s="102">
        <v>28.714285714285715</v>
      </c>
      <c r="S31" s="102">
        <v>29.761904761904763</v>
      </c>
      <c r="T31" s="102">
        <v>28.523809523809526</v>
      </c>
      <c r="U31" s="102">
        <v>29.642857142857142</v>
      </c>
      <c r="V31" s="102">
        <v>28.261904761904763</v>
      </c>
      <c r="W31" s="102">
        <v>30.095238095238095</v>
      </c>
      <c r="X31" s="102">
        <v>29.452380952380953</v>
      </c>
      <c r="Y31" s="102">
        <v>28.071428571428573</v>
      </c>
      <c r="Z31" s="102">
        <v>29.071428571428573</v>
      </c>
      <c r="AA31" s="102">
        <v>29.904761904761905</v>
      </c>
      <c r="AB31" s="102">
        <v>29.095238095238095</v>
      </c>
      <c r="AC31" s="102">
        <v>28.071428571428573</v>
      </c>
      <c r="AD31" s="102">
        <v>29.452380952380953</v>
      </c>
      <c r="AE31" s="102">
        <v>30.095238095238095</v>
      </c>
      <c r="AF31" s="102">
        <v>29.642857142857142</v>
      </c>
      <c r="AG31" s="102">
        <v>29.642857142857142</v>
      </c>
      <c r="AH31" s="102">
        <v>28.523809523809526</v>
      </c>
      <c r="AI31" s="102">
        <v>29.642857142857142</v>
      </c>
      <c r="AJ31" s="102">
        <v>29.642857142857142</v>
      </c>
      <c r="AK31" s="102">
        <v>27.523809523809526</v>
      </c>
      <c r="AL31" s="102">
        <v>27.142857142857142</v>
      </c>
      <c r="AM31" s="102">
        <v>28.833333333333332</v>
      </c>
      <c r="AN31" s="102">
        <v>29.904761904761905</v>
      </c>
      <c r="AO31" s="102">
        <v>30.214285714285715</v>
      </c>
      <c r="AP31" s="103">
        <f t="shared" ref="AP31:AP53" si="1">SUM(C31:AO31)</f>
        <v>1140.3095238095236</v>
      </c>
    </row>
    <row r="32" spans="1:42" x14ac:dyDescent="0.35">
      <c r="A32" s="99" t="str">
        <f>IF('[12]Set Up'!E42=0,"",'[12]Set Up'!E42&amp;", bbl")</f>
        <v>Slickwater, bbl</v>
      </c>
      <c r="B32" s="105">
        <f>IF(AP32=0,"",AVERAGE(C32:AO32))</f>
        <v>10810.41076923077</v>
      </c>
      <c r="C32" s="106">
        <v>10920.099999999999</v>
      </c>
      <c r="D32" s="107">
        <v>10957.499999999998</v>
      </c>
      <c r="E32" s="107">
        <v>10802</v>
      </c>
      <c r="F32" s="107">
        <v>11201.900000000001</v>
      </c>
      <c r="G32" s="107">
        <v>10751.599999999999</v>
      </c>
      <c r="H32" s="107">
        <v>10681.05</v>
      </c>
      <c r="I32" s="107">
        <v>10775.9</v>
      </c>
      <c r="J32" s="107">
        <v>10652.9</v>
      </c>
      <c r="K32" s="107">
        <v>10802.6</v>
      </c>
      <c r="L32" s="107">
        <v>10980.9</v>
      </c>
      <c r="M32" s="107">
        <v>11492.999999999998</v>
      </c>
      <c r="N32" s="107">
        <v>10829.97</v>
      </c>
      <c r="O32" s="107">
        <v>11905.1</v>
      </c>
      <c r="P32" s="107">
        <v>10820.7</v>
      </c>
      <c r="Q32" s="107">
        <v>10496.500000000002</v>
      </c>
      <c r="R32" s="107">
        <v>10801.75</v>
      </c>
      <c r="S32" s="107">
        <v>10838.38</v>
      </c>
      <c r="T32" s="107">
        <v>10519.390000000001</v>
      </c>
      <c r="U32" s="107">
        <v>11042.7</v>
      </c>
      <c r="V32" s="107">
        <v>10771</v>
      </c>
      <c r="W32" s="107">
        <v>10725.179999999998</v>
      </c>
      <c r="X32" s="107">
        <v>10622.2</v>
      </c>
      <c r="Y32" s="107">
        <v>10904</v>
      </c>
      <c r="Z32" s="107">
        <v>10691.7</v>
      </c>
      <c r="AA32" s="107">
        <v>10474.9</v>
      </c>
      <c r="AB32" s="107">
        <v>10822</v>
      </c>
      <c r="AC32" s="107">
        <v>10767.169999999998</v>
      </c>
      <c r="AD32" s="107">
        <v>10850.499999999998</v>
      </c>
      <c r="AE32" s="107">
        <v>10546.4</v>
      </c>
      <c r="AF32" s="107">
        <v>10907.5</v>
      </c>
      <c r="AG32" s="107">
        <v>10784.2</v>
      </c>
      <c r="AH32" s="107">
        <v>10441.879999999999</v>
      </c>
      <c r="AI32" s="107">
        <v>10890.2</v>
      </c>
      <c r="AJ32" s="107">
        <v>10876.449999999999</v>
      </c>
      <c r="AK32" s="107">
        <v>10396.700000000001</v>
      </c>
      <c r="AL32" s="107">
        <v>10786.3</v>
      </c>
      <c r="AM32" s="107">
        <v>10850.099999999999</v>
      </c>
      <c r="AN32" s="107">
        <v>10819.6</v>
      </c>
      <c r="AO32" s="107">
        <v>10404.099999999999</v>
      </c>
      <c r="AP32" s="108">
        <f t="shared" si="1"/>
        <v>421606.02</v>
      </c>
    </row>
    <row r="33" spans="1:42" x14ac:dyDescent="0.35">
      <c r="A33" s="104" t="str">
        <f>IF('[12]Set Up'!E43=0,"",'[12]Set Up'!E43&amp;", bbl")</f>
        <v>Pump Down, bbl</v>
      </c>
      <c r="B33" s="109">
        <f>IF(AP33=0,"",AVERAGE(C33:AO33))</f>
        <v>106.69230769230769</v>
      </c>
      <c r="C33" s="110">
        <v>309</v>
      </c>
      <c r="D33" s="111">
        <v>196</v>
      </c>
      <c r="E33" s="111">
        <v>190</v>
      </c>
      <c r="F33" s="111">
        <v>173</v>
      </c>
      <c r="G33" s="111">
        <v>173</v>
      </c>
      <c r="H33" s="111">
        <v>176</v>
      </c>
      <c r="I33" s="111">
        <v>177</v>
      </c>
      <c r="J33" s="111">
        <v>174</v>
      </c>
      <c r="K33" s="111">
        <v>170</v>
      </c>
      <c r="L33" s="111">
        <v>165</v>
      </c>
      <c r="M33" s="111">
        <v>150</v>
      </c>
      <c r="N33" s="111">
        <v>155</v>
      </c>
      <c r="O33" s="111">
        <v>136</v>
      </c>
      <c r="P33" s="111">
        <v>130</v>
      </c>
      <c r="Q33" s="111">
        <v>135</v>
      </c>
      <c r="R33" s="111">
        <v>127</v>
      </c>
      <c r="S33" s="111">
        <v>130</v>
      </c>
      <c r="T33" s="111">
        <v>121</v>
      </c>
      <c r="U33" s="111">
        <v>110</v>
      </c>
      <c r="V33" s="111">
        <v>96</v>
      </c>
      <c r="W33" s="111">
        <v>96</v>
      </c>
      <c r="X33" s="111">
        <v>114</v>
      </c>
      <c r="Y33" s="111">
        <v>106</v>
      </c>
      <c r="Z33" s="111">
        <v>80</v>
      </c>
      <c r="AA33" s="111">
        <v>71</v>
      </c>
      <c r="AB33" s="111">
        <v>53</v>
      </c>
      <c r="AC33" s="111">
        <v>70</v>
      </c>
      <c r="AD33" s="111">
        <v>64</v>
      </c>
      <c r="AE33" s="111">
        <v>44</v>
      </c>
      <c r="AF33" s="111">
        <v>42</v>
      </c>
      <c r="AG33" s="111">
        <v>46</v>
      </c>
      <c r="AH33" s="111">
        <v>41</v>
      </c>
      <c r="AI33" s="111">
        <v>29</v>
      </c>
      <c r="AJ33" s="111">
        <v>24</v>
      </c>
      <c r="AK33" s="111">
        <v>34</v>
      </c>
      <c r="AL33" s="111">
        <v>26</v>
      </c>
      <c r="AM33" s="111">
        <v>15</v>
      </c>
      <c r="AN33" s="111">
        <v>13</v>
      </c>
      <c r="AO33" s="111">
        <v>0</v>
      </c>
      <c r="AP33" s="109">
        <f t="shared" si="1"/>
        <v>4161</v>
      </c>
    </row>
    <row r="34" spans="1:42" x14ac:dyDescent="0.35">
      <c r="B34" s="105" t="str">
        <f>IF(AP34=0,"",AVERAGE(C34:AO34))</f>
        <v/>
      </c>
      <c r="C34" s="106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  <c r="AI34" s="107">
        <v>0</v>
      </c>
      <c r="AJ34" s="107">
        <v>0</v>
      </c>
      <c r="AK34" s="107">
        <v>0</v>
      </c>
      <c r="AL34" s="107">
        <v>0</v>
      </c>
      <c r="AM34" s="107">
        <v>0</v>
      </c>
      <c r="AN34" s="107">
        <v>0</v>
      </c>
      <c r="AO34" s="107">
        <v>0</v>
      </c>
      <c r="AP34" s="105">
        <f t="shared" si="1"/>
        <v>0</v>
      </c>
    </row>
    <row r="35" spans="1:42" ht="15" thickBot="1" x14ac:dyDescent="0.4">
      <c r="A35" s="112" t="s">
        <v>39</v>
      </c>
      <c r="B35" s="113">
        <f>IF(AP35=0,"",AVERAGE(C35:AO35))</f>
        <v>10946.341782661779</v>
      </c>
      <c r="C35" s="114">
        <v>11258.885714285712</v>
      </c>
      <c r="D35" s="115">
        <v>11183.714285714284</v>
      </c>
      <c r="E35" s="115">
        <v>11022.214285714286</v>
      </c>
      <c r="F35" s="115">
        <v>11404.685714285715</v>
      </c>
      <c r="G35" s="115">
        <v>10953.314285714285</v>
      </c>
      <c r="H35" s="115">
        <v>10885.764285714286</v>
      </c>
      <c r="I35" s="115">
        <v>10982.114285714286</v>
      </c>
      <c r="J35" s="115">
        <v>10855.614285714286</v>
      </c>
      <c r="K35" s="115">
        <v>11000.504761904762</v>
      </c>
      <c r="L35" s="115">
        <v>11175.185714285713</v>
      </c>
      <c r="M35" s="115">
        <v>11673.095238095237</v>
      </c>
      <c r="N35" s="115">
        <v>11015.184285714286</v>
      </c>
      <c r="O35" s="115">
        <v>12070.885714285714</v>
      </c>
      <c r="P35" s="115">
        <v>10979.414285714287</v>
      </c>
      <c r="Q35" s="115">
        <v>10661.523809523811</v>
      </c>
      <c r="R35" s="115">
        <v>10957.464285714286</v>
      </c>
      <c r="S35" s="115">
        <v>10998.141904761904</v>
      </c>
      <c r="T35" s="115">
        <v>10668.91380952381</v>
      </c>
      <c r="U35" s="115">
        <v>11182.342857142858</v>
      </c>
      <c r="V35" s="115">
        <v>10895.261904761905</v>
      </c>
      <c r="W35" s="115">
        <v>10851.275238095237</v>
      </c>
      <c r="X35" s="115">
        <v>10765.652380952382</v>
      </c>
      <c r="Y35" s="115">
        <v>11038.071428571429</v>
      </c>
      <c r="Z35" s="115">
        <v>10800.77142857143</v>
      </c>
      <c r="AA35" s="115">
        <v>10575.804761904761</v>
      </c>
      <c r="AB35" s="115">
        <v>10904.095238095239</v>
      </c>
      <c r="AC35" s="115">
        <v>10865.241428571428</v>
      </c>
      <c r="AD35" s="115">
        <v>10943.95238095238</v>
      </c>
      <c r="AE35" s="115">
        <v>10620.495238095238</v>
      </c>
      <c r="AF35" s="115">
        <v>10979.142857142857</v>
      </c>
      <c r="AG35" s="115">
        <v>10859.842857142858</v>
      </c>
      <c r="AH35" s="115">
        <v>10511.403809523808</v>
      </c>
      <c r="AI35" s="115">
        <v>10948.842857142858</v>
      </c>
      <c r="AJ35" s="115">
        <v>10930.092857142856</v>
      </c>
      <c r="AK35" s="115">
        <v>10458.22380952381</v>
      </c>
      <c r="AL35" s="115">
        <v>10839.442857142856</v>
      </c>
      <c r="AM35" s="115">
        <v>10893.933333333332</v>
      </c>
      <c r="AN35" s="115">
        <v>10862.504761904762</v>
      </c>
      <c r="AO35" s="115">
        <v>10434.314285714285</v>
      </c>
      <c r="AP35" s="116">
        <f t="shared" si="1"/>
        <v>426907.32952380937</v>
      </c>
    </row>
    <row r="36" spans="1:42" x14ac:dyDescent="0.35">
      <c r="A36" s="122" t="str">
        <f>IF('[12]Set Up'!E35=0,"",'[12]Set Up'!E35&amp;", lb")</f>
        <v>100 Mesh, lb</v>
      </c>
      <c r="B36" s="118">
        <f t="shared" ref="B36:B53" si="2">IF(C36="","",AVERAGE(C36:AO36))</f>
        <v>500416.15384615387</v>
      </c>
      <c r="C36" s="119">
        <v>505300</v>
      </c>
      <c r="D36" s="120">
        <v>497800</v>
      </c>
      <c r="E36" s="120">
        <v>494180</v>
      </c>
      <c r="F36" s="120">
        <v>502320</v>
      </c>
      <c r="G36" s="120">
        <v>503560</v>
      </c>
      <c r="H36" s="120">
        <v>505420</v>
      </c>
      <c r="I36" s="120">
        <v>496880</v>
      </c>
      <c r="J36" s="120">
        <v>504240</v>
      </c>
      <c r="K36" s="120">
        <v>503080</v>
      </c>
      <c r="L36" s="120">
        <v>503720</v>
      </c>
      <c r="M36" s="120">
        <v>499800</v>
      </c>
      <c r="N36" s="120">
        <v>497400</v>
      </c>
      <c r="O36" s="120">
        <v>489180</v>
      </c>
      <c r="P36" s="120">
        <v>502600</v>
      </c>
      <c r="Q36" s="120">
        <v>501020</v>
      </c>
      <c r="R36" s="120">
        <v>502860</v>
      </c>
      <c r="S36" s="120">
        <v>502840</v>
      </c>
      <c r="T36" s="120">
        <v>500860</v>
      </c>
      <c r="U36" s="120">
        <v>504280</v>
      </c>
      <c r="V36" s="120">
        <v>498560</v>
      </c>
      <c r="W36" s="120">
        <v>498180</v>
      </c>
      <c r="X36" s="120">
        <v>503920</v>
      </c>
      <c r="Y36" s="120">
        <v>504540</v>
      </c>
      <c r="Z36" s="120">
        <v>499780</v>
      </c>
      <c r="AA36" s="120">
        <v>498920</v>
      </c>
      <c r="AB36" s="120">
        <v>500820</v>
      </c>
      <c r="AC36" s="120">
        <v>501560</v>
      </c>
      <c r="AD36" s="120">
        <v>500390</v>
      </c>
      <c r="AE36" s="120">
        <v>501480</v>
      </c>
      <c r="AF36" s="120">
        <v>503840</v>
      </c>
      <c r="AG36" s="120">
        <v>499360</v>
      </c>
      <c r="AH36" s="120">
        <v>499340</v>
      </c>
      <c r="AI36" s="120">
        <v>501720</v>
      </c>
      <c r="AJ36" s="120">
        <v>502380</v>
      </c>
      <c r="AK36" s="120">
        <v>493900</v>
      </c>
      <c r="AL36" s="120">
        <v>501740</v>
      </c>
      <c r="AM36" s="120">
        <v>498220</v>
      </c>
      <c r="AN36" s="120">
        <v>501460</v>
      </c>
      <c r="AO36" s="120">
        <v>488780</v>
      </c>
      <c r="AP36" s="121">
        <f t="shared" si="1"/>
        <v>19516230</v>
      </c>
    </row>
    <row r="37" spans="1:42" x14ac:dyDescent="0.35">
      <c r="B37" s="105" t="str">
        <f t="shared" si="2"/>
        <v/>
      </c>
      <c r="C37" s="123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08">
        <f t="shared" si="1"/>
        <v>0</v>
      </c>
    </row>
    <row r="38" spans="1:42" x14ac:dyDescent="0.35">
      <c r="A38" s="125" t="str">
        <f>IF('[12]Set Up'!E36=0,"",'[12]Set Up'!E36&amp;", lb")</f>
        <v/>
      </c>
      <c r="B38" s="126" t="str">
        <f t="shared" si="2"/>
        <v/>
      </c>
      <c r="C38" s="127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9">
        <f t="shared" si="1"/>
        <v>0</v>
      </c>
    </row>
    <row r="39" spans="1:42" x14ac:dyDescent="0.35">
      <c r="A39" s="122" t="str">
        <f>IF('[12]Set Up'!E37=0,"",'[12]Set Up'!E37&amp;", lb")</f>
        <v/>
      </c>
      <c r="B39" s="105" t="str">
        <f t="shared" si="2"/>
        <v/>
      </c>
      <c r="C39" s="123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08">
        <f t="shared" si="1"/>
        <v>0</v>
      </c>
    </row>
    <row r="40" spans="1:42" ht="15" thickBot="1" x14ac:dyDescent="0.4">
      <c r="A40" s="130" t="s">
        <v>40</v>
      </c>
      <c r="B40" s="131">
        <f t="shared" si="2"/>
        <v>500416.15384615387</v>
      </c>
      <c r="C40" s="131">
        <v>505300</v>
      </c>
      <c r="D40" s="132">
        <v>497800</v>
      </c>
      <c r="E40" s="132">
        <v>494180</v>
      </c>
      <c r="F40" s="132">
        <v>502320</v>
      </c>
      <c r="G40" s="132">
        <v>503560</v>
      </c>
      <c r="H40" s="132">
        <v>505420</v>
      </c>
      <c r="I40" s="132">
        <v>496880</v>
      </c>
      <c r="J40" s="132">
        <v>504240</v>
      </c>
      <c r="K40" s="132">
        <v>503080</v>
      </c>
      <c r="L40" s="132">
        <v>503720</v>
      </c>
      <c r="M40" s="132">
        <v>499800</v>
      </c>
      <c r="N40" s="132">
        <v>497400</v>
      </c>
      <c r="O40" s="132">
        <v>489180</v>
      </c>
      <c r="P40" s="132">
        <v>502600</v>
      </c>
      <c r="Q40" s="132">
        <v>501020</v>
      </c>
      <c r="R40" s="132">
        <v>502860</v>
      </c>
      <c r="S40" s="132">
        <v>502840</v>
      </c>
      <c r="T40" s="132">
        <v>500860</v>
      </c>
      <c r="U40" s="132">
        <v>504280</v>
      </c>
      <c r="V40" s="132">
        <v>498560</v>
      </c>
      <c r="W40" s="132">
        <v>498180</v>
      </c>
      <c r="X40" s="132">
        <v>503920</v>
      </c>
      <c r="Y40" s="132">
        <v>504540</v>
      </c>
      <c r="Z40" s="132">
        <v>499780</v>
      </c>
      <c r="AA40" s="132">
        <v>498920</v>
      </c>
      <c r="AB40" s="132">
        <v>500820</v>
      </c>
      <c r="AC40" s="132">
        <v>501560</v>
      </c>
      <c r="AD40" s="132">
        <v>500390</v>
      </c>
      <c r="AE40" s="132">
        <v>501480</v>
      </c>
      <c r="AF40" s="132">
        <v>503840</v>
      </c>
      <c r="AG40" s="132">
        <v>499360</v>
      </c>
      <c r="AH40" s="132">
        <v>499340</v>
      </c>
      <c r="AI40" s="132">
        <v>501720</v>
      </c>
      <c r="AJ40" s="132">
        <v>502380</v>
      </c>
      <c r="AK40" s="132">
        <v>493900</v>
      </c>
      <c r="AL40" s="132">
        <v>501740</v>
      </c>
      <c r="AM40" s="132">
        <v>498220</v>
      </c>
      <c r="AN40" s="132">
        <v>501460</v>
      </c>
      <c r="AO40" s="132">
        <v>488780</v>
      </c>
      <c r="AP40" s="133">
        <f t="shared" si="1"/>
        <v>19516230</v>
      </c>
    </row>
    <row r="41" spans="1:42" x14ac:dyDescent="0.35">
      <c r="A41" s="122" t="str">
        <f>A36</f>
        <v>100 Mesh, lb</v>
      </c>
      <c r="B41" s="135">
        <f t="shared" si="2"/>
        <v>500416.15384615387</v>
      </c>
      <c r="C41" s="136">
        <v>505300</v>
      </c>
      <c r="D41" s="136">
        <v>497800</v>
      </c>
      <c r="E41" s="136">
        <v>494180</v>
      </c>
      <c r="F41" s="136">
        <v>502320</v>
      </c>
      <c r="G41" s="136">
        <v>503560</v>
      </c>
      <c r="H41" s="136">
        <v>505420</v>
      </c>
      <c r="I41" s="136">
        <v>496880</v>
      </c>
      <c r="J41" s="136">
        <v>504240</v>
      </c>
      <c r="K41" s="136">
        <v>503080</v>
      </c>
      <c r="L41" s="136">
        <v>503720</v>
      </c>
      <c r="M41" s="136">
        <v>499800</v>
      </c>
      <c r="N41" s="136">
        <v>497400</v>
      </c>
      <c r="O41" s="136">
        <v>489180</v>
      </c>
      <c r="P41" s="136">
        <v>502600</v>
      </c>
      <c r="Q41" s="136">
        <v>501020</v>
      </c>
      <c r="R41" s="136">
        <v>502860</v>
      </c>
      <c r="S41" s="136">
        <v>502840</v>
      </c>
      <c r="T41" s="136">
        <v>500860</v>
      </c>
      <c r="U41" s="136">
        <v>504280</v>
      </c>
      <c r="V41" s="136">
        <v>498560</v>
      </c>
      <c r="W41" s="136">
        <v>498180</v>
      </c>
      <c r="X41" s="136">
        <v>503920</v>
      </c>
      <c r="Y41" s="136">
        <v>504540</v>
      </c>
      <c r="Z41" s="136">
        <v>499780</v>
      </c>
      <c r="AA41" s="136">
        <v>498920</v>
      </c>
      <c r="AB41" s="136">
        <v>500820</v>
      </c>
      <c r="AC41" s="136">
        <v>501560</v>
      </c>
      <c r="AD41" s="136">
        <v>500390</v>
      </c>
      <c r="AE41" s="136">
        <v>501480</v>
      </c>
      <c r="AF41" s="136">
        <v>503840</v>
      </c>
      <c r="AG41" s="136">
        <v>499360</v>
      </c>
      <c r="AH41" s="136">
        <v>499340</v>
      </c>
      <c r="AI41" s="136">
        <v>501720</v>
      </c>
      <c r="AJ41" s="136">
        <v>502380</v>
      </c>
      <c r="AK41" s="136">
        <v>493900</v>
      </c>
      <c r="AL41" s="136">
        <v>501740</v>
      </c>
      <c r="AM41" s="136">
        <v>498220</v>
      </c>
      <c r="AN41" s="136">
        <v>501460</v>
      </c>
      <c r="AO41" s="136">
        <v>488780</v>
      </c>
      <c r="AP41" s="138">
        <f t="shared" si="1"/>
        <v>19516230</v>
      </c>
    </row>
    <row r="42" spans="1:42" x14ac:dyDescent="0.35">
      <c r="B42" s="105" t="str">
        <f t="shared" si="2"/>
        <v/>
      </c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08">
        <f t="shared" si="1"/>
        <v>0</v>
      </c>
    </row>
    <row r="43" spans="1:42" x14ac:dyDescent="0.35">
      <c r="A43" s="139" t="str">
        <f>A38</f>
        <v/>
      </c>
      <c r="B43" s="140" t="str">
        <f t="shared" si="2"/>
        <v/>
      </c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41"/>
      <c r="AJ43" s="141"/>
      <c r="AK43" s="141"/>
      <c r="AL43" s="141"/>
      <c r="AM43" s="141"/>
      <c r="AN43" s="141"/>
      <c r="AO43" s="141"/>
      <c r="AP43" s="140">
        <f t="shared" si="1"/>
        <v>0</v>
      </c>
    </row>
    <row r="44" spans="1:42" x14ac:dyDescent="0.35">
      <c r="A44" s="142" t="str">
        <f>A39</f>
        <v/>
      </c>
      <c r="B44" s="143" t="str">
        <f t="shared" si="2"/>
        <v/>
      </c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24"/>
      <c r="AI44" s="124"/>
      <c r="AJ44" s="124"/>
      <c r="AK44" s="124"/>
      <c r="AL44" s="124"/>
      <c r="AM44" s="124"/>
      <c r="AN44" s="124"/>
      <c r="AO44" s="124"/>
      <c r="AP44" s="105">
        <f t="shared" si="1"/>
        <v>0</v>
      </c>
    </row>
    <row r="45" spans="1:42" ht="15" thickBot="1" x14ac:dyDescent="0.4">
      <c r="A45" s="144" t="s">
        <v>41</v>
      </c>
      <c r="B45" s="145">
        <f t="shared" si="2"/>
        <v>500416.15384615387</v>
      </c>
      <c r="C45" s="146">
        <v>505300</v>
      </c>
      <c r="D45" s="146">
        <v>497800</v>
      </c>
      <c r="E45" s="146">
        <v>494180</v>
      </c>
      <c r="F45" s="146">
        <v>502320</v>
      </c>
      <c r="G45" s="146">
        <v>503560</v>
      </c>
      <c r="H45" s="146">
        <v>505420</v>
      </c>
      <c r="I45" s="146">
        <v>496880</v>
      </c>
      <c r="J45" s="146">
        <v>504240</v>
      </c>
      <c r="K45" s="146">
        <v>503080</v>
      </c>
      <c r="L45" s="146">
        <v>503720</v>
      </c>
      <c r="M45" s="146">
        <v>499800</v>
      </c>
      <c r="N45" s="146">
        <v>497400</v>
      </c>
      <c r="O45" s="146">
        <v>489180</v>
      </c>
      <c r="P45" s="146">
        <v>502600</v>
      </c>
      <c r="Q45" s="146">
        <v>501020</v>
      </c>
      <c r="R45" s="146">
        <v>502860</v>
      </c>
      <c r="S45" s="146">
        <v>502840</v>
      </c>
      <c r="T45" s="146">
        <v>500860</v>
      </c>
      <c r="U45" s="146">
        <v>504280</v>
      </c>
      <c r="V45" s="146">
        <v>498560</v>
      </c>
      <c r="W45" s="146">
        <v>498180</v>
      </c>
      <c r="X45" s="146">
        <v>503920</v>
      </c>
      <c r="Y45" s="146">
        <v>504540</v>
      </c>
      <c r="Z45" s="146">
        <v>499780</v>
      </c>
      <c r="AA45" s="146">
        <v>498920</v>
      </c>
      <c r="AB45" s="146">
        <v>500820</v>
      </c>
      <c r="AC45" s="146">
        <v>501560</v>
      </c>
      <c r="AD45" s="146">
        <v>500390</v>
      </c>
      <c r="AE45" s="146">
        <v>501480</v>
      </c>
      <c r="AF45" s="146">
        <v>503840</v>
      </c>
      <c r="AG45" s="146">
        <v>499360</v>
      </c>
      <c r="AH45" s="146">
        <v>499340</v>
      </c>
      <c r="AI45" s="146">
        <v>501720</v>
      </c>
      <c r="AJ45" s="146">
        <v>502380</v>
      </c>
      <c r="AK45" s="146">
        <v>493900</v>
      </c>
      <c r="AL45" s="146">
        <v>501740</v>
      </c>
      <c r="AM45" s="146">
        <v>498220</v>
      </c>
      <c r="AN45" s="146">
        <v>501460</v>
      </c>
      <c r="AO45" s="146">
        <v>488780</v>
      </c>
      <c r="AP45" s="145">
        <f t="shared" si="1"/>
        <v>19516230</v>
      </c>
    </row>
    <row r="46" spans="1:42" x14ac:dyDescent="0.35">
      <c r="A46" s="154" t="str">
        <f>'[12]Set Up'!E51</f>
        <v>Plexslick 957, gal</v>
      </c>
      <c r="B46" s="148">
        <f t="shared" si="2"/>
        <v>452.61538461538464</v>
      </c>
      <c r="C46" s="149">
        <v>480</v>
      </c>
      <c r="D46" s="150">
        <v>457</v>
      </c>
      <c r="E46" s="150">
        <v>475</v>
      </c>
      <c r="F46" s="150">
        <v>425</v>
      </c>
      <c r="G46" s="150">
        <v>452</v>
      </c>
      <c r="H46" s="150">
        <v>400</v>
      </c>
      <c r="I46" s="150">
        <v>409</v>
      </c>
      <c r="J46" s="150">
        <v>434</v>
      </c>
      <c r="K46" s="150">
        <v>454</v>
      </c>
      <c r="L46" s="151">
        <v>426</v>
      </c>
      <c r="M46" s="151">
        <v>483</v>
      </c>
      <c r="N46" s="151">
        <v>454</v>
      </c>
      <c r="O46" s="151">
        <v>499</v>
      </c>
      <c r="P46" s="151">
        <v>453</v>
      </c>
      <c r="Q46" s="151">
        <v>443</v>
      </c>
      <c r="R46" s="151">
        <v>456</v>
      </c>
      <c r="S46" s="151">
        <v>455</v>
      </c>
      <c r="T46" s="151">
        <v>450</v>
      </c>
      <c r="U46" s="151">
        <v>484</v>
      </c>
      <c r="V46" s="151">
        <v>450</v>
      </c>
      <c r="W46" s="151">
        <v>450</v>
      </c>
      <c r="X46" s="151">
        <v>467</v>
      </c>
      <c r="Y46" s="151">
        <v>470</v>
      </c>
      <c r="Z46" s="151">
        <v>451</v>
      </c>
      <c r="AA46" s="151">
        <v>442</v>
      </c>
      <c r="AB46" s="151">
        <v>460</v>
      </c>
      <c r="AC46" s="151">
        <v>457</v>
      </c>
      <c r="AD46" s="151">
        <v>457</v>
      </c>
      <c r="AE46" s="151">
        <v>460</v>
      </c>
      <c r="AF46" s="151">
        <v>478</v>
      </c>
      <c r="AG46" s="151">
        <v>454</v>
      </c>
      <c r="AH46" s="151">
        <v>456</v>
      </c>
      <c r="AI46" s="151">
        <v>470</v>
      </c>
      <c r="AJ46" s="151">
        <v>460</v>
      </c>
      <c r="AK46" s="151">
        <v>450</v>
      </c>
      <c r="AL46" s="151">
        <v>461</v>
      </c>
      <c r="AM46" s="151">
        <v>452</v>
      </c>
      <c r="AN46" s="151">
        <v>378</v>
      </c>
      <c r="AO46" s="151">
        <v>440</v>
      </c>
      <c r="AP46" s="153">
        <f t="shared" si="1"/>
        <v>17652</v>
      </c>
    </row>
    <row r="47" spans="1:42" x14ac:dyDescent="0.35">
      <c r="A47" s="147" t="str">
        <f>'[12]Set Up'!E52</f>
        <v>Chemplex 4-N-1, gal</v>
      </c>
      <c r="B47" s="155">
        <f t="shared" si="2"/>
        <v>7.3205128205128203</v>
      </c>
      <c r="C47" s="156">
        <v>7</v>
      </c>
      <c r="D47" s="157">
        <v>8</v>
      </c>
      <c r="E47" s="157">
        <v>8</v>
      </c>
      <c r="F47" s="157">
        <v>8</v>
      </c>
      <c r="G47" s="157">
        <v>7</v>
      </c>
      <c r="H47" s="157">
        <v>7</v>
      </c>
      <c r="I47" s="157">
        <v>7</v>
      </c>
      <c r="J47" s="157">
        <v>7</v>
      </c>
      <c r="K47" s="157">
        <v>7</v>
      </c>
      <c r="L47" s="107">
        <v>7</v>
      </c>
      <c r="M47" s="107">
        <v>8</v>
      </c>
      <c r="N47" s="107">
        <v>8</v>
      </c>
      <c r="O47" s="107">
        <v>7.5</v>
      </c>
      <c r="P47" s="107">
        <v>7</v>
      </c>
      <c r="Q47" s="107">
        <v>8</v>
      </c>
      <c r="R47" s="107">
        <v>7</v>
      </c>
      <c r="S47" s="107">
        <v>8</v>
      </c>
      <c r="T47" s="107">
        <v>7</v>
      </c>
      <c r="U47" s="107">
        <v>7</v>
      </c>
      <c r="V47" s="107">
        <v>7</v>
      </c>
      <c r="W47" s="107">
        <v>8</v>
      </c>
      <c r="X47" s="107">
        <v>7</v>
      </c>
      <c r="Y47" s="107">
        <v>7</v>
      </c>
      <c r="Z47" s="107">
        <v>7</v>
      </c>
      <c r="AA47" s="107">
        <v>8</v>
      </c>
      <c r="AB47" s="107">
        <v>7</v>
      </c>
      <c r="AC47" s="107">
        <v>7</v>
      </c>
      <c r="AD47" s="107">
        <v>7</v>
      </c>
      <c r="AE47" s="107">
        <v>8</v>
      </c>
      <c r="AF47" s="107">
        <v>7</v>
      </c>
      <c r="AG47" s="107">
        <v>7</v>
      </c>
      <c r="AH47" s="107">
        <v>7</v>
      </c>
      <c r="AI47" s="107">
        <v>7</v>
      </c>
      <c r="AJ47" s="107">
        <v>7</v>
      </c>
      <c r="AK47" s="107">
        <v>7</v>
      </c>
      <c r="AL47" s="107">
        <v>7</v>
      </c>
      <c r="AM47" s="107">
        <v>7</v>
      </c>
      <c r="AN47" s="107">
        <v>8</v>
      </c>
      <c r="AO47" s="107">
        <v>8</v>
      </c>
      <c r="AP47" s="158">
        <f t="shared" si="1"/>
        <v>285.5</v>
      </c>
    </row>
    <row r="48" spans="1:42" x14ac:dyDescent="0.35">
      <c r="A48" s="154" t="str">
        <f>'[12]Set Up'!E53</f>
        <v>Payzone 845, gal</v>
      </c>
      <c r="B48" s="148">
        <f t="shared" si="2"/>
        <v>90.692307692307693</v>
      </c>
      <c r="C48" s="159">
        <v>93</v>
      </c>
      <c r="D48" s="160">
        <v>93</v>
      </c>
      <c r="E48" s="160">
        <v>91</v>
      </c>
      <c r="F48" s="160">
        <v>94</v>
      </c>
      <c r="G48" s="160">
        <v>90</v>
      </c>
      <c r="H48" s="160">
        <v>89</v>
      </c>
      <c r="I48" s="160">
        <v>89</v>
      </c>
      <c r="J48" s="160">
        <v>91</v>
      </c>
      <c r="K48" s="160">
        <v>90</v>
      </c>
      <c r="L48" s="161">
        <v>90</v>
      </c>
      <c r="M48" s="161">
        <v>95</v>
      </c>
      <c r="N48" s="161">
        <v>91</v>
      </c>
      <c r="O48" s="161">
        <v>103</v>
      </c>
      <c r="P48" s="161">
        <v>91</v>
      </c>
      <c r="Q48" s="161">
        <v>90</v>
      </c>
      <c r="R48" s="161">
        <v>88</v>
      </c>
      <c r="S48" s="161">
        <v>90</v>
      </c>
      <c r="T48" s="161">
        <v>88</v>
      </c>
      <c r="U48" s="161">
        <v>94</v>
      </c>
      <c r="V48" s="161">
        <v>91</v>
      </c>
      <c r="W48" s="161">
        <v>91</v>
      </c>
      <c r="X48" s="161">
        <v>91</v>
      </c>
      <c r="Y48" s="161">
        <v>90</v>
      </c>
      <c r="Z48" s="161">
        <v>90</v>
      </c>
      <c r="AA48" s="161">
        <v>88</v>
      </c>
      <c r="AB48" s="161">
        <v>92</v>
      </c>
      <c r="AC48" s="161">
        <v>88</v>
      </c>
      <c r="AD48" s="161">
        <v>88</v>
      </c>
      <c r="AE48" s="161">
        <v>87</v>
      </c>
      <c r="AF48" s="161">
        <v>92</v>
      </c>
      <c r="AG48" s="161">
        <v>90</v>
      </c>
      <c r="AH48" s="161">
        <v>87</v>
      </c>
      <c r="AI48" s="161">
        <v>91</v>
      </c>
      <c r="AJ48" s="161">
        <v>92</v>
      </c>
      <c r="AK48" s="161">
        <v>88</v>
      </c>
      <c r="AL48" s="161">
        <v>91</v>
      </c>
      <c r="AM48" s="161">
        <v>91</v>
      </c>
      <c r="AN48" s="161">
        <v>90</v>
      </c>
      <c r="AO48" s="161">
        <v>89</v>
      </c>
      <c r="AP48" s="163">
        <f t="shared" si="1"/>
        <v>3537</v>
      </c>
    </row>
    <row r="49" spans="1:42" x14ac:dyDescent="0.35">
      <c r="A49" s="147" t="str">
        <f>'[12]Set Up'!E54</f>
        <v>Payzone 850, gal</v>
      </c>
      <c r="B49" s="155">
        <f t="shared" si="2"/>
        <v>34.07692307692308</v>
      </c>
      <c r="C49" s="156">
        <v>35</v>
      </c>
      <c r="D49" s="157">
        <v>35</v>
      </c>
      <c r="E49" s="157">
        <v>34</v>
      </c>
      <c r="F49" s="157">
        <v>35</v>
      </c>
      <c r="G49" s="157">
        <v>34</v>
      </c>
      <c r="H49" s="157">
        <v>35</v>
      </c>
      <c r="I49" s="157">
        <v>33</v>
      </c>
      <c r="J49" s="157">
        <v>33</v>
      </c>
      <c r="K49" s="157">
        <v>34</v>
      </c>
      <c r="L49" s="157">
        <v>34</v>
      </c>
      <c r="M49" s="157">
        <v>35</v>
      </c>
      <c r="N49" s="157">
        <v>35</v>
      </c>
      <c r="O49" s="157">
        <v>37</v>
      </c>
      <c r="P49" s="157">
        <v>34</v>
      </c>
      <c r="Q49" s="157">
        <v>34</v>
      </c>
      <c r="R49" s="157">
        <v>33</v>
      </c>
      <c r="S49" s="157">
        <v>34</v>
      </c>
      <c r="T49" s="107">
        <v>34</v>
      </c>
      <c r="U49" s="107">
        <v>35</v>
      </c>
      <c r="V49" s="107">
        <v>35</v>
      </c>
      <c r="W49" s="107">
        <v>35</v>
      </c>
      <c r="X49" s="107">
        <v>34</v>
      </c>
      <c r="Y49" s="107">
        <v>34</v>
      </c>
      <c r="Z49" s="107">
        <v>34</v>
      </c>
      <c r="AA49" s="107">
        <v>34</v>
      </c>
      <c r="AB49" s="107">
        <v>34</v>
      </c>
      <c r="AC49" s="107">
        <v>33</v>
      </c>
      <c r="AD49" s="107">
        <v>34</v>
      </c>
      <c r="AE49" s="107">
        <v>34</v>
      </c>
      <c r="AF49" s="107">
        <v>34</v>
      </c>
      <c r="AG49" s="107">
        <v>34</v>
      </c>
      <c r="AH49" s="107">
        <v>33</v>
      </c>
      <c r="AI49" s="107">
        <v>34</v>
      </c>
      <c r="AJ49" s="107">
        <v>33</v>
      </c>
      <c r="AK49" s="107">
        <v>33</v>
      </c>
      <c r="AL49" s="107">
        <v>34</v>
      </c>
      <c r="AM49" s="107">
        <v>33</v>
      </c>
      <c r="AN49" s="107">
        <v>33</v>
      </c>
      <c r="AO49" s="107">
        <v>34</v>
      </c>
      <c r="AP49" s="158">
        <f t="shared" si="1"/>
        <v>1329</v>
      </c>
    </row>
    <row r="50" spans="1:42" x14ac:dyDescent="0.35">
      <c r="A50" s="154" t="str">
        <f>'[12]Set Up'!E55</f>
        <v>Payzone 217, gal</v>
      </c>
      <c r="B50" s="148">
        <f t="shared" si="2"/>
        <v>90.692307692307693</v>
      </c>
      <c r="C50" s="159">
        <v>93</v>
      </c>
      <c r="D50" s="160">
        <v>93</v>
      </c>
      <c r="E50" s="160">
        <v>91</v>
      </c>
      <c r="F50" s="160">
        <v>94</v>
      </c>
      <c r="G50" s="160">
        <v>90</v>
      </c>
      <c r="H50" s="160">
        <v>89</v>
      </c>
      <c r="I50" s="160">
        <v>89</v>
      </c>
      <c r="J50" s="160">
        <v>91</v>
      </c>
      <c r="K50" s="160">
        <v>90</v>
      </c>
      <c r="L50" s="161">
        <v>90</v>
      </c>
      <c r="M50" s="161">
        <v>95</v>
      </c>
      <c r="N50" s="161">
        <v>91</v>
      </c>
      <c r="O50" s="161">
        <v>103</v>
      </c>
      <c r="P50" s="161">
        <v>91</v>
      </c>
      <c r="Q50" s="161">
        <v>90</v>
      </c>
      <c r="R50" s="161">
        <v>88</v>
      </c>
      <c r="S50" s="161">
        <v>90</v>
      </c>
      <c r="T50" s="161">
        <v>88</v>
      </c>
      <c r="U50" s="161">
        <v>94</v>
      </c>
      <c r="V50" s="161">
        <v>91</v>
      </c>
      <c r="W50" s="161">
        <v>91</v>
      </c>
      <c r="X50" s="161">
        <v>91</v>
      </c>
      <c r="Y50" s="161">
        <v>90</v>
      </c>
      <c r="Z50" s="161">
        <v>90</v>
      </c>
      <c r="AA50" s="161">
        <v>88</v>
      </c>
      <c r="AB50" s="161">
        <v>92</v>
      </c>
      <c r="AC50" s="161">
        <v>88</v>
      </c>
      <c r="AD50" s="161">
        <v>88</v>
      </c>
      <c r="AE50" s="161">
        <v>87</v>
      </c>
      <c r="AF50" s="161">
        <v>92</v>
      </c>
      <c r="AG50" s="161">
        <v>90</v>
      </c>
      <c r="AH50" s="161">
        <v>87</v>
      </c>
      <c r="AI50" s="161">
        <v>91</v>
      </c>
      <c r="AJ50" s="161">
        <v>92</v>
      </c>
      <c r="AK50" s="161">
        <v>88</v>
      </c>
      <c r="AL50" s="161">
        <v>91</v>
      </c>
      <c r="AM50" s="161">
        <v>91</v>
      </c>
      <c r="AN50" s="161">
        <v>90</v>
      </c>
      <c r="AO50" s="161">
        <v>89</v>
      </c>
      <c r="AP50" s="163">
        <f t="shared" si="1"/>
        <v>3537</v>
      </c>
    </row>
    <row r="51" spans="1:42" x14ac:dyDescent="0.35">
      <c r="A51" s="147" t="str">
        <f>'[12]Set Up'!E56</f>
        <v>Stim741 Gel, gal</v>
      </c>
      <c r="B51" s="155">
        <f t="shared" si="2"/>
        <v>20</v>
      </c>
      <c r="C51" s="156">
        <v>20</v>
      </c>
      <c r="D51" s="157">
        <v>20</v>
      </c>
      <c r="E51" s="157">
        <v>20</v>
      </c>
      <c r="F51" s="157">
        <v>20</v>
      </c>
      <c r="G51" s="157">
        <v>20</v>
      </c>
      <c r="H51" s="157">
        <v>20</v>
      </c>
      <c r="I51" s="157">
        <v>20</v>
      </c>
      <c r="J51" s="157">
        <v>20</v>
      </c>
      <c r="K51" s="157">
        <v>20</v>
      </c>
      <c r="L51" s="107">
        <v>20</v>
      </c>
      <c r="M51" s="107">
        <v>20</v>
      </c>
      <c r="N51" s="107">
        <v>20</v>
      </c>
      <c r="O51" s="107">
        <v>20</v>
      </c>
      <c r="P51" s="107">
        <v>20</v>
      </c>
      <c r="Q51" s="107">
        <v>20</v>
      </c>
      <c r="R51" s="107">
        <v>20</v>
      </c>
      <c r="S51" s="107">
        <v>20</v>
      </c>
      <c r="T51" s="107">
        <v>20</v>
      </c>
      <c r="U51" s="107">
        <v>20</v>
      </c>
      <c r="V51" s="107">
        <v>20</v>
      </c>
      <c r="W51" s="107">
        <v>20</v>
      </c>
      <c r="X51" s="107">
        <v>20</v>
      </c>
      <c r="Y51" s="107">
        <v>20</v>
      </c>
      <c r="Z51" s="107">
        <v>20</v>
      </c>
      <c r="AA51" s="107">
        <v>20</v>
      </c>
      <c r="AB51" s="107">
        <v>20</v>
      </c>
      <c r="AC51" s="107">
        <v>20</v>
      </c>
      <c r="AD51" s="107">
        <v>20</v>
      </c>
      <c r="AE51" s="107">
        <v>20</v>
      </c>
      <c r="AF51" s="107">
        <v>20</v>
      </c>
      <c r="AG51" s="107">
        <v>20</v>
      </c>
      <c r="AH51" s="107">
        <v>20</v>
      </c>
      <c r="AI51" s="107">
        <v>20</v>
      </c>
      <c r="AJ51" s="107">
        <v>20</v>
      </c>
      <c r="AK51" s="107">
        <v>20</v>
      </c>
      <c r="AL51" s="107">
        <v>20</v>
      </c>
      <c r="AM51" s="107">
        <v>20</v>
      </c>
      <c r="AN51" s="107">
        <v>20</v>
      </c>
      <c r="AO51" s="107"/>
      <c r="AP51" s="158">
        <f t="shared" si="1"/>
        <v>760</v>
      </c>
    </row>
    <row r="52" spans="1:42" x14ac:dyDescent="0.35">
      <c r="B52" s="148" t="str">
        <f t="shared" si="2"/>
        <v/>
      </c>
      <c r="C52" s="159"/>
      <c r="D52" s="160"/>
      <c r="E52" s="160"/>
      <c r="F52" s="160"/>
      <c r="G52" s="160"/>
      <c r="H52" s="160"/>
      <c r="I52" s="160"/>
      <c r="J52" s="160"/>
      <c r="K52" s="160"/>
      <c r="L52" s="161"/>
      <c r="M52" s="161"/>
      <c r="N52" s="161"/>
      <c r="O52" s="161"/>
      <c r="P52" s="161"/>
      <c r="Q52" s="161"/>
      <c r="R52" s="161"/>
      <c r="S52" s="161"/>
      <c r="T52" s="161"/>
      <c r="U52" s="161"/>
      <c r="V52" s="161"/>
      <c r="W52" s="161"/>
      <c r="X52" s="161"/>
      <c r="Y52" s="161"/>
      <c r="Z52" s="161"/>
      <c r="AA52" s="161"/>
      <c r="AB52" s="161"/>
      <c r="AC52" s="161"/>
      <c r="AD52" s="161"/>
      <c r="AE52" s="161"/>
      <c r="AF52" s="161"/>
      <c r="AG52" s="161"/>
      <c r="AH52" s="161"/>
      <c r="AI52" s="161"/>
      <c r="AJ52" s="161">
        <v>20</v>
      </c>
      <c r="AK52" s="161"/>
      <c r="AL52" s="161"/>
      <c r="AM52" s="161"/>
      <c r="AN52" s="161"/>
      <c r="AO52" s="161"/>
      <c r="AP52" s="163">
        <f t="shared" si="1"/>
        <v>20</v>
      </c>
    </row>
    <row r="53" spans="1:42" x14ac:dyDescent="0.35">
      <c r="A53" s="154" t="s">
        <v>53</v>
      </c>
      <c r="B53" s="155">
        <f t="shared" si="2"/>
        <v>3133.3889743589743</v>
      </c>
      <c r="C53" s="156">
        <v>3327.9</v>
      </c>
      <c r="D53" s="157">
        <v>3727.1</v>
      </c>
      <c r="E53" s="157">
        <v>3149.5</v>
      </c>
      <c r="F53" s="157">
        <v>3171.4</v>
      </c>
      <c r="G53" s="157">
        <v>3277.6</v>
      </c>
      <c r="H53" s="157">
        <v>3422.6</v>
      </c>
      <c r="I53" s="157">
        <v>2846.8</v>
      </c>
      <c r="J53" s="157">
        <v>3049.5</v>
      </c>
      <c r="K53" s="157">
        <v>3473.7</v>
      </c>
      <c r="L53" s="107">
        <v>3124.9</v>
      </c>
      <c r="M53" s="107">
        <v>3492</v>
      </c>
      <c r="N53" s="107">
        <v>3415.77</v>
      </c>
      <c r="O53" s="107">
        <v>3581.9</v>
      </c>
      <c r="P53" s="107">
        <v>2944.7</v>
      </c>
      <c r="Q53" s="107">
        <v>3223.2</v>
      </c>
      <c r="R53" s="107">
        <v>2902</v>
      </c>
      <c r="S53" s="107">
        <v>3642</v>
      </c>
      <c r="T53" s="107">
        <v>3213</v>
      </c>
      <c r="U53" s="107">
        <v>3295</v>
      </c>
      <c r="V53" s="107">
        <v>3042</v>
      </c>
      <c r="W53" s="107">
        <v>3302</v>
      </c>
      <c r="X53" s="107">
        <v>3104</v>
      </c>
      <c r="Y53" s="107">
        <v>2951</v>
      </c>
      <c r="Z53" s="107">
        <v>2834</v>
      </c>
      <c r="AA53" s="107">
        <v>3009</v>
      </c>
      <c r="AB53" s="107">
        <v>2958</v>
      </c>
      <c r="AC53" s="107">
        <v>3224</v>
      </c>
      <c r="AD53" s="107">
        <v>3331.8</v>
      </c>
      <c r="AE53" s="107">
        <v>3142</v>
      </c>
      <c r="AF53" s="107">
        <v>2969</v>
      </c>
      <c r="AG53" s="107">
        <v>2704</v>
      </c>
      <c r="AH53" s="107">
        <v>3387.5</v>
      </c>
      <c r="AI53" s="107">
        <v>2709</v>
      </c>
      <c r="AJ53" s="107">
        <v>2887</v>
      </c>
      <c r="AK53" s="107">
        <v>2784.4</v>
      </c>
      <c r="AL53" s="107">
        <v>3105.6</v>
      </c>
      <c r="AM53" s="107">
        <v>2589</v>
      </c>
      <c r="AN53" s="107">
        <v>3100</v>
      </c>
      <c r="AO53" s="107">
        <v>2788.3</v>
      </c>
      <c r="AP53" s="158">
        <f t="shared" si="1"/>
        <v>122202.17</v>
      </c>
    </row>
  </sheetData>
  <mergeCells count="14">
    <mergeCell ref="B1:D1"/>
    <mergeCell ref="F1:G1"/>
    <mergeCell ref="B2:D2"/>
    <mergeCell ref="F2:G2"/>
    <mergeCell ref="B3:D3"/>
    <mergeCell ref="F3:G3"/>
    <mergeCell ref="B12:B14"/>
    <mergeCell ref="C15:I15"/>
    <mergeCell ref="B4:D4"/>
    <mergeCell ref="F4:G4"/>
    <mergeCell ref="B5:E5"/>
    <mergeCell ref="F5:H5"/>
    <mergeCell ref="I5:K5"/>
    <mergeCell ref="B7:B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Charts</vt:lpstr>
      <vt:lpstr>Silvertip A 1H</vt:lpstr>
      <vt:lpstr>Silvertip A 2H</vt:lpstr>
      <vt:lpstr>Silvertip A 3H</vt:lpstr>
      <vt:lpstr>Silvertip A 4H</vt:lpstr>
      <vt:lpstr>Silvertip A 5H</vt:lpstr>
      <vt:lpstr>Silvertip A 6H</vt:lpstr>
      <vt:lpstr>Silvertip A 7H</vt:lpstr>
      <vt:lpstr>Silvertip A 8H</vt:lpstr>
      <vt:lpstr>Silvertip A 9H</vt:lpstr>
      <vt:lpstr>Silvertip A 10H</vt:lpstr>
      <vt:lpstr>Silvertip B 2H</vt:lpstr>
      <vt:lpstr>Silvertip B 3H</vt:lpstr>
    </vt:vector>
  </TitlesOfParts>
  <Company>Anadarko Petroleum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Bajgier, Boone</dc:creator>
  <cp:lastModifiedBy>jsawa</cp:lastModifiedBy>
  <dcterms:created xsi:type="dcterms:W3CDTF">2019-02-06T16:22:20Z</dcterms:created>
  <dcterms:modified xsi:type="dcterms:W3CDTF">2019-06-03T14:45:31Z</dcterms:modified>
</cp:coreProperties>
</file>